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46265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46265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46265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46265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46265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46265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46265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46265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46265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46265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46265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46265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46265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46265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46265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46265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46265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46265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46265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46265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46265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46265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46265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46265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46265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46265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46265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46265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46265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58806-2022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46265</v>
      </c>
      <c r="F42" t="inlineStr">
        <is>
          <t>ÖSTERGÖTLANDS LÄN</t>
        </is>
      </c>
      <c r="G42" t="inlineStr">
        <is>
          <t>FINSPÅNG</t>
        </is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Flagellkvastmossa</t>
        </is>
      </c>
      <c r="W42">
        <f>HYPERLINK("https://klasma.github.io/Logging_0562/artfynd/A 58806-2022 artfynd.xlsx", "A 58806-2022")</f>
        <v/>
      </c>
      <c r="X42">
        <f>HYPERLINK("https://klasma.github.io/Logging_0562/kartor/A 58806-2022 karta.png", "A 58806-2022")</f>
        <v/>
      </c>
      <c r="Y42">
        <f>HYPERLINK("https://klasma.github.io/Logging_0562/kartor_geotiff/A 58806-2022 georefererad karta.tif", "A 58806-2022")</f>
        <v/>
      </c>
      <c r="Z42">
        <f>HYPERLINK("https://klasma.github.io/Logging_0562/knärot/A 58806-2022 karta knärot.png", "A 58806-2022")</f>
        <v/>
      </c>
      <c r="AA42">
        <f>HYPERLINK("https://klasma.github.io/Logging_0562/klagomål/A 58806-2022 FSC-klagomål.docx", "A 58806-2022")</f>
        <v/>
      </c>
      <c r="AB42">
        <f>HYPERLINK("https://klasma.github.io/Logging_0562/klagomålsmail/A 58806-2022 FSC-klagomål mail.docx", "A 58806-2022")</f>
        <v/>
      </c>
      <c r="AC42">
        <f>HYPERLINK("https://klasma.github.io/Logging_0562/tillsyn/A 58806-2022 tillsynsbegäran.docx", "A 58806-2022")</f>
        <v/>
      </c>
      <c r="AD42">
        <f>HYPERLINK("https://klasma.github.io/Logging_0562/tillsynsmail/A 58806-2022 tillsynsbegäran mail.docx", "A 58806-2022")</f>
        <v/>
      </c>
    </row>
    <row r="43" ht="15" customHeight="1">
      <c r="A43" t="inlineStr">
        <is>
          <t>A 28395-2024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45477</v>
      </c>
      <c r="E43" s="1" t="n">
        <v>46265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0.6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Fläcknycklar</t>
        </is>
      </c>
      <c r="W43">
        <f>HYPERLINK("https://klasma.github.io/Logging_0562/artfynd/A 28395-2024 artfynd.xlsx", "A 28395-2024")</f>
        <v/>
      </c>
      <c r="X43">
        <f>HYPERLINK("https://klasma.github.io/Logging_0562/kartor/A 28395-2024 karta.png", "A 28395-2024")</f>
        <v/>
      </c>
      <c r="Y43">
        <f>HYPERLINK("https://klasma.github.io/Logging_0562/kartor_geotiff/A 28395-2024 georefererad karta.tif", "A 28395-2024")</f>
        <v/>
      </c>
      <c r="AA43">
        <f>HYPERLINK("https://klasma.github.io/Logging_0562/klagomål/A 28395-2024 FSC-klagomål.docx", "A 28395-2024")</f>
        <v/>
      </c>
      <c r="AB43">
        <f>HYPERLINK("https://klasma.github.io/Logging_0562/klagomålsmail/A 28395-2024 FSC-klagomål mail.docx", "A 28395-2024")</f>
        <v/>
      </c>
      <c r="AC43">
        <f>HYPERLINK("https://klasma.github.io/Logging_0562/tillsyn/A 28395-2024 tillsynsbegäran.docx", "A 28395-2024")</f>
        <v/>
      </c>
      <c r="AD43">
        <f>HYPERLINK("https://klasma.github.io/Logging_0562/tillsynsmail/A 28395-2024 tillsynsbegäran mail.docx", "A 28395-2024")</f>
        <v/>
      </c>
      <c r="AE43">
        <f>HYPERLINK("https://klasma.github.io/Logging_0562/fåglar/A 28395-2024 prioriterade fågelarter.docx", "A 28395-2024")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46265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46265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46265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46265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46265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46265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46265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46265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46265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61104-2022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46265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HYPERLINK("https://klasma.github.io/Logging_0562/artfynd/A 61104-2022 artfynd.xlsx", "A 61104-2022")</f>
        <v/>
      </c>
      <c r="X57">
        <f>HYPERLINK("https://klasma.github.io/Logging_0562/kartor/A 61104-2022 karta.png", "A 61104-2022")</f>
        <v/>
      </c>
      <c r="Y57">
        <f>HYPERLINK("https://klasma.github.io/Logging_0562/kartor_geotiff/A 61104-2022 georefererad karta.tif", "A 61104-2022")</f>
        <v/>
      </c>
      <c r="AA57">
        <f>HYPERLINK("https://klasma.github.io/Logging_0562/klagomål/A 61104-2022 FSC-klagomål.docx", "A 61104-2022")</f>
        <v/>
      </c>
      <c r="AB57">
        <f>HYPERLINK("https://klasma.github.io/Logging_0562/klagomålsmail/A 61104-2022 FSC-klagomål mail.docx", "A 61104-2022")</f>
        <v/>
      </c>
      <c r="AC57">
        <f>HYPERLINK("https://klasma.github.io/Logging_0562/tillsyn/A 61104-2022 tillsynsbegäran.docx", "A 61104-2022")</f>
        <v/>
      </c>
      <c r="AD57">
        <f>HYPERLINK("https://klasma.github.io/Logging_0562/tillsynsmail/A 61104-2022 tillsynsbegäran mail.docx", "A 61104-2022")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46265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27861-2025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46265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HYPERLINK("https://klasma.github.io/Logging_0562/artfynd/A 27861-2025 artfynd.xlsx", "A 27861-2025")</f>
        <v/>
      </c>
      <c r="X59">
        <f>HYPERLINK("https://klasma.github.io/Logging_0562/kartor/A 27861-2025 karta.png", "A 27861-2025")</f>
        <v/>
      </c>
      <c r="Y59">
        <f>HYPERLINK("https://klasma.github.io/Logging_0562/kartor_geotiff/A 27861-2025 georefererad karta.tif", "A 27861-2025")</f>
        <v/>
      </c>
      <c r="AA59">
        <f>HYPERLINK("https://klasma.github.io/Logging_0562/klagomål/A 27861-2025 FSC-klagomål.docx", "A 27861-2025")</f>
        <v/>
      </c>
      <c r="AB59">
        <f>HYPERLINK("https://klasma.github.io/Logging_0562/klagomålsmail/A 27861-2025 FSC-klagomål mail.docx", "A 27861-2025")</f>
        <v/>
      </c>
      <c r="AC59">
        <f>HYPERLINK("https://klasma.github.io/Logging_0562/tillsyn/A 27861-2025 tillsynsbegäran.docx", "A 27861-2025")</f>
        <v/>
      </c>
      <c r="AD59">
        <f>HYPERLINK("https://klasma.github.io/Logging_0562/tillsynsmail/A 27861-2025 tillsynsbegäran mail.docx", "A 27861-2025")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46265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46265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46265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46265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46265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46265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46265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46265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46265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46265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7265-2026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46265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Havsörn</t>
        </is>
      </c>
      <c r="W70">
        <f>HYPERLINK("https://klasma.github.io/Logging_0562/artfynd/A 7265-2026 artfynd.xlsx", "A 7265-2026")</f>
        <v/>
      </c>
      <c r="X70">
        <f>HYPERLINK("https://klasma.github.io/Logging_0562/kartor/A 7265-2026 karta.png", "A 7265-2026")</f>
        <v/>
      </c>
      <c r="Y70">
        <f>HYPERLINK("https://klasma.github.io/Logging_0562/kartor_geotiff/A 7265-2026 georefererad karta.tif", "A 7265-2026")</f>
        <v/>
      </c>
      <c r="AA70">
        <f>HYPERLINK("https://klasma.github.io/Logging_0562/klagomål/A 7265-2026 FSC-klagomål.docx", "A 7265-2026")</f>
        <v/>
      </c>
      <c r="AB70">
        <f>HYPERLINK("https://klasma.github.io/Logging_0562/klagomålsmail/A 7265-2026 FSC-klagomål mail.docx", "A 7265-2026")</f>
        <v/>
      </c>
      <c r="AC70">
        <f>HYPERLINK("https://klasma.github.io/Logging_0562/tillsyn/A 7265-2026 tillsynsbegäran.docx", "A 7265-2026")</f>
        <v/>
      </c>
      <c r="AD70">
        <f>HYPERLINK("https://klasma.github.io/Logging_0562/tillsynsmail/A 7265-2026 tillsynsbegäran mail.docx", "A 7265-2026")</f>
        <v/>
      </c>
      <c r="AE70">
        <f>HYPERLINK("https://klasma.github.io/Logging_0562/fåglar/A 7265-2026 prioriterade fågelarter.docx", "A 7265-2026")</f>
        <v/>
      </c>
    </row>
    <row r="71" ht="15" customHeight="1">
      <c r="A71" t="inlineStr">
        <is>
          <t>A 18915-2026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46129</v>
      </c>
      <c r="E71" s="1" t="n">
        <v>46265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6.1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HYPERLINK("https://klasma.github.io/Logging_0562/artfynd/A 18915-2026 artfynd.xlsx", "A 18915-2026")</f>
        <v/>
      </c>
      <c r="X71">
        <f>HYPERLINK("https://klasma.github.io/Logging_0562/kartor/A 18915-2026 karta.png", "A 18915-2026")</f>
        <v/>
      </c>
      <c r="Y71">
        <f>HYPERLINK("https://klasma.github.io/Logging_0562/kartor_geotiff/A 18915-2026 georefererad karta.tif", "A 18915-2026")</f>
        <v/>
      </c>
      <c r="AA71">
        <f>HYPERLINK("https://klasma.github.io/Logging_0562/klagomål/A 18915-2026 FSC-klagomål.docx", "A 18915-2026")</f>
        <v/>
      </c>
      <c r="AB71">
        <f>HYPERLINK("https://klasma.github.io/Logging_0562/klagomålsmail/A 18915-2026 FSC-klagomål mail.docx", "A 18915-2026")</f>
        <v/>
      </c>
      <c r="AC71">
        <f>HYPERLINK("https://klasma.github.io/Logging_0562/tillsyn/A 18915-2026 tillsynsbegäran.docx", "A 18915-2026")</f>
        <v/>
      </c>
      <c r="AD71">
        <f>HYPERLINK("https://klasma.github.io/Logging_0562/tillsynsmail/A 18915-2026 tillsynsbegäran mail.docx", "A 18915-2026")</f>
        <v/>
      </c>
      <c r="AE71">
        <f>HYPERLINK("https://klasma.github.io/Logging_0562/fåglar/A 18915-2026 prioriterade fågelarter.docx", "A 18915-2026")</f>
        <v/>
      </c>
    </row>
    <row r="72" ht="15" customHeight="1">
      <c r="A72" t="inlineStr">
        <is>
          <t>A 36128-2023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45149</v>
      </c>
      <c r="E72" s="1" t="n">
        <v>46265</v>
      </c>
      <c r="F72" t="inlineStr">
        <is>
          <t>ÖSTERGÖTLANDS LÄN</t>
        </is>
      </c>
      <c r="G72" t="inlineStr">
        <is>
          <t>FINSPÅNG</t>
        </is>
      </c>
      <c r="I72" t="n">
        <v>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Talltita</t>
        </is>
      </c>
      <c r="W72">
        <f>HYPERLINK("https://klasma.github.io/Logging_0562/artfynd/A 36128-2023 artfynd.xlsx", "A 36128-2023")</f>
        <v/>
      </c>
      <c r="X72">
        <f>HYPERLINK("https://klasma.github.io/Logging_0562/kartor/A 36128-2023 karta.png", "A 36128-2023")</f>
        <v/>
      </c>
      <c r="Y72">
        <f>HYPERLINK("https://klasma.github.io/Logging_0562/kartor_geotiff/A 36128-2023 georefererad karta.tif", "A 36128-2023")</f>
        <v/>
      </c>
      <c r="AA72">
        <f>HYPERLINK("https://klasma.github.io/Logging_0562/klagomål/A 36128-2023 FSC-klagomål.docx", "A 36128-2023")</f>
        <v/>
      </c>
      <c r="AB72">
        <f>HYPERLINK("https://klasma.github.io/Logging_0562/klagomålsmail/A 36128-2023 FSC-klagomål mail.docx", "A 36128-2023")</f>
        <v/>
      </c>
      <c r="AC72">
        <f>HYPERLINK("https://klasma.github.io/Logging_0562/tillsyn/A 36128-2023 tillsynsbegäran.docx", "A 36128-2023")</f>
        <v/>
      </c>
      <c r="AD72">
        <f>HYPERLINK("https://klasma.github.io/Logging_0562/tillsynsmail/A 36128-2023 tillsynsbegäran mail.docx", "A 36128-2023")</f>
        <v/>
      </c>
      <c r="AE72">
        <f>HYPERLINK("https://klasma.github.io/Logging_0562/fåglar/A 36128-2023 prioriterade fågelarter.docx", "A 36128-2023")</f>
        <v/>
      </c>
    </row>
    <row r="73" ht="15" customHeight="1">
      <c r="A73" t="inlineStr">
        <is>
          <t>A 3941-2026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46043</v>
      </c>
      <c r="E73" s="1" t="n">
        <v>46265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HYPERLINK("https://klasma.github.io/Logging_0562/artfynd/A 3941-2026 artfynd.xlsx", "A 3941-2026")</f>
        <v/>
      </c>
      <c r="X73">
        <f>HYPERLINK("https://klasma.github.io/Logging_0562/kartor/A 3941-2026 karta.png", "A 3941-2026")</f>
        <v/>
      </c>
      <c r="Y73">
        <f>HYPERLINK("https://klasma.github.io/Logging_0562/kartor_geotiff/A 3941-2026 georefererad karta.tif", "A 3941-2026")</f>
        <v/>
      </c>
      <c r="AA73">
        <f>HYPERLINK("https://klasma.github.io/Logging_0562/klagomål/A 3941-2026 FSC-klagomål.docx", "A 3941-2026")</f>
        <v/>
      </c>
      <c r="AB73">
        <f>HYPERLINK("https://klasma.github.io/Logging_0562/klagomålsmail/A 3941-2026 FSC-klagomål mail.docx", "A 3941-2026")</f>
        <v/>
      </c>
      <c r="AC73">
        <f>HYPERLINK("https://klasma.github.io/Logging_0562/tillsyn/A 3941-2026 tillsynsbegäran.docx", "A 3941-2026")</f>
        <v/>
      </c>
      <c r="AD73">
        <f>HYPERLINK("https://klasma.github.io/Logging_0562/tillsynsmail/A 3941-2026 tillsynsbegäran mail.docx", "A 3941-2026")</f>
        <v/>
      </c>
      <c r="AE73">
        <f>HYPERLINK("https://klasma.github.io/Logging_0562/fåglar/A 3941-2026 prioriterade fågelarter.docx", "A 3941-2026")</f>
        <v/>
      </c>
    </row>
    <row r="74" ht="15" customHeight="1">
      <c r="A74" t="inlineStr">
        <is>
          <t>A 22555-2024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46265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Hasselsnok</t>
        </is>
      </c>
      <c r="W74">
        <f>HYPERLINK("https://klasma.github.io/Logging_0562/artfynd/A 22555-2024 artfynd.xlsx", "A 22555-2024")</f>
        <v/>
      </c>
      <c r="X74">
        <f>HYPERLINK("https://klasma.github.io/Logging_0562/kartor/A 22555-2024 karta.png", "A 22555-2024")</f>
        <v/>
      </c>
      <c r="Y74">
        <f>HYPERLINK("https://klasma.github.io/Logging_0562/kartor_geotiff/A 22555-2024 georefererad karta.tif", "A 22555-2024")</f>
        <v/>
      </c>
      <c r="AA74">
        <f>HYPERLINK("https://klasma.github.io/Logging_0562/klagomål/A 22555-2024 FSC-klagomål.docx", "A 22555-2024")</f>
        <v/>
      </c>
      <c r="AB74">
        <f>HYPERLINK("https://klasma.github.io/Logging_0562/klagomålsmail/A 22555-2024 FSC-klagomål mail.docx", "A 22555-2024")</f>
        <v/>
      </c>
      <c r="AC74">
        <f>HYPERLINK("https://klasma.github.io/Logging_0562/tillsyn/A 22555-2024 tillsynsbegäran.docx", "A 22555-2024")</f>
        <v/>
      </c>
      <c r="AD74">
        <f>HYPERLINK("https://klasma.github.io/Logging_0562/tillsynsmail/A 22555-2024 tillsynsbegäran mail.docx", "A 22555-2024")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46265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46265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46265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61695-2021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44501</v>
      </c>
      <c r="E78" s="1" t="n">
        <v>46265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Kornknutmossa</t>
        </is>
      </c>
      <c r="W78">
        <f>HYPERLINK("https://klasma.github.io/Logging_0562/artfynd/A 61695-2021 artfynd.xlsx", "A 61695-2021")</f>
        <v/>
      </c>
      <c r="X78">
        <f>HYPERLINK("https://klasma.github.io/Logging_0562/kartor/A 61695-2021 karta.png", "A 61695-2021")</f>
        <v/>
      </c>
      <c r="Y78">
        <f>HYPERLINK("https://klasma.github.io/Logging_0562/kartor_geotiff/A 61695-2021 georefererad karta.tif", "A 61695-2021")</f>
        <v/>
      </c>
      <c r="AA78">
        <f>HYPERLINK("https://klasma.github.io/Logging_0562/klagomål/A 61695-2021 FSC-klagomål.docx", "A 61695-2021")</f>
        <v/>
      </c>
      <c r="AB78">
        <f>HYPERLINK("https://klasma.github.io/Logging_0562/klagomålsmail/A 61695-2021 FSC-klagomål mail.docx", "A 61695-2021")</f>
        <v/>
      </c>
      <c r="AC78">
        <f>HYPERLINK("https://klasma.github.io/Logging_0562/tillsyn/A 61695-2021 tillsynsbegäran.docx", "A 61695-2021")</f>
        <v/>
      </c>
      <c r="AD78">
        <f>HYPERLINK("https://klasma.github.io/Logging_0562/tillsynsmail/A 61695-2021 tillsynsbegäran mail.docx", "A 61695-2021")</f>
        <v/>
      </c>
    </row>
    <row r="79" ht="15" customHeight="1">
      <c r="A79" t="inlineStr">
        <is>
          <t>A 663-2023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44930</v>
      </c>
      <c r="E79" s="1" t="n">
        <v>46265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HYPERLINK("https://klasma.github.io/Logging_0562/artfynd/A 663-2023 artfynd.xlsx", "A 663-2023")</f>
        <v/>
      </c>
      <c r="X79">
        <f>HYPERLINK("https://klasma.github.io/Logging_0562/kartor/A 663-2023 karta.png", "A 663-2023")</f>
        <v/>
      </c>
      <c r="Y79">
        <f>HYPERLINK("https://klasma.github.io/Logging_0562/kartor_geotiff/A 663-2023 georefererad karta.tif", "A 663-2023")</f>
        <v/>
      </c>
      <c r="AA79">
        <f>HYPERLINK("https://klasma.github.io/Logging_0562/klagomål/A 663-2023 FSC-klagomål.docx", "A 663-2023")</f>
        <v/>
      </c>
      <c r="AB79">
        <f>HYPERLINK("https://klasma.github.io/Logging_0562/klagomålsmail/A 663-2023 FSC-klagomål mail.docx", "A 663-2023")</f>
        <v/>
      </c>
      <c r="AC79">
        <f>HYPERLINK("https://klasma.github.io/Logging_0562/tillsyn/A 663-2023 tillsynsbegäran.docx", "A 663-2023")</f>
        <v/>
      </c>
      <c r="AD79">
        <f>HYPERLINK("https://klasma.github.io/Logging_0562/tillsynsmail/A 663-2023 tillsynsbegäran mail.docx", "A 663-2023")</f>
        <v/>
      </c>
    </row>
    <row r="80" ht="15" customHeight="1">
      <c r="A80" t="inlineStr">
        <is>
          <t>A 59061-2024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46265</v>
      </c>
      <c r="F80" t="inlineStr">
        <is>
          <t>ÖSTERGÖTLANDS LÄN</t>
        </is>
      </c>
      <c r="G80" t="inlineStr">
        <is>
          <t>FINSPÅNG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Ängsnycklar</t>
        </is>
      </c>
      <c r="W80">
        <f>HYPERLINK("https://klasma.github.io/Logging_0562/artfynd/A 59061-2024 artfynd.xlsx", "A 59061-2024")</f>
        <v/>
      </c>
      <c r="X80">
        <f>HYPERLINK("https://klasma.github.io/Logging_0562/kartor/A 59061-2024 karta.png", "A 59061-2024")</f>
        <v/>
      </c>
      <c r="Y80">
        <f>HYPERLINK("https://klasma.github.io/Logging_0562/kartor_geotiff/A 59061-2024 georefererad karta.tif", "A 59061-2024")</f>
        <v/>
      </c>
      <c r="AA80">
        <f>HYPERLINK("https://klasma.github.io/Logging_0562/klagomål/A 59061-2024 FSC-klagomål.docx", "A 59061-2024")</f>
        <v/>
      </c>
      <c r="AB80">
        <f>HYPERLINK("https://klasma.github.io/Logging_0562/klagomålsmail/A 59061-2024 FSC-klagomål mail.docx", "A 59061-2024")</f>
        <v/>
      </c>
      <c r="AC80">
        <f>HYPERLINK("https://klasma.github.io/Logging_0562/tillsyn/A 59061-2024 tillsynsbegäran.docx", "A 59061-2024")</f>
        <v/>
      </c>
      <c r="AD80">
        <f>HYPERLINK("https://klasma.github.io/Logging_0562/tillsynsmail/A 59061-2024 tillsynsbegäran mail.docx", "A 59061-2024")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46265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24411-2023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46265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Blåmossa</t>
        </is>
      </c>
      <c r="W82">
        <f>HYPERLINK("https://klasma.github.io/Logging_0562/artfynd/A 24411-2023 artfynd.xlsx", "A 24411-2023")</f>
        <v/>
      </c>
      <c r="X82">
        <f>HYPERLINK("https://klasma.github.io/Logging_0562/kartor/A 24411-2023 karta.png", "A 24411-2023")</f>
        <v/>
      </c>
      <c r="Y82">
        <f>HYPERLINK("https://klasma.github.io/Logging_0562/kartor_geotiff/A 24411-2023 georefererad karta.tif", "A 24411-2023")</f>
        <v/>
      </c>
      <c r="AA82">
        <f>HYPERLINK("https://klasma.github.io/Logging_0562/klagomål/A 24411-2023 FSC-klagomål.docx", "A 24411-2023")</f>
        <v/>
      </c>
      <c r="AB82">
        <f>HYPERLINK("https://klasma.github.io/Logging_0562/klagomålsmail/A 24411-2023 FSC-klagomål mail.docx", "A 24411-2023")</f>
        <v/>
      </c>
      <c r="AC82">
        <f>HYPERLINK("https://klasma.github.io/Logging_0562/tillsyn/A 24411-2023 tillsynsbegäran.docx", "A 24411-2023")</f>
        <v/>
      </c>
      <c r="AD82">
        <f>HYPERLINK("https://klasma.github.io/Logging_0562/tillsynsmail/A 24411-2023 tillsynsbegäran mail.docx", "A 24411-2023")</f>
        <v/>
      </c>
    </row>
    <row r="83" ht="15" customHeight="1">
      <c r="A83" t="inlineStr">
        <is>
          <t>A 15123-2025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46265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Naturvårdsverket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HYPERLINK("https://klasma.github.io/Logging_0562/artfynd/A 15123-2025 artfynd.xlsx", "A 15123-2025")</f>
        <v/>
      </c>
      <c r="X83">
        <f>HYPERLINK("https://klasma.github.io/Logging_0562/kartor/A 15123-2025 karta.png", "A 15123-2025")</f>
        <v/>
      </c>
      <c r="Y83">
        <f>HYPERLINK("https://klasma.github.io/Logging_0562/kartor_geotiff/A 15123-2025 georefererad karta.tif", "A 15123-2025")</f>
        <v/>
      </c>
      <c r="AA83">
        <f>HYPERLINK("https://klasma.github.io/Logging_0562/klagomål/A 15123-2025 FSC-klagomål.docx", "A 15123-2025")</f>
        <v/>
      </c>
      <c r="AB83">
        <f>HYPERLINK("https://klasma.github.io/Logging_0562/klagomålsmail/A 15123-2025 FSC-klagomål mail.docx", "A 15123-2025")</f>
        <v/>
      </c>
      <c r="AC83">
        <f>HYPERLINK("https://klasma.github.io/Logging_0562/tillsyn/A 15123-2025 tillsynsbegäran.docx", "A 15123-2025")</f>
        <v/>
      </c>
      <c r="AD83">
        <f>HYPERLINK("https://klasma.github.io/Logging_0562/tillsynsmail/A 15123-2025 tillsynsbegäran mail.docx", "A 15123-2025")</f>
        <v/>
      </c>
      <c r="AE83">
        <f>HYPERLINK("https://klasma.github.io/Logging_0562/fåglar/A 15123-2025 prioriterade fågelarter.docx", "A 15123-2025")</f>
        <v/>
      </c>
    </row>
    <row r="84" ht="15" customHeight="1">
      <c r="A84" t="inlineStr">
        <is>
          <t>A 22259-2024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46265</v>
      </c>
      <c r="F84" t="inlineStr">
        <is>
          <t>ÖSTERGÖTLANDS LÄN</t>
        </is>
      </c>
      <c r="G84" t="inlineStr">
        <is>
          <t>FINSPÅNG</t>
        </is>
      </c>
      <c r="I84" t="n">
        <v>2.7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Gullklöver</t>
        </is>
      </c>
      <c r="W84">
        <f>HYPERLINK("https://klasma.github.io/Logging_0562/artfynd/A 22259-2024 artfynd.xlsx", "A 22259-2024")</f>
        <v/>
      </c>
      <c r="X84">
        <f>HYPERLINK("https://klasma.github.io/Logging_0562/kartor/A 22259-2024 karta.png", "A 22259-2024")</f>
        <v/>
      </c>
      <c r="Y84">
        <f>HYPERLINK("https://klasma.github.io/Logging_0562/kartor_geotiff/A 22259-2024 georefererad karta.tif", "A 22259-2024")</f>
        <v/>
      </c>
      <c r="AA84">
        <f>HYPERLINK("https://klasma.github.io/Logging_0562/klagomål/A 22259-2024 FSC-klagomål.docx", "A 22259-2024")</f>
        <v/>
      </c>
      <c r="AB84">
        <f>HYPERLINK("https://klasma.github.io/Logging_0562/klagomålsmail/A 22259-2024 FSC-klagomål mail.docx", "A 22259-2024")</f>
        <v/>
      </c>
      <c r="AC84">
        <f>HYPERLINK("https://klasma.github.io/Logging_0562/tillsyn/A 22259-2024 tillsynsbegäran.docx", "A 22259-2024")</f>
        <v/>
      </c>
      <c r="AD84">
        <f>HYPERLINK("https://klasma.github.io/Logging_0562/tillsynsmail/A 22259-2024 tillsynsbegäran mail.docx", "A 22259-2024")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46265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46265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27456-2026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46265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HYPERLINK("https://klasma.github.io/Logging_0562/artfynd/A 27456-2026 artfynd.xlsx", "A 27456-2026")</f>
        <v/>
      </c>
      <c r="X87">
        <f>HYPERLINK("https://klasma.github.io/Logging_0562/kartor/A 27456-2026 karta.png", "A 27456-2026")</f>
        <v/>
      </c>
      <c r="Y87">
        <f>HYPERLINK("https://klasma.github.io/Logging_0562/kartor_geotiff/A 27456-2026 georefererad karta.tif", "A 27456-2026")</f>
        <v/>
      </c>
      <c r="AA87">
        <f>HYPERLINK("https://klasma.github.io/Logging_0562/klagomål/A 27456-2026 FSC-klagomål.docx", "A 27456-2026")</f>
        <v/>
      </c>
      <c r="AB87">
        <f>HYPERLINK("https://klasma.github.io/Logging_0562/klagomålsmail/A 27456-2026 FSC-klagomål mail.docx", "A 27456-2026")</f>
        <v/>
      </c>
      <c r="AC87">
        <f>HYPERLINK("https://klasma.github.io/Logging_0562/tillsyn/A 27456-2026 tillsynsbegäran.docx", "A 27456-2026")</f>
        <v/>
      </c>
      <c r="AD87">
        <f>HYPERLINK("https://klasma.github.io/Logging_0562/tillsynsmail/A 27456-2026 tillsynsbegäran mail.docx", "A 27456-2026")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46265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46265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46265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46265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46265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46265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46265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46265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46265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46265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46265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46265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46265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46265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46265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46265</v>
      </c>
      <c r="F105" t="inlineStr">
        <is>
          <t>ÖSTERGÖTLANDS LÄN</t>
        </is>
      </c>
      <c r="G105" t="inlineStr">
        <is>
          <t>FINSPÅNG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46265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44675</v>
      </c>
      <c r="E107" s="1" t="n">
        <v>46265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46265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46265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46265</v>
      </c>
      <c r="F110" t="inlineStr">
        <is>
          <t>ÖSTERGÖTLANDS LÄN</t>
        </is>
      </c>
      <c r="G110" t="inlineStr">
        <is>
          <t>FINSPÅNG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46265</v>
      </c>
      <c r="F111" t="inlineStr">
        <is>
          <t>ÖSTERGÖTLANDS LÄN</t>
        </is>
      </c>
      <c r="G111" t="inlineStr">
        <is>
          <t>FINSPÅNG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46265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46265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46265</v>
      </c>
      <c r="F114" t="inlineStr">
        <is>
          <t>ÖSTERGÖTLANDS LÄN</t>
        </is>
      </c>
      <c r="G114" t="inlineStr">
        <is>
          <t>FINSPÅNG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46265</v>
      </c>
      <c r="F115" t="inlineStr">
        <is>
          <t>ÖSTERGÖTLANDS LÄN</t>
        </is>
      </c>
      <c r="G115" t="inlineStr">
        <is>
          <t>FINSPÅNG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46265</v>
      </c>
      <c r="F116" t="inlineStr">
        <is>
          <t>ÖSTERGÖTLANDS LÄN</t>
        </is>
      </c>
      <c r="G116" t="inlineStr">
        <is>
          <t>FINSPÅNG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46265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46265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46265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46265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46265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62597-2021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46265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44503</v>
      </c>
      <c r="E123" s="1" t="n">
        <v>46265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46265</v>
      </c>
      <c r="F124" t="inlineStr">
        <is>
          <t>ÖSTERGÖTLANDS LÄN</t>
        </is>
      </c>
      <c r="G124" t="inlineStr">
        <is>
          <t>FINSPÅNG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46265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73659-2021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46265</v>
      </c>
      <c r="F126" t="inlineStr">
        <is>
          <t>ÖSTERGÖTLANDS LÄN</t>
        </is>
      </c>
      <c r="G126" t="inlineStr">
        <is>
          <t>FINSPÅNG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46265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46265</v>
      </c>
      <c r="F128" t="inlineStr">
        <is>
          <t>ÖSTERGÖTLANDS LÄN</t>
        </is>
      </c>
      <c r="G128" t="inlineStr">
        <is>
          <t>FINSPÅNG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46265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46265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46265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46265</v>
      </c>
      <c r="F132" t="inlineStr">
        <is>
          <t>ÖSTERGÖTLANDS LÄN</t>
        </is>
      </c>
      <c r="G132" t="inlineStr">
        <is>
          <t>FINSPÅNG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44735</v>
      </c>
      <c r="E133" s="1" t="n">
        <v>46265</v>
      </c>
      <c r="F133" t="inlineStr">
        <is>
          <t>ÖSTERGÖTLANDS LÄN</t>
        </is>
      </c>
      <c r="G133" t="inlineStr">
        <is>
          <t>FINSPÅNG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46265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51808-2021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44462</v>
      </c>
      <c r="E135" s="1" t="n">
        <v>46265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46265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44782</v>
      </c>
      <c r="E137" s="1" t="n">
        <v>46265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46265</v>
      </c>
      <c r="F138" t="inlineStr">
        <is>
          <t>ÖSTERGÖTLANDS LÄN</t>
        </is>
      </c>
      <c r="G138" t="inlineStr">
        <is>
          <t>FINSPÅNG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46265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27162-2022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46265</v>
      </c>
      <c r="F140" t="inlineStr">
        <is>
          <t>ÖSTERGÖTLANDS LÄN</t>
        </is>
      </c>
      <c r="G140" t="inlineStr">
        <is>
          <t>FINSPÅNG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46265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46265</v>
      </c>
      <c r="F142" t="inlineStr">
        <is>
          <t>ÖSTERGÖTLANDS LÄN</t>
        </is>
      </c>
      <c r="G142" t="inlineStr">
        <is>
          <t>FINSPÅNG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44855</v>
      </c>
      <c r="E143" s="1" t="n">
        <v>46265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46265</v>
      </c>
      <c r="F144" t="inlineStr">
        <is>
          <t>ÖSTERGÖTLANDS LÄN</t>
        </is>
      </c>
      <c r="G144" t="inlineStr">
        <is>
          <t>FINSPÅNG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46265</v>
      </c>
      <c r="F145" t="inlineStr">
        <is>
          <t>ÖSTERGÖTLANDS LÄN</t>
        </is>
      </c>
      <c r="G145" t="inlineStr">
        <is>
          <t>FINSPÅNG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46265</v>
      </c>
      <c r="F146" t="inlineStr">
        <is>
          <t>ÖSTERGÖTLANDS LÄN</t>
        </is>
      </c>
      <c r="G146" t="inlineStr">
        <is>
          <t>FINSPÅNG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36075-2022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44802</v>
      </c>
      <c r="E147" s="1" t="n">
        <v>46265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46265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46265</v>
      </c>
      <c r="F149" t="inlineStr">
        <is>
          <t>ÖSTERGÖTLANDS LÄN</t>
        </is>
      </c>
      <c r="G149" t="inlineStr">
        <is>
          <t>FINSPÅNG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71597-2021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44541</v>
      </c>
      <c r="E150" s="1" t="n">
        <v>46265</v>
      </c>
      <c r="F150" t="inlineStr">
        <is>
          <t>ÖSTERGÖTLANDS LÄN</t>
        </is>
      </c>
      <c r="G150" t="inlineStr">
        <is>
          <t>FINSPÅNG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44564</v>
      </c>
      <c r="E151" s="1" t="n">
        <v>46265</v>
      </c>
      <c r="F151" t="inlineStr">
        <is>
          <t>ÖSTERGÖTLANDS LÄN</t>
        </is>
      </c>
      <c r="G151" t="inlineStr">
        <is>
          <t>FINSPÅNG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46265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46265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44469</v>
      </c>
      <c r="E154" s="1" t="n">
        <v>46265</v>
      </c>
      <c r="F154" t="inlineStr">
        <is>
          <t>ÖSTERGÖTLANDS LÄN</t>
        </is>
      </c>
      <c r="G154" t="inlineStr">
        <is>
          <t>FINSPÅNG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44595</v>
      </c>
      <c r="E155" s="1" t="n">
        <v>46265</v>
      </c>
      <c r="F155" t="inlineStr">
        <is>
          <t>ÖSTERGÖTLANDS LÄN</t>
        </is>
      </c>
      <c r="G155" t="inlineStr">
        <is>
          <t>FINSPÅNG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46265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63321-2021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46265</v>
      </c>
      <c r="F157" t="inlineStr">
        <is>
          <t>ÖSTERGÖTLANDS LÄN</t>
        </is>
      </c>
      <c r="G157" t="inlineStr">
        <is>
          <t>FINSPÅNG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46265</v>
      </c>
      <c r="F158" t="inlineStr">
        <is>
          <t>ÖSTERGÖTLANDS LÄN</t>
        </is>
      </c>
      <c r="G158" t="inlineStr">
        <is>
          <t>FINSPÅNG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44656</v>
      </c>
      <c r="E159" s="1" t="n">
        <v>46265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46265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46265</v>
      </c>
      <c r="F161" t="inlineStr">
        <is>
          <t>ÖSTERGÖTLANDS LÄN</t>
        </is>
      </c>
      <c r="G161" t="inlineStr">
        <is>
          <t>FINSPÅNG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46265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69717-2021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46265</v>
      </c>
      <c r="F163" t="inlineStr">
        <is>
          <t>ÖSTERGÖTLANDS LÄN</t>
        </is>
      </c>
      <c r="G163" t="inlineStr">
        <is>
          <t>FINSPÅNG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46265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46265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46265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46265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Övriga Aktiebolag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46265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46265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46265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46265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46265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46265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44630</v>
      </c>
      <c r="E174" s="1" t="n">
        <v>46265</v>
      </c>
      <c r="F174" t="inlineStr">
        <is>
          <t>ÖSTERGÖTLANDS LÄN</t>
        </is>
      </c>
      <c r="G174" t="inlineStr">
        <is>
          <t>FINSPÅNG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46265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46265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46265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46265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46265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46265</v>
      </c>
      <c r="F180" t="inlineStr">
        <is>
          <t>ÖSTERGÖTLANDS LÄN</t>
        </is>
      </c>
      <c r="G180" t="inlineStr">
        <is>
          <t>FINSPÅNG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44742</v>
      </c>
      <c r="E181" s="1" t="n">
        <v>46265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44444</v>
      </c>
      <c r="E182" s="1" t="n">
        <v>46265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46265</v>
      </c>
      <c r="F183" t="inlineStr">
        <is>
          <t>ÖSTERGÖTLANDS LÄN</t>
        </is>
      </c>
      <c r="G183" t="inlineStr">
        <is>
          <t>FINSPÅNG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46265</v>
      </c>
      <c r="F184" t="inlineStr">
        <is>
          <t>ÖSTERGÖTLANDS LÄN</t>
        </is>
      </c>
      <c r="G184" t="inlineStr">
        <is>
          <t>FINSPÅNG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46265</v>
      </c>
      <c r="F185" t="inlineStr">
        <is>
          <t>ÖSTERGÖTLANDS LÄN</t>
        </is>
      </c>
      <c r="G185" t="inlineStr">
        <is>
          <t>FINSPÅNG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46265</v>
      </c>
      <c r="F186" t="inlineStr">
        <is>
          <t>ÖSTERGÖTLANDS LÄN</t>
        </is>
      </c>
      <c r="G186" t="inlineStr">
        <is>
          <t>FINSPÅNG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46265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46265</v>
      </c>
      <c r="F188" t="inlineStr">
        <is>
          <t>ÖSTERGÖTLANDS LÄN</t>
        </is>
      </c>
      <c r="G188" t="inlineStr">
        <is>
          <t>FINSPÅNG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44776</v>
      </c>
      <c r="E189" s="1" t="n">
        <v>46265</v>
      </c>
      <c r="F189" t="inlineStr">
        <is>
          <t>ÖSTERGÖTLANDS LÄN</t>
        </is>
      </c>
      <c r="G189" t="inlineStr">
        <is>
          <t>FINSPÅNG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46265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46265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46265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Övriga Aktiebolag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56883-2021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46265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44533</v>
      </c>
      <c r="E194" s="1" t="n">
        <v>46265</v>
      </c>
      <c r="F194" t="inlineStr">
        <is>
          <t>ÖSTERGÖTLANDS LÄN</t>
        </is>
      </c>
      <c r="G194" t="inlineStr">
        <is>
          <t>FINSPÅNG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46265</v>
      </c>
      <c r="F195" t="inlineStr">
        <is>
          <t>ÖSTERGÖTLANDS LÄN</t>
        </is>
      </c>
      <c r="G195" t="inlineStr">
        <is>
          <t>FINSPÅNG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44678</v>
      </c>
      <c r="E196" s="1" t="n">
        <v>46265</v>
      </c>
      <c r="F196" t="inlineStr">
        <is>
          <t>ÖSTERGÖTLANDS LÄN</t>
        </is>
      </c>
      <c r="G196" t="inlineStr">
        <is>
          <t>FINSPÅNG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46265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44564</v>
      </c>
      <c r="E198" s="1" t="n">
        <v>46265</v>
      </c>
      <c r="F198" t="inlineStr">
        <is>
          <t>ÖSTERGÖTLANDS LÄN</t>
        </is>
      </c>
      <c r="G198" t="inlineStr">
        <is>
          <t>FINSPÅNG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46265</v>
      </c>
      <c r="F199" t="inlineStr">
        <is>
          <t>ÖSTERGÖTLANDS LÄN</t>
        </is>
      </c>
      <c r="G199" t="inlineStr">
        <is>
          <t>FINSPÅNG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46265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46265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46265</v>
      </c>
      <c r="F202" t="inlineStr">
        <is>
          <t>ÖSTERGÖTLANDS LÄN</t>
        </is>
      </c>
      <c r="G202" t="inlineStr">
        <is>
          <t>FINSPÅNG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45042</v>
      </c>
      <c r="E203" s="1" t="n">
        <v>46265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46265</v>
      </c>
      <c r="F204" t="inlineStr">
        <is>
          <t>ÖSTERGÖTLANDS LÄN</t>
        </is>
      </c>
      <c r="G204" t="inlineStr">
        <is>
          <t>FINSPÅNG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46265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44778</v>
      </c>
      <c r="E206" s="1" t="n">
        <v>46265</v>
      </c>
      <c r="F206" t="inlineStr">
        <is>
          <t>ÖSTERGÖTLANDS LÄN</t>
        </is>
      </c>
      <c r="G206" t="inlineStr">
        <is>
          <t>FINSPÅNG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43221-2022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46265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Övriga Aktiebolag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46265</v>
      </c>
      <c r="F208" t="inlineStr">
        <is>
          <t>ÖSTERGÖTLANDS LÄN</t>
        </is>
      </c>
      <c r="G208" t="inlineStr">
        <is>
          <t>FINSPÅNG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36406-2024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45535</v>
      </c>
      <c r="E209" s="1" t="n">
        <v>46265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44770</v>
      </c>
      <c r="E210" s="1" t="n">
        <v>46265</v>
      </c>
      <c r="F210" t="inlineStr">
        <is>
          <t>ÖSTERGÖTLANDS LÄN</t>
        </is>
      </c>
      <c r="G210" t="inlineStr">
        <is>
          <t>FINSPÅNG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46265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46265</v>
      </c>
      <c r="F212" t="inlineStr">
        <is>
          <t>ÖSTERGÖTLANDS LÄN</t>
        </is>
      </c>
      <c r="G212" t="inlineStr">
        <is>
          <t>FINSPÅNG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45374</v>
      </c>
      <c r="E213" s="1" t="n">
        <v>46265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45362</v>
      </c>
      <c r="E214" s="1" t="n">
        <v>46265</v>
      </c>
      <c r="F214" t="inlineStr">
        <is>
          <t>ÖSTERGÖTLANDS LÄN</t>
        </is>
      </c>
      <c r="G214" t="inlineStr">
        <is>
          <t>FINSPÅNG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46265</v>
      </c>
      <c r="F215" t="inlineStr">
        <is>
          <t>ÖSTERGÖTLANDS LÄN</t>
        </is>
      </c>
      <c r="G215" t="inlineStr">
        <is>
          <t>FINSPÅNG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46265</v>
      </c>
      <c r="F216" t="inlineStr">
        <is>
          <t>ÖSTERGÖTLANDS LÄN</t>
        </is>
      </c>
      <c r="G216" t="inlineStr">
        <is>
          <t>FINSPÅNG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46265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46265</v>
      </c>
      <c r="F218" t="inlineStr">
        <is>
          <t>ÖSTERGÖTLANDS LÄN</t>
        </is>
      </c>
      <c r="G218" t="inlineStr">
        <is>
          <t>FINSPÅNG</t>
        </is>
      </c>
      <c r="I218" t="n">
        <v>16.6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46265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44806</v>
      </c>
      <c r="E220" s="1" t="n">
        <v>46265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45566</v>
      </c>
      <c r="E221" s="1" t="n">
        <v>46265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45566</v>
      </c>
      <c r="E222" s="1" t="n">
        <v>46265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45566</v>
      </c>
      <c r="E223" s="1" t="n">
        <v>46265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46265</v>
      </c>
      <c r="F224" t="inlineStr">
        <is>
          <t>ÖSTERGÖTLANDS LÄN</t>
        </is>
      </c>
      <c r="G224" t="inlineStr">
        <is>
          <t>FINSPÅNG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46265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46265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Naturvårdsverket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45744</v>
      </c>
      <c r="E227" s="1" t="n">
        <v>46265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46265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46265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46265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46265</v>
      </c>
      <c r="F231" t="inlineStr">
        <is>
          <t>ÖSTERGÖTLANDS LÄN</t>
        </is>
      </c>
      <c r="G231" t="inlineStr">
        <is>
          <t>FINSPÅNG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46265</v>
      </c>
      <c r="F232" t="inlineStr">
        <is>
          <t>ÖSTERGÖTLANDS LÄN</t>
        </is>
      </c>
      <c r="G232" t="inlineStr">
        <is>
          <t>FINSPÅNG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46265</v>
      </c>
      <c r="F233" t="inlineStr">
        <is>
          <t>ÖSTERGÖTLANDS LÄN</t>
        </is>
      </c>
      <c r="G233" t="inlineStr">
        <is>
          <t>FINSPÅNG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45955</v>
      </c>
      <c r="E234" s="1" t="n">
        <v>46265</v>
      </c>
      <c r="F234" t="inlineStr">
        <is>
          <t>ÖSTERGÖTLANDS LÄN</t>
        </is>
      </c>
      <c r="G234" t="inlineStr">
        <is>
          <t>FINSPÅNG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45447</v>
      </c>
      <c r="E235" s="1" t="n">
        <v>46265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46265</v>
      </c>
      <c r="F236" t="inlineStr">
        <is>
          <t>ÖSTERGÖTLANDS LÄN</t>
        </is>
      </c>
      <c r="G236" t="inlineStr">
        <is>
          <t>FINSPÅNG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46265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46265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46265</v>
      </c>
      <c r="F239" t="inlineStr">
        <is>
          <t>ÖSTERGÖTLANDS LÄN</t>
        </is>
      </c>
      <c r="G239" t="inlineStr">
        <is>
          <t>FINSPÅNG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45442</v>
      </c>
      <c r="E240" s="1" t="n">
        <v>46265</v>
      </c>
      <c r="F240" t="inlineStr">
        <is>
          <t>ÖSTERGÖTLANDS LÄN</t>
        </is>
      </c>
      <c r="G240" t="inlineStr">
        <is>
          <t>FINSPÅNG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44767</v>
      </c>
      <c r="E241" s="1" t="n">
        <v>46265</v>
      </c>
      <c r="F241" t="inlineStr">
        <is>
          <t>ÖSTERGÖTLANDS LÄN</t>
        </is>
      </c>
      <c r="G241" t="inlineStr">
        <is>
          <t>FINSPÅNG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46265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44986</v>
      </c>
      <c r="E243" s="1" t="n">
        <v>46265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46265</v>
      </c>
      <c r="F244" t="inlineStr">
        <is>
          <t>ÖSTERGÖTLANDS LÄN</t>
        </is>
      </c>
      <c r="G244" t="inlineStr">
        <is>
          <t>FINSPÅNG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46265</v>
      </c>
      <c r="F245" t="inlineStr">
        <is>
          <t>ÖSTERGÖTLANDS LÄN</t>
        </is>
      </c>
      <c r="G245" t="inlineStr">
        <is>
          <t>FINSPÅNG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46265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46265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Kyrkan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45621</v>
      </c>
      <c r="E248" s="1" t="n">
        <v>46265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46265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46265</v>
      </c>
      <c r="F250" t="inlineStr">
        <is>
          <t>ÖSTERGÖTLANDS LÄN</t>
        </is>
      </c>
      <c r="G250" t="inlineStr">
        <is>
          <t>FINSPÅNG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46265</v>
      </c>
      <c r="F251" t="inlineStr">
        <is>
          <t>ÖSTERGÖTLANDS LÄN</t>
        </is>
      </c>
      <c r="G251" t="inlineStr">
        <is>
          <t>FINSPÅNG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45250</v>
      </c>
      <c r="E252" s="1" t="n">
        <v>46265</v>
      </c>
      <c r="F252" t="inlineStr">
        <is>
          <t>ÖSTERGÖTLANDS LÄN</t>
        </is>
      </c>
      <c r="G252" t="inlineStr">
        <is>
          <t>FINSPÅNG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46265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44891</v>
      </c>
      <c r="E254" s="1" t="n">
        <v>46265</v>
      </c>
      <c r="F254" t="inlineStr">
        <is>
          <t>ÖSTERGÖTLANDS LÄN</t>
        </is>
      </c>
      <c r="G254" t="inlineStr">
        <is>
          <t>FINSPÅNG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46265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46265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Allmännings- och besparingsskogar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46265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46265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46265</v>
      </c>
      <c r="F259" t="inlineStr">
        <is>
          <t>ÖSTERGÖTLANDS LÄN</t>
        </is>
      </c>
      <c r="G259" t="inlineStr">
        <is>
          <t>FINSPÅNG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46265</v>
      </c>
      <c r="F260" t="inlineStr">
        <is>
          <t>ÖSTERGÖTLANDS LÄN</t>
        </is>
      </c>
      <c r="G260" t="inlineStr">
        <is>
          <t>FINSPÅNG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45095</v>
      </c>
      <c r="E261" s="1" t="n">
        <v>46265</v>
      </c>
      <c r="F261" t="inlineStr">
        <is>
          <t>ÖSTERGÖTLANDS LÄN</t>
        </is>
      </c>
      <c r="G261" t="inlineStr">
        <is>
          <t>FINSPÅNG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46265</v>
      </c>
      <c r="F262" t="inlineStr">
        <is>
          <t>ÖSTERGÖTLANDS LÄN</t>
        </is>
      </c>
      <c r="G262" t="inlineStr">
        <is>
          <t>FINSPÅNG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46265</v>
      </c>
      <c r="F263" t="inlineStr">
        <is>
          <t>ÖSTERGÖTLANDS LÄN</t>
        </is>
      </c>
      <c r="G263" t="inlineStr">
        <is>
          <t>FINSPÅNG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45969</v>
      </c>
      <c r="E264" s="1" t="n">
        <v>46265</v>
      </c>
      <c r="F264" t="inlineStr">
        <is>
          <t>ÖSTERGÖTLANDS LÄN</t>
        </is>
      </c>
      <c r="G264" t="inlineStr">
        <is>
          <t>FINSPÅNG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46265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46265</v>
      </c>
      <c r="F266" t="inlineStr">
        <is>
          <t>ÖSTERGÖTLANDS LÄN</t>
        </is>
      </c>
      <c r="G266" t="inlineStr">
        <is>
          <t>FINSPÅNG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46265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44860</v>
      </c>
      <c r="E268" s="1" t="n">
        <v>46265</v>
      </c>
      <c r="F268" t="inlineStr">
        <is>
          <t>ÖSTERGÖTLANDS LÄN</t>
        </is>
      </c>
      <c r="G268" t="inlineStr">
        <is>
          <t>FINSPÅNG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45328</v>
      </c>
      <c r="E269" s="1" t="n">
        <v>46265</v>
      </c>
      <c r="F269" t="inlineStr">
        <is>
          <t>ÖSTERGÖTLANDS LÄN</t>
        </is>
      </c>
      <c r="G269" t="inlineStr">
        <is>
          <t>FINSPÅNG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46265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46265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46265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46265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46265</v>
      </c>
      <c r="F274" t="inlineStr">
        <is>
          <t>ÖSTERGÖTLANDS LÄN</t>
        </is>
      </c>
      <c r="G274" t="inlineStr">
        <is>
          <t>FINSPÅNG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46265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46265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55812-2021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44476</v>
      </c>
      <c r="E277" s="1" t="n">
        <v>46265</v>
      </c>
      <c r="F277" t="inlineStr">
        <is>
          <t>ÖSTERGÖTLANDS LÄN</t>
        </is>
      </c>
      <c r="G277" t="inlineStr">
        <is>
          <t>FINSPÅNG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46265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46265</v>
      </c>
      <c r="F279" t="inlineStr">
        <is>
          <t>ÖSTERGÖTLANDS LÄN</t>
        </is>
      </c>
      <c r="G279" t="inlineStr">
        <is>
          <t>FINSPÅNG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46265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46265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46265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46265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46265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46265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Naturvårdsverket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46265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Övriga Aktiebolag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46265</v>
      </c>
      <c r="F287" t="inlineStr">
        <is>
          <t>ÖSTERGÖTLANDS LÄN</t>
        </is>
      </c>
      <c r="G287" t="inlineStr">
        <is>
          <t>FINSPÅNG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24310-2025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45797</v>
      </c>
      <c r="E288" s="1" t="n">
        <v>46265</v>
      </c>
      <c r="F288" t="inlineStr">
        <is>
          <t>ÖSTERGÖTLANDS LÄN</t>
        </is>
      </c>
      <c r="G288" t="inlineStr">
        <is>
          <t>FINSPÅNG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24328-2025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45797</v>
      </c>
      <c r="E289" s="1" t="n">
        <v>46265</v>
      </c>
      <c r="F289" t="inlineStr">
        <is>
          <t>ÖSTERGÖTLANDS LÄN</t>
        </is>
      </c>
      <c r="G289" t="inlineStr">
        <is>
          <t>FINSPÅNG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45428</v>
      </c>
      <c r="E290" s="1" t="n">
        <v>46265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46265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46265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13.6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44844</v>
      </c>
      <c r="E293" s="1" t="n">
        <v>46265</v>
      </c>
      <c r="F293" t="inlineStr">
        <is>
          <t>ÖSTERGÖTLANDS LÄN</t>
        </is>
      </c>
      <c r="G293" t="inlineStr">
        <is>
          <t>FINSPÅNG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46265</v>
      </c>
      <c r="F294" t="inlineStr">
        <is>
          <t>ÖSTERGÖTLANDS LÄN</t>
        </is>
      </c>
      <c r="G294" t="inlineStr">
        <is>
          <t>FINSPÅNG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50542-2022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44866</v>
      </c>
      <c r="E295" s="1" t="n">
        <v>46265</v>
      </c>
      <c r="F295" t="inlineStr">
        <is>
          <t>ÖSTERGÖTLANDS LÄN</t>
        </is>
      </c>
      <c r="G295" t="inlineStr">
        <is>
          <t>FINSPÅNG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44571-2022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44840</v>
      </c>
      <c r="E296" s="1" t="n">
        <v>46265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46265</v>
      </c>
      <c r="F297" t="inlineStr">
        <is>
          <t>ÖSTERGÖTLANDS LÄN</t>
        </is>
      </c>
      <c r="G297" t="inlineStr">
        <is>
          <t>FINSPÅNG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45797</v>
      </c>
      <c r="E298" s="1" t="n">
        <v>46265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46265</v>
      </c>
      <c r="F299" t="inlineStr">
        <is>
          <t>ÖSTERGÖTLANDS LÄN</t>
        </is>
      </c>
      <c r="G299" t="inlineStr">
        <is>
          <t>FINSPÅNG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45702</v>
      </c>
      <c r="E300" s="1" t="n">
        <v>46265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Övriga Aktiebolag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44656</v>
      </c>
      <c r="E301" s="1" t="n">
        <v>46265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44865</v>
      </c>
      <c r="E302" s="1" t="n">
        <v>46265</v>
      </c>
      <c r="F302" t="inlineStr">
        <is>
          <t>ÖSTERGÖTLANDS LÄN</t>
        </is>
      </c>
      <c r="G302" t="inlineStr">
        <is>
          <t>FINSPÅNG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45800</v>
      </c>
      <c r="E303" s="1" t="n">
        <v>46265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Naturvårdsverket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46265</v>
      </c>
      <c r="F304" t="inlineStr">
        <is>
          <t>ÖSTERGÖTLANDS LÄN</t>
        </is>
      </c>
      <c r="G304" t="inlineStr">
        <is>
          <t>FINSPÅNG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44887</v>
      </c>
      <c r="E305" s="1" t="n">
        <v>46265</v>
      </c>
      <c r="F305" t="inlineStr">
        <is>
          <t>ÖSTERGÖTLANDS LÄN</t>
        </is>
      </c>
      <c r="G305" t="inlineStr">
        <is>
          <t>FINSPÅNG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56288-2022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44887</v>
      </c>
      <c r="E306" s="1" t="n">
        <v>46265</v>
      </c>
      <c r="F306" t="inlineStr">
        <is>
          <t>ÖSTERGÖTLANDS LÄN</t>
        </is>
      </c>
      <c r="G306" t="inlineStr">
        <is>
          <t>FINSPÅNG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46265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45800</v>
      </c>
      <c r="E308" s="1" t="n">
        <v>46265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Naturvårdsverket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44637</v>
      </c>
      <c r="E309" s="1" t="n">
        <v>46265</v>
      </c>
      <c r="F309" t="inlineStr">
        <is>
          <t>ÖSTERGÖTLANDS LÄN</t>
        </is>
      </c>
      <c r="G309" t="inlineStr">
        <is>
          <t>FINSPÅNG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45800</v>
      </c>
      <c r="E310" s="1" t="n">
        <v>46265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Naturvårdsverket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45800</v>
      </c>
      <c r="E311" s="1" t="n">
        <v>46265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Naturvårdsverket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45642</v>
      </c>
      <c r="E312" s="1" t="n">
        <v>46265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45983</v>
      </c>
      <c r="E313" s="1" t="n">
        <v>46265</v>
      </c>
      <c r="F313" t="inlineStr">
        <is>
          <t>ÖSTERGÖTLANDS LÄN</t>
        </is>
      </c>
      <c r="G313" t="inlineStr">
        <is>
          <t>FINSPÅNG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58190-2025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45983</v>
      </c>
      <c r="E314" s="1" t="n">
        <v>46265</v>
      </c>
      <c r="F314" t="inlineStr">
        <is>
          <t>ÖSTERGÖTLANDS LÄN</t>
        </is>
      </c>
      <c r="G314" t="inlineStr">
        <is>
          <t>FINSPÅNG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46265</v>
      </c>
      <c r="F315" t="inlineStr">
        <is>
          <t>ÖSTERGÖTLANDS LÄN</t>
        </is>
      </c>
      <c r="G315" t="inlineStr">
        <is>
          <t>FINSPÅNG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45983</v>
      </c>
      <c r="E316" s="1" t="n">
        <v>46265</v>
      </c>
      <c r="F316" t="inlineStr">
        <is>
          <t>ÖSTERGÖTLANDS LÄN</t>
        </is>
      </c>
      <c r="G316" t="inlineStr">
        <is>
          <t>FINSPÅNG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58796-2025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46265</v>
      </c>
      <c r="F317" t="inlineStr">
        <is>
          <t>ÖSTERGÖTLANDS LÄN</t>
        </is>
      </c>
      <c r="G317" t="inlineStr">
        <is>
          <t>FINSPÅNG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46265</v>
      </c>
      <c r="F318" t="inlineStr">
        <is>
          <t>ÖSTERGÖTLANDS LÄN</t>
        </is>
      </c>
      <c r="G318" t="inlineStr">
        <is>
          <t>FINSPÅNG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46265</v>
      </c>
      <c r="F319" t="inlineStr">
        <is>
          <t>ÖSTERGÖTLANDS LÄN</t>
        </is>
      </c>
      <c r="G319" t="inlineStr">
        <is>
          <t>FINSPÅNG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47567-2025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45931</v>
      </c>
      <c r="E320" s="1" t="n">
        <v>46265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46265</v>
      </c>
      <c r="F321" t="inlineStr">
        <is>
          <t>ÖSTERGÖTLANDS LÄN</t>
        </is>
      </c>
      <c r="G321" t="inlineStr">
        <is>
          <t>FINSPÅNG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46265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45935</v>
      </c>
      <c r="E323" s="1" t="n">
        <v>46265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Övriga Aktiebolag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46265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46265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46265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44897</v>
      </c>
      <c r="E327" s="1" t="n">
        <v>46265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45639</v>
      </c>
      <c r="E328" s="1" t="n">
        <v>46265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46265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45846</v>
      </c>
      <c r="E330" s="1" t="n">
        <v>46265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46265</v>
      </c>
      <c r="F331" t="inlineStr">
        <is>
          <t>ÖSTERGÖTLANDS LÄN</t>
        </is>
      </c>
      <c r="G331" t="inlineStr">
        <is>
          <t>FINSPÅNG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46265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46265</v>
      </c>
      <c r="F333" t="inlineStr">
        <is>
          <t>ÖSTERGÖTLANDS LÄN</t>
        </is>
      </c>
      <c r="G333" t="inlineStr">
        <is>
          <t>FINSPÅNG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46265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59468-2021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44491</v>
      </c>
      <c r="E335" s="1" t="n">
        <v>46265</v>
      </c>
      <c r="F335" t="inlineStr">
        <is>
          <t>ÖSTERGÖTLANDS LÄN</t>
        </is>
      </c>
      <c r="G335" t="inlineStr">
        <is>
          <t>FINSPÅNG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46265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46265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50395-2025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45944</v>
      </c>
      <c r="E338" s="1" t="n">
        <v>46265</v>
      </c>
      <c r="F338" t="inlineStr">
        <is>
          <t>ÖSTERGÖTLANDS LÄN</t>
        </is>
      </c>
      <c r="G338" t="inlineStr">
        <is>
          <t>FINSPÅNG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46265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44677</v>
      </c>
      <c r="E340" s="1" t="n">
        <v>46265</v>
      </c>
      <c r="F340" t="inlineStr">
        <is>
          <t>ÖSTERGÖTLANDS LÄN</t>
        </is>
      </c>
      <c r="G340" t="inlineStr">
        <is>
          <t>FINSPÅNG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46265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46265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46265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46265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46265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46265</v>
      </c>
      <c r="F346" t="inlineStr">
        <is>
          <t>ÖSTERGÖTLANDS LÄN</t>
        </is>
      </c>
      <c r="G346" t="inlineStr">
        <is>
          <t>FINSPÅNG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46265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46265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46265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46265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46265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45566</v>
      </c>
      <c r="E352" s="1" t="n">
        <v>46265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40372-2024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46265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46265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46265</v>
      </c>
      <c r="F355" t="inlineStr">
        <is>
          <t>ÖSTERGÖTLANDS LÄN</t>
        </is>
      </c>
      <c r="G355" t="inlineStr">
        <is>
          <t>FINSPÅNG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46265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62221-2025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46265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46006</v>
      </c>
      <c r="E358" s="1" t="n">
        <v>46265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7022-2024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46265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45441</v>
      </c>
      <c r="E360" s="1" t="n">
        <v>46265</v>
      </c>
      <c r="F360" t="inlineStr">
        <is>
          <t>ÖSTERGÖTLANDS LÄN</t>
        </is>
      </c>
      <c r="G360" t="inlineStr">
        <is>
          <t>FINSPÅNG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45441</v>
      </c>
      <c r="E361" s="1" t="n">
        <v>46265</v>
      </c>
      <c r="F361" t="inlineStr">
        <is>
          <t>ÖSTERGÖTLANDS LÄN</t>
        </is>
      </c>
      <c r="G361" t="inlineStr">
        <is>
          <t>FINSPÅNG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44964</v>
      </c>
      <c r="E362" s="1" t="n">
        <v>46265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62235-2025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46265</v>
      </c>
      <c r="F363" t="inlineStr">
        <is>
          <t>ÖSTERGÖTLANDS LÄN</t>
        </is>
      </c>
      <c r="G363" t="inlineStr">
        <is>
          <t>FINSPÅNG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45179</v>
      </c>
      <c r="E364" s="1" t="n">
        <v>46265</v>
      </c>
      <c r="F364" t="inlineStr">
        <is>
          <t>ÖSTERGÖTLANDS LÄN</t>
        </is>
      </c>
      <c r="G364" t="inlineStr">
        <is>
          <t>FINSPÅNG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45179</v>
      </c>
      <c r="E365" s="1" t="n">
        <v>46265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45835</v>
      </c>
      <c r="E366" s="1" t="n">
        <v>46265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46265</v>
      </c>
      <c r="F367" t="inlineStr">
        <is>
          <t>ÖSTERGÖTLANDS LÄN</t>
        </is>
      </c>
      <c r="G367" t="inlineStr">
        <is>
          <t>FINSPÅNG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44732</v>
      </c>
      <c r="E368" s="1" t="n">
        <v>46265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46265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44918</v>
      </c>
      <c r="E370" s="1" t="n">
        <v>46265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45705</v>
      </c>
      <c r="E371" s="1" t="n">
        <v>46265</v>
      </c>
      <c r="F371" t="inlineStr">
        <is>
          <t>ÖSTERGÖTLANDS LÄN</t>
        </is>
      </c>
      <c r="G371" t="inlineStr">
        <is>
          <t>FINSPÅNG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45006</v>
      </c>
      <c r="E372" s="1" t="n">
        <v>46265</v>
      </c>
      <c r="F372" t="inlineStr">
        <is>
          <t>ÖSTERGÖTLANDS LÄN</t>
        </is>
      </c>
      <c r="G372" t="inlineStr">
        <is>
          <t>FINSPÅNG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8937-2022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44614</v>
      </c>
      <c r="E373" s="1" t="n">
        <v>46265</v>
      </c>
      <c r="F373" t="inlineStr">
        <is>
          <t>ÖSTERGÖTLANDS LÄN</t>
        </is>
      </c>
      <c r="G373" t="inlineStr">
        <is>
          <t>FINSPÅNG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18657-2024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45426</v>
      </c>
      <c r="E374" s="1" t="n">
        <v>46265</v>
      </c>
      <c r="F374" t="inlineStr">
        <is>
          <t>ÖSTERGÖTLANDS LÄN</t>
        </is>
      </c>
      <c r="G374" t="inlineStr">
        <is>
          <t>FINSPÅNG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17557-2022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44679</v>
      </c>
      <c r="E375" s="1" t="n">
        <v>46265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Övriga Aktiebolag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44725</v>
      </c>
      <c r="E376" s="1" t="n">
        <v>46265</v>
      </c>
      <c r="F376" t="inlineStr">
        <is>
          <t>ÖSTERGÖTLANDS LÄN</t>
        </is>
      </c>
      <c r="G376" t="inlineStr">
        <is>
          <t>FINSPÅNG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51435-2024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45604</v>
      </c>
      <c r="E377" s="1" t="n">
        <v>46265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46265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53123-2021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44467</v>
      </c>
      <c r="E379" s="1" t="n">
        <v>46265</v>
      </c>
      <c r="F379" t="inlineStr">
        <is>
          <t>ÖSTERGÖTLANDS LÄN</t>
        </is>
      </c>
      <c r="G379" t="inlineStr">
        <is>
          <t>FINSPÅNG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46265</v>
      </c>
      <c r="F380" t="inlineStr">
        <is>
          <t>ÖSTERGÖTLANDS LÄN</t>
        </is>
      </c>
      <c r="G380" t="inlineStr">
        <is>
          <t>FINSPÅNG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44653</v>
      </c>
      <c r="E381" s="1" t="n">
        <v>46265</v>
      </c>
      <c r="F381" t="inlineStr">
        <is>
          <t>ÖSTERGÖTLANDS LÄN</t>
        </is>
      </c>
      <c r="G381" t="inlineStr">
        <is>
          <t>FINSPÅNG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46265</v>
      </c>
      <c r="F382" t="inlineStr">
        <is>
          <t>ÖSTERGÖTLANDS LÄN</t>
        </is>
      </c>
      <c r="G382" t="inlineStr">
        <is>
          <t>FINSPÅNG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45415</v>
      </c>
      <c r="E383" s="1" t="n">
        <v>46265</v>
      </c>
      <c r="F383" t="inlineStr">
        <is>
          <t>ÖSTERGÖTLANDS LÄN</t>
        </is>
      </c>
      <c r="G383" t="inlineStr">
        <is>
          <t>FINSPÅNG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45070</v>
      </c>
      <c r="E384" s="1" t="n">
        <v>46265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45600</v>
      </c>
      <c r="E385" s="1" t="n">
        <v>46265</v>
      </c>
      <c r="F385" t="inlineStr">
        <is>
          <t>ÖSTERGÖTLANDS LÄN</t>
        </is>
      </c>
      <c r="G385" t="inlineStr">
        <is>
          <t>FINSPÅNG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45776</v>
      </c>
      <c r="E386" s="1" t="n">
        <v>46265</v>
      </c>
      <c r="F386" t="inlineStr">
        <is>
          <t>ÖSTERGÖTLANDS LÄN</t>
        </is>
      </c>
      <c r="G386" t="inlineStr">
        <is>
          <t>FINSPÅNG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64103-2023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45279</v>
      </c>
      <c r="E387" s="1" t="n">
        <v>46265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45421</v>
      </c>
      <c r="E388" s="1" t="n">
        <v>46265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45853</v>
      </c>
      <c r="E389" s="1" t="n">
        <v>46265</v>
      </c>
      <c r="F389" t="inlineStr">
        <is>
          <t>ÖSTERGÖTLANDS LÄN</t>
        </is>
      </c>
      <c r="G389" t="inlineStr">
        <is>
          <t>FINSPÅNG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7269-2024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45344</v>
      </c>
      <c r="E390" s="1" t="n">
        <v>46265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45854</v>
      </c>
      <c r="E391" s="1" t="n">
        <v>46265</v>
      </c>
      <c r="F391" t="inlineStr">
        <is>
          <t>ÖSTERGÖTLANDS LÄN</t>
        </is>
      </c>
      <c r="G391" t="inlineStr">
        <is>
          <t>FINSPÅNG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46265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46265</v>
      </c>
      <c r="F393" t="inlineStr">
        <is>
          <t>ÖSTERGÖTLANDS LÄN</t>
        </is>
      </c>
      <c r="G393" t="inlineStr">
        <is>
          <t>FINSPÅNG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45854</v>
      </c>
      <c r="E394" s="1" t="n">
        <v>46265</v>
      </c>
      <c r="F394" t="inlineStr">
        <is>
          <t>ÖSTERGÖTLANDS LÄN</t>
        </is>
      </c>
      <c r="G394" t="inlineStr">
        <is>
          <t>FINSPÅNG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33997-2024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46265</v>
      </c>
      <c r="F395" t="inlineStr">
        <is>
          <t>ÖSTERGÖTLANDS LÄN</t>
        </is>
      </c>
      <c r="G395" t="inlineStr">
        <is>
          <t>FINSPÅNG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46265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46265</v>
      </c>
      <c r="F397" t="inlineStr">
        <is>
          <t>ÖSTERGÖTLANDS LÄN</t>
        </is>
      </c>
      <c r="G397" t="inlineStr">
        <is>
          <t>FINSPÅNG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46265</v>
      </c>
      <c r="F398" t="inlineStr">
        <is>
          <t>ÖSTERGÖTLANDS LÄN</t>
        </is>
      </c>
      <c r="G398" t="inlineStr">
        <is>
          <t>FINSPÅNG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45863</v>
      </c>
      <c r="E399" s="1" t="n">
        <v>46265</v>
      </c>
      <c r="F399" t="inlineStr">
        <is>
          <t>ÖSTERGÖTLANDS LÄN</t>
        </is>
      </c>
      <c r="G399" t="inlineStr">
        <is>
          <t>FINSPÅNG</t>
        </is>
      </c>
      <c r="I399" t="n">
        <v>22.6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46265</v>
      </c>
      <c r="F400" t="inlineStr">
        <is>
          <t>ÖSTERGÖTLANDS LÄN</t>
        </is>
      </c>
      <c r="G400" t="inlineStr">
        <is>
          <t>FINSPÅNG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45820</v>
      </c>
      <c r="E401" s="1" t="n">
        <v>46265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45870</v>
      </c>
      <c r="E402" s="1" t="n">
        <v>46265</v>
      </c>
      <c r="F402" t="inlineStr">
        <is>
          <t>ÖSTERGÖTLANDS LÄN</t>
        </is>
      </c>
      <c r="G402" t="inlineStr">
        <is>
          <t>FINSPÅNG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45086</v>
      </c>
      <c r="E403" s="1" t="n">
        <v>46265</v>
      </c>
      <c r="F403" t="inlineStr">
        <is>
          <t>ÖSTERGÖTLANDS LÄN</t>
        </is>
      </c>
      <c r="G403" t="inlineStr">
        <is>
          <t>FINSPÅNG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46265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45071</v>
      </c>
      <c r="E405" s="1" t="n">
        <v>46265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58984-2022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46265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39896-2023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46265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Övriga Aktiebolag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46265</v>
      </c>
      <c r="F408" t="inlineStr">
        <is>
          <t>ÖSTERGÖTLANDS LÄN</t>
        </is>
      </c>
      <c r="G408" t="inlineStr">
        <is>
          <t>FINSPÅNG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37742-2025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46265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46265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46265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45665</v>
      </c>
      <c r="E412" s="1" t="n">
        <v>46265</v>
      </c>
      <c r="F412" t="inlineStr">
        <is>
          <t>ÖSTERGÖTLANDS LÄN</t>
        </is>
      </c>
      <c r="G412" t="inlineStr">
        <is>
          <t>FINSPÅNG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45881</v>
      </c>
      <c r="E413" s="1" t="n">
        <v>46265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Naturvårdsverket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46265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46265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73260-2021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44550</v>
      </c>
      <c r="E416" s="1" t="n">
        <v>46265</v>
      </c>
      <c r="F416" t="inlineStr">
        <is>
          <t>ÖSTERGÖTLANDS LÄN</t>
        </is>
      </c>
      <c r="G416" t="inlineStr">
        <is>
          <t>FINSPÅNG</t>
        </is>
      </c>
      <c r="I416" t="n">
        <v>10.3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44508</v>
      </c>
      <c r="E417" s="1" t="n">
        <v>46265</v>
      </c>
      <c r="F417" t="inlineStr">
        <is>
          <t>ÖSTERGÖTLANDS LÄN</t>
        </is>
      </c>
      <c r="G417" t="inlineStr">
        <is>
          <t>FINSPÅNG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45516</v>
      </c>
      <c r="E418" s="1" t="n">
        <v>46265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Kommuner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45142</v>
      </c>
      <c r="E419" s="1" t="n">
        <v>46265</v>
      </c>
      <c r="F419" t="inlineStr">
        <is>
          <t>ÖSTERGÖTLANDS LÄN</t>
        </is>
      </c>
      <c r="G419" t="inlineStr">
        <is>
          <t>FINSPÅNG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46265</v>
      </c>
      <c r="F420" t="inlineStr">
        <is>
          <t>ÖSTERGÖTLANDS LÄN</t>
        </is>
      </c>
      <c r="G420" t="inlineStr">
        <is>
          <t>FINSPÅNG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46265</v>
      </c>
      <c r="F421" t="inlineStr">
        <is>
          <t>ÖSTERGÖTLANDS LÄN</t>
        </is>
      </c>
      <c r="G421" t="inlineStr">
        <is>
          <t>FINSPÅNG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48691-2024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45593</v>
      </c>
      <c r="E422" s="1" t="n">
        <v>46265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Övriga Aktiebolag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45646</v>
      </c>
      <c r="E423" s="1" t="n">
        <v>46265</v>
      </c>
      <c r="F423" t="inlineStr">
        <is>
          <t>ÖSTERGÖTLANDS LÄN</t>
        </is>
      </c>
      <c r="G423" t="inlineStr">
        <is>
          <t>FINSPÅNG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44774</v>
      </c>
      <c r="E424" s="1" t="n">
        <v>46265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45095</v>
      </c>
      <c r="E425" s="1" t="n">
        <v>46265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Övriga Aktiebolag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45095</v>
      </c>
      <c r="E426" s="1" t="n">
        <v>46265</v>
      </c>
      <c r="F426" t="inlineStr">
        <is>
          <t>ÖSTERGÖTLANDS LÄN</t>
        </is>
      </c>
      <c r="G426" t="inlineStr">
        <is>
          <t>FINSPÅNG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46265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46265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45615</v>
      </c>
      <c r="E429" s="1" t="n">
        <v>46265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46265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46265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46265</v>
      </c>
      <c r="F432" t="inlineStr">
        <is>
          <t>ÖSTERGÖTLANDS LÄN</t>
        </is>
      </c>
      <c r="G432" t="inlineStr">
        <is>
          <t>FINSPÅNG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45713</v>
      </c>
      <c r="E433" s="1" t="n">
        <v>46265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45744</v>
      </c>
      <c r="E434" s="1" t="n">
        <v>46265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46265</v>
      </c>
      <c r="F435" t="inlineStr">
        <is>
          <t>ÖSTERGÖTLANDS LÄN</t>
        </is>
      </c>
      <c r="G435" t="inlineStr">
        <is>
          <t>FINSPÅNG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30271-2022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44759</v>
      </c>
      <c r="E436" s="1" t="n">
        <v>46265</v>
      </c>
      <c r="F436" t="inlineStr">
        <is>
          <t>ÖSTERGÖTLANDS LÄN</t>
        </is>
      </c>
      <c r="G436" t="inlineStr">
        <is>
          <t>FINSPÅNG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46265</v>
      </c>
      <c r="F437" t="inlineStr">
        <is>
          <t>ÖSTERGÖTLANDS LÄN</t>
        </is>
      </c>
      <c r="G437" t="inlineStr">
        <is>
          <t>FINSPÅNG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45692</v>
      </c>
      <c r="E438" s="1" t="n">
        <v>46265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45688</v>
      </c>
      <c r="E439" s="1" t="n">
        <v>46265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55612-2021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44476</v>
      </c>
      <c r="E440" s="1" t="n">
        <v>46265</v>
      </c>
      <c r="F440" t="inlineStr">
        <is>
          <t>ÖSTERGÖTLANDS LÄN</t>
        </is>
      </c>
      <c r="G440" t="inlineStr">
        <is>
          <t>FINSPÅNG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54609-2021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44473</v>
      </c>
      <c r="E441" s="1" t="n">
        <v>46265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40194-2022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46265</v>
      </c>
      <c r="F442" t="inlineStr">
        <is>
          <t>ÖSTERGÖTLANDS LÄN</t>
        </is>
      </c>
      <c r="G442" t="inlineStr">
        <is>
          <t>FINSPÅNG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46265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Naturvårdsverket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46265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46265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45688</v>
      </c>
      <c r="E446" s="1" t="n">
        <v>46265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10.3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43318-2022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44834</v>
      </c>
      <c r="E447" s="1" t="n">
        <v>46265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49677-2022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44862</v>
      </c>
      <c r="E448" s="1" t="n">
        <v>46265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9.6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44973</v>
      </c>
      <c r="E449" s="1" t="n">
        <v>46265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53821-2022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44880</v>
      </c>
      <c r="E450" s="1" t="n">
        <v>46265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45710</v>
      </c>
      <c r="E451" s="1" t="n">
        <v>46265</v>
      </c>
      <c r="F451" t="inlineStr">
        <is>
          <t>ÖSTERGÖTLANDS LÄN</t>
        </is>
      </c>
      <c r="G451" t="inlineStr">
        <is>
          <t>FINSPÅNG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45314-2023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45191</v>
      </c>
      <c r="E452" s="1" t="n">
        <v>46265</v>
      </c>
      <c r="F452" t="inlineStr">
        <is>
          <t>ÖSTERGÖTLANDS LÄN</t>
        </is>
      </c>
      <c r="G452" t="inlineStr">
        <is>
          <t>FINSPÅNG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45770</v>
      </c>
      <c r="E453" s="1" t="n">
        <v>46265</v>
      </c>
      <c r="F453" t="inlineStr">
        <is>
          <t>ÖSTERGÖTLANDS LÄN</t>
        </is>
      </c>
      <c r="G453" t="inlineStr">
        <is>
          <t>FINSPÅNG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54727-2023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45236</v>
      </c>
      <c r="E454" s="1" t="n">
        <v>46265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45236</v>
      </c>
      <c r="E455" s="1" t="n">
        <v>46265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54923-2022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44886</v>
      </c>
      <c r="E456" s="1" t="n">
        <v>46265</v>
      </c>
      <c r="F456" t="inlineStr">
        <is>
          <t>ÖSTERGÖTLANDS LÄN</t>
        </is>
      </c>
      <c r="G456" t="inlineStr">
        <is>
          <t>FINSPÅNG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22354-2023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45070</v>
      </c>
      <c r="E457" s="1" t="n">
        <v>46265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42651-2024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46265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45042</v>
      </c>
      <c r="E459" s="1" t="n">
        <v>46265</v>
      </c>
      <c r="F459" t="inlineStr">
        <is>
          <t>ÖSTERGÖTLANDS LÄN</t>
        </is>
      </c>
      <c r="G459" t="inlineStr">
        <is>
          <t>FINSPÅNG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11839-2025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46265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53246-2022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44876</v>
      </c>
      <c r="E461" s="1" t="n">
        <v>46265</v>
      </c>
      <c r="F461" t="inlineStr">
        <is>
          <t>ÖSTERGÖTLANDS LÄN</t>
        </is>
      </c>
      <c r="G461" t="inlineStr">
        <is>
          <t>FINSPÅNG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44642</v>
      </c>
      <c r="E462" s="1" t="n">
        <v>46265</v>
      </c>
      <c r="F462" t="inlineStr">
        <is>
          <t>ÖSTERGÖTLANDS LÄN</t>
        </is>
      </c>
      <c r="G462" t="inlineStr">
        <is>
          <t>FINSPÅNG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70505-2021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44536</v>
      </c>
      <c r="E463" s="1" t="n">
        <v>46265</v>
      </c>
      <c r="F463" t="inlineStr">
        <is>
          <t>ÖSTERGÖTLANDS LÄN</t>
        </is>
      </c>
      <c r="G463" t="inlineStr">
        <is>
          <t>FINSPÅNG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46265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55052-2023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46265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Kyrkan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46265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46265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46265</v>
      </c>
      <c r="F468" t="inlineStr">
        <is>
          <t>ÖSTERGÖTLANDS LÄN</t>
        </is>
      </c>
      <c r="G468" t="inlineStr">
        <is>
          <t>FINSPÅNG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46265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46265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46265</v>
      </c>
      <c r="F471" t="inlineStr">
        <is>
          <t>ÖSTERGÖTLANDS LÄN</t>
        </is>
      </c>
      <c r="G471" t="inlineStr">
        <is>
          <t>FINSPÅNG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46265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Kyrkan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44944</v>
      </c>
      <c r="E473" s="1" t="n">
        <v>46265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46265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46265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46265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5595-2022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44595</v>
      </c>
      <c r="E477" s="1" t="n">
        <v>46265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Övriga Aktiebolag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54404-2023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45233</v>
      </c>
      <c r="E478" s="1" t="n">
        <v>46265</v>
      </c>
      <c r="F478" t="inlineStr">
        <is>
          <t>ÖSTERGÖTLANDS LÄN</t>
        </is>
      </c>
      <c r="G478" t="inlineStr">
        <is>
          <t>FINSPÅNG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46265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46265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46040</v>
      </c>
      <c r="E481" s="1" t="n">
        <v>46265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46040</v>
      </c>
      <c r="E482" s="1" t="n">
        <v>46265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44564</v>
      </c>
      <c r="E483" s="1" t="n">
        <v>46265</v>
      </c>
      <c r="F483" t="inlineStr">
        <is>
          <t>ÖSTERGÖTLANDS LÄN</t>
        </is>
      </c>
      <c r="G483" t="inlineStr">
        <is>
          <t>FINSPÅNG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42782-2024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46265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45095</v>
      </c>
      <c r="E485" s="1" t="n">
        <v>46265</v>
      </c>
      <c r="F485" t="inlineStr">
        <is>
          <t>ÖSTERGÖTLANDS LÄN</t>
        </is>
      </c>
      <c r="G485" t="inlineStr">
        <is>
          <t>FINSPÅNG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45082</v>
      </c>
      <c r="E486" s="1" t="n">
        <v>46265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46265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45013</v>
      </c>
      <c r="E488" s="1" t="n">
        <v>46265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46265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46265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46265</v>
      </c>
      <c r="F491" t="inlineStr">
        <is>
          <t>ÖSTERGÖTLANDS LÄN</t>
        </is>
      </c>
      <c r="G491" t="inlineStr">
        <is>
          <t>FINSPÅNG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46265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44589</v>
      </c>
      <c r="E493" s="1" t="n">
        <v>46265</v>
      </c>
      <c r="F493" t="inlineStr">
        <is>
          <t>ÖSTERGÖTLANDS LÄN</t>
        </is>
      </c>
      <c r="G493" t="inlineStr">
        <is>
          <t>FINSPÅNG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46265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46265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45407</v>
      </c>
      <c r="E496" s="1" t="n">
        <v>46265</v>
      </c>
      <c r="F496" t="inlineStr">
        <is>
          <t>ÖSTERGÖTLANDS LÄN</t>
        </is>
      </c>
      <c r="G496" t="inlineStr">
        <is>
          <t>FINSPÅNG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46265</v>
      </c>
      <c r="F497" t="inlineStr">
        <is>
          <t>ÖSTERGÖTLANDS LÄN</t>
        </is>
      </c>
      <c r="G497" t="inlineStr">
        <is>
          <t>FINSPÅNG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58142-2022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44900</v>
      </c>
      <c r="E498" s="1" t="n">
        <v>46265</v>
      </c>
      <c r="F498" t="inlineStr">
        <is>
          <t>ÖSTERGÖTLANDS LÄN</t>
        </is>
      </c>
      <c r="G498" t="inlineStr">
        <is>
          <t>FINSPÅNG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46265</v>
      </c>
      <c r="F499" t="inlineStr">
        <is>
          <t>ÖSTERGÖTLANDS LÄN</t>
        </is>
      </c>
      <c r="G499" t="inlineStr">
        <is>
          <t>FINSPÅNG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45357</v>
      </c>
      <c r="E500" s="1" t="n">
        <v>46265</v>
      </c>
      <c r="F500" t="inlineStr">
        <is>
          <t>ÖSTERGÖTLANDS LÄN</t>
        </is>
      </c>
      <c r="G500" t="inlineStr">
        <is>
          <t>FINSPÅNG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56309-2022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44887</v>
      </c>
      <c r="E501" s="1" t="n">
        <v>46265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60547-2023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45259</v>
      </c>
      <c r="E502" s="1" t="n">
        <v>46265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46265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46265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63585-2023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45275</v>
      </c>
      <c r="E505" s="1" t="n">
        <v>46265</v>
      </c>
      <c r="F505" t="inlineStr">
        <is>
          <t>ÖSTERGÖTLANDS LÄN</t>
        </is>
      </c>
      <c r="G505" t="inlineStr">
        <is>
          <t>FINSPÅNG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25678-2024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45463</v>
      </c>
      <c r="E506" s="1" t="n">
        <v>46265</v>
      </c>
      <c r="F506" t="inlineStr">
        <is>
          <t>ÖSTERGÖTLANDS LÄN</t>
        </is>
      </c>
      <c r="G506" t="inlineStr">
        <is>
          <t>FINSPÅNG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46265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Övriga Aktiebolag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46058</v>
      </c>
      <c r="E508" s="1" t="n">
        <v>46265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46265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45677</v>
      </c>
      <c r="E510" s="1" t="n">
        <v>46265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46265</v>
      </c>
      <c r="F511" t="inlineStr">
        <is>
          <t>ÖSTERGÖTLANDS LÄN</t>
        </is>
      </c>
      <c r="G511" t="inlineStr">
        <is>
          <t>FINSPÅNG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46265</v>
      </c>
      <c r="F512" t="inlineStr">
        <is>
          <t>ÖSTERGÖTLANDS LÄN</t>
        </is>
      </c>
      <c r="G512" t="inlineStr">
        <is>
          <t>FINSPÅNG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46265</v>
      </c>
      <c r="F513" t="inlineStr">
        <is>
          <t>ÖSTERGÖTLANDS LÄN</t>
        </is>
      </c>
      <c r="G513" t="inlineStr">
        <is>
          <t>FINSPÅNG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44966</v>
      </c>
      <c r="E514" s="1" t="n">
        <v>46265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45293</v>
      </c>
      <c r="E515" s="1" t="n">
        <v>46265</v>
      </c>
      <c r="F515" t="inlineStr">
        <is>
          <t>ÖSTERGÖTLANDS LÄN</t>
        </is>
      </c>
      <c r="G515" t="inlineStr">
        <is>
          <t>FINSPÅNG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13821-2024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45391</v>
      </c>
      <c r="E516" s="1" t="n">
        <v>46265</v>
      </c>
      <c r="F516" t="inlineStr">
        <is>
          <t>ÖSTERGÖTLANDS LÄN</t>
        </is>
      </c>
      <c r="G516" t="inlineStr">
        <is>
          <t>FINSPÅNG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46265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46060</v>
      </c>
      <c r="E518" s="1" t="n">
        <v>46265</v>
      </c>
      <c r="F518" t="inlineStr">
        <is>
          <t>ÖSTERGÖTLANDS LÄN</t>
        </is>
      </c>
      <c r="G518" t="inlineStr">
        <is>
          <t>FINSPÅNG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44949</v>
      </c>
      <c r="E519" s="1" t="n">
        <v>46265</v>
      </c>
      <c r="F519" t="inlineStr">
        <is>
          <t>ÖSTERGÖTLANDS LÄN</t>
        </is>
      </c>
      <c r="G519" t="inlineStr">
        <is>
          <t>FINSPÅNG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7743-2023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44973</v>
      </c>
      <c r="E520" s="1" t="n">
        <v>46265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46265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Övriga Aktiebolag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46265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6.9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44922</v>
      </c>
      <c r="E523" s="1" t="n">
        <v>46265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46265</v>
      </c>
      <c r="F524" t="inlineStr">
        <is>
          <t>ÖSTERGÖTLANDS LÄN</t>
        </is>
      </c>
      <c r="G524" t="inlineStr">
        <is>
          <t>FINSPÅNG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46265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Övriga Aktiebolag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45293</v>
      </c>
      <c r="E526" s="1" t="n">
        <v>46265</v>
      </c>
      <c r="F526" t="inlineStr">
        <is>
          <t>ÖSTERGÖTLANDS LÄN</t>
        </is>
      </c>
      <c r="G526" t="inlineStr">
        <is>
          <t>FINSPÅNG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46265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Sveaskog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46265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Sveaskog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45391</v>
      </c>
      <c r="E529" s="1" t="n">
        <v>46265</v>
      </c>
      <c r="F529" t="inlineStr">
        <is>
          <t>ÖSTERGÖTLANDS LÄN</t>
        </is>
      </c>
      <c r="G529" t="inlineStr">
        <is>
          <t>FINSPÅNG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44678</v>
      </c>
      <c r="E530" s="1" t="n">
        <v>46265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45002</v>
      </c>
      <c r="E531" s="1" t="n">
        <v>46265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Kyrkan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46265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46265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23821-2023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45078</v>
      </c>
      <c r="E534" s="1" t="n">
        <v>46265</v>
      </c>
      <c r="F534" t="inlineStr">
        <is>
          <t>ÖSTERGÖTLANDS LÄN</t>
        </is>
      </c>
      <c r="G534" t="inlineStr">
        <is>
          <t>FINSPÅNG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46265</v>
      </c>
      <c r="F535" t="inlineStr">
        <is>
          <t>ÖSTERGÖTLANDS LÄN</t>
        </is>
      </c>
      <c r="G535" t="inlineStr">
        <is>
          <t>FINSPÅNG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46265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33804-2023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45133</v>
      </c>
      <c r="E537" s="1" t="n">
        <v>46265</v>
      </c>
      <c r="F537" t="inlineStr">
        <is>
          <t>ÖSTERGÖTLANDS LÄN</t>
        </is>
      </c>
      <c r="G537" t="inlineStr">
        <is>
          <t>FINSPÅNG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46064</v>
      </c>
      <c r="E538" s="1" t="n">
        <v>46265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46265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Sveaskog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73655-2021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44551</v>
      </c>
      <c r="E540" s="1" t="n">
        <v>46265</v>
      </c>
      <c r="F540" t="inlineStr">
        <is>
          <t>ÖSTERGÖTLANDS LÄN</t>
        </is>
      </c>
      <c r="G540" t="inlineStr">
        <is>
          <t>FINSPÅNG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45447</v>
      </c>
      <c r="E541" s="1" t="n">
        <v>46265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39655-2023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45167</v>
      </c>
      <c r="E542" s="1" t="n">
        <v>46265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Kyrkan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44937</v>
      </c>
      <c r="E543" s="1" t="n">
        <v>46265</v>
      </c>
      <c r="F543" t="inlineStr">
        <is>
          <t>ÖSTERGÖTLANDS LÄN</t>
        </is>
      </c>
      <c r="G543" t="inlineStr">
        <is>
          <t>FINSPÅNG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45314</v>
      </c>
      <c r="E544" s="1" t="n">
        <v>46265</v>
      </c>
      <c r="F544" t="inlineStr">
        <is>
          <t>ÖSTERGÖTLANDS LÄN</t>
        </is>
      </c>
      <c r="G544" t="inlineStr">
        <is>
          <t>FINSPÅNG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46265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44981</v>
      </c>
      <c r="E546" s="1" t="n">
        <v>46265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46265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46265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9173-2026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46265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45041</v>
      </c>
      <c r="E550" s="1" t="n">
        <v>46265</v>
      </c>
      <c r="F550" t="inlineStr">
        <is>
          <t>ÖSTERGÖTLANDS LÄN</t>
        </is>
      </c>
      <c r="G550" t="inlineStr">
        <is>
          <t>FINSPÅNG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45063</v>
      </c>
      <c r="E551" s="1" t="n">
        <v>46265</v>
      </c>
      <c r="F551" t="inlineStr">
        <is>
          <t>ÖSTERGÖTLANDS LÄN</t>
        </is>
      </c>
      <c r="G551" t="inlineStr">
        <is>
          <t>FINSPÅNG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46265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31025-2023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45113</v>
      </c>
      <c r="E553" s="1" t="n">
        <v>46265</v>
      </c>
      <c r="F553" t="inlineStr">
        <is>
          <t>ÖSTERGÖTLANDS LÄN</t>
        </is>
      </c>
      <c r="G553" t="inlineStr">
        <is>
          <t>FINSPÅNG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46265</v>
      </c>
      <c r="F554" t="inlineStr">
        <is>
          <t>ÖSTERGÖTLANDS LÄN</t>
        </is>
      </c>
      <c r="G554" t="inlineStr">
        <is>
          <t>FINSPÅNG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45040</v>
      </c>
      <c r="E555" s="1" t="n">
        <v>46265</v>
      </c>
      <c r="F555" t="inlineStr">
        <is>
          <t>ÖSTERGÖTLANDS LÄN</t>
        </is>
      </c>
      <c r="G555" t="inlineStr">
        <is>
          <t>FINSPÅNG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45020</v>
      </c>
      <c r="E556" s="1" t="n">
        <v>46265</v>
      </c>
      <c r="F556" t="inlineStr">
        <is>
          <t>ÖSTERGÖTLANDS LÄN</t>
        </is>
      </c>
      <c r="G556" t="inlineStr">
        <is>
          <t>FINSPÅNG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45593</v>
      </c>
      <c r="E557" s="1" t="n">
        <v>46265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Övriga Aktiebolag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46265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46076</v>
      </c>
      <c r="E559" s="1" t="n">
        <v>46265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46265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45068</v>
      </c>
      <c r="E561" s="1" t="n">
        <v>46265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46078</v>
      </c>
      <c r="E562" s="1" t="n">
        <v>46265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46265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36192-2023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46265</v>
      </c>
      <c r="F564" t="inlineStr">
        <is>
          <t>ÖSTERGÖTLANDS LÄN</t>
        </is>
      </c>
      <c r="G564" t="inlineStr">
        <is>
          <t>FINSPÅNG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11251-2026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46265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45617</v>
      </c>
      <c r="E566" s="1" t="n">
        <v>46265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45302</v>
      </c>
      <c r="E567" s="1" t="n">
        <v>46265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46265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46265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46265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46265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44622</v>
      </c>
      <c r="E572" s="1" t="n">
        <v>46265</v>
      </c>
      <c r="F572" t="inlineStr">
        <is>
          <t>ÖSTERGÖTLANDS LÄN</t>
        </is>
      </c>
      <c r="G572" t="inlineStr">
        <is>
          <t>FINSPÅNG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46085</v>
      </c>
      <c r="E573" s="1" t="n">
        <v>46265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46265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11813-2026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46085</v>
      </c>
      <c r="E575" s="1" t="n">
        <v>46265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44564</v>
      </c>
      <c r="E576" s="1" t="n">
        <v>46265</v>
      </c>
      <c r="F576" t="inlineStr">
        <is>
          <t>ÖSTERGÖTLANDS LÄN</t>
        </is>
      </c>
      <c r="G576" t="inlineStr">
        <is>
          <t>FINSPÅNG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44958</v>
      </c>
      <c r="E577" s="1" t="n">
        <v>46265</v>
      </c>
      <c r="F577" t="inlineStr">
        <is>
          <t>ÖSTERGÖTLANDS LÄN</t>
        </is>
      </c>
      <c r="G577" t="inlineStr">
        <is>
          <t>FINSPÅNG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45095</v>
      </c>
      <c r="E578" s="1" t="n">
        <v>46265</v>
      </c>
      <c r="F578" t="inlineStr">
        <is>
          <t>ÖSTERGÖTLANDS LÄN</t>
        </is>
      </c>
      <c r="G578" t="inlineStr">
        <is>
          <t>FINSPÅNG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65742-2021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44516</v>
      </c>
      <c r="E579" s="1" t="n">
        <v>46265</v>
      </c>
      <c r="F579" t="inlineStr">
        <is>
          <t>ÖSTERGÖTLANDS LÄN</t>
        </is>
      </c>
      <c r="G579" t="inlineStr">
        <is>
          <t>FINSPÅNG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18134-2023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45040</v>
      </c>
      <c r="E580" s="1" t="n">
        <v>46265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53670-2024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45615</v>
      </c>
      <c r="E581" s="1" t="n">
        <v>46265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45609</v>
      </c>
      <c r="E582" s="1" t="n">
        <v>46265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45554</v>
      </c>
      <c r="E583" s="1" t="n">
        <v>46265</v>
      </c>
      <c r="F583" t="inlineStr">
        <is>
          <t>ÖSTERGÖTLANDS LÄN</t>
        </is>
      </c>
      <c r="G583" t="inlineStr">
        <is>
          <t>FINSPÅNG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39415-2024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45551</v>
      </c>
      <c r="E584" s="1" t="n">
        <v>46265</v>
      </c>
      <c r="F584" t="inlineStr">
        <is>
          <t>ÖSTERGÖTLANDS LÄN</t>
        </is>
      </c>
      <c r="G584" t="inlineStr">
        <is>
          <t>FINSPÅNG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10215-2022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44622</v>
      </c>
      <c r="E585" s="1" t="n">
        <v>46265</v>
      </c>
      <c r="F585" t="inlineStr">
        <is>
          <t>ÖSTERGÖTLANDS LÄN</t>
        </is>
      </c>
      <c r="G585" t="inlineStr">
        <is>
          <t>FINSPÅNG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46265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45077</v>
      </c>
      <c r="E587" s="1" t="n">
        <v>46265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46265</v>
      </c>
      <c r="F588" t="inlineStr">
        <is>
          <t>ÖSTERGÖTLANDS LÄN</t>
        </is>
      </c>
      <c r="G588" t="inlineStr">
        <is>
          <t>FINSPÅNG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14064-2026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46265</v>
      </c>
      <c r="F589" t="inlineStr">
        <is>
          <t>ÖSTERGÖTLANDS LÄN</t>
        </is>
      </c>
      <c r="G589" t="inlineStr">
        <is>
          <t>FINSPÅNG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45206</v>
      </c>
      <c r="E590" s="1" t="n">
        <v>46265</v>
      </c>
      <c r="F590" t="inlineStr">
        <is>
          <t>ÖSTERGÖTLANDS LÄN</t>
        </is>
      </c>
      <c r="G590" t="inlineStr">
        <is>
          <t>FINSPÅNG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14078-2026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46265</v>
      </c>
      <c r="F591" t="inlineStr">
        <is>
          <t>ÖSTERGÖTLANDS LÄN</t>
        </is>
      </c>
      <c r="G591" t="inlineStr">
        <is>
          <t>FINSPÅNG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45084</v>
      </c>
      <c r="E592" s="1" t="n">
        <v>46265</v>
      </c>
      <c r="F592" t="inlineStr">
        <is>
          <t>ÖSTERGÖTLANDS LÄN</t>
        </is>
      </c>
      <c r="G592" t="inlineStr">
        <is>
          <t>FINSPÅNG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45456</v>
      </c>
      <c r="E593" s="1" t="n">
        <v>46265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41328-2023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45174</v>
      </c>
      <c r="E594" s="1" t="n">
        <v>46265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Kyrkan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46265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14125-2026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46265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61114-2024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45645</v>
      </c>
      <c r="E597" s="1" t="n">
        <v>46265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46265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34758-2022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44795</v>
      </c>
      <c r="E599" s="1" t="n">
        <v>46265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Övriga Aktiebolag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46265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45715</v>
      </c>
      <c r="E601" s="1" t="n">
        <v>46265</v>
      </c>
      <c r="F601" t="inlineStr">
        <is>
          <t>ÖSTERGÖTLANDS LÄN</t>
        </is>
      </c>
      <c r="G601" t="inlineStr">
        <is>
          <t>FINSPÅNG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44634</v>
      </c>
      <c r="E602" s="1" t="n">
        <v>46265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16355-2026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46265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16849-2026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46113</v>
      </c>
      <c r="E604" s="1" t="n">
        <v>46265</v>
      </c>
      <c r="F604" t="inlineStr">
        <is>
          <t>ÖSTERGÖTLANDS LÄN</t>
        </is>
      </c>
      <c r="G604" t="inlineStr">
        <is>
          <t>FINSPÅNG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16902-2026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46113</v>
      </c>
      <c r="E605" s="1" t="n">
        <v>46265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18349-2025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45762</v>
      </c>
      <c r="E606" s="1" t="n">
        <v>46265</v>
      </c>
      <c r="F606" t="inlineStr">
        <is>
          <t>ÖSTERGÖTLANDS LÄN</t>
        </is>
      </c>
      <c r="G606" t="inlineStr">
        <is>
          <t>FINSPÅNG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46114</v>
      </c>
      <c r="E607" s="1" t="n">
        <v>46265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17008-2026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46114</v>
      </c>
      <c r="E608" s="1" t="n">
        <v>46265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16996-2026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46114</v>
      </c>
      <c r="E609" s="1" t="n">
        <v>46265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46265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46121</v>
      </c>
      <c r="E611" s="1" t="n">
        <v>46265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18086-2026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46125</v>
      </c>
      <c r="E612" s="1" t="n">
        <v>46265</v>
      </c>
      <c r="F612" t="inlineStr">
        <is>
          <t>ÖSTERGÖTLANDS LÄN</t>
        </is>
      </c>
      <c r="G612" t="inlineStr">
        <is>
          <t>FINSPÅNG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17769-2026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46265</v>
      </c>
      <c r="F613" t="inlineStr">
        <is>
          <t>ÖSTERGÖTLANDS LÄN</t>
        </is>
      </c>
      <c r="G613" t="inlineStr">
        <is>
          <t>FINSPÅNG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35570-2023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45147</v>
      </c>
      <c r="E614" s="1" t="n">
        <v>46265</v>
      </c>
      <c r="F614" t="inlineStr">
        <is>
          <t>ÖSTERGÖTLANDS LÄN</t>
        </is>
      </c>
      <c r="G614" t="inlineStr">
        <is>
          <t>FINSPÅNG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46129</v>
      </c>
      <c r="E615" s="1" t="n">
        <v>46265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48790-2023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45209</v>
      </c>
      <c r="E616" s="1" t="n">
        <v>46265</v>
      </c>
      <c r="F616" t="inlineStr">
        <is>
          <t>ÖSTERGÖTLANDS LÄN</t>
        </is>
      </c>
      <c r="G616" t="inlineStr">
        <is>
          <t>FINSPÅNG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48793-2023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45209</v>
      </c>
      <c r="E617" s="1" t="n">
        <v>46265</v>
      </c>
      <c r="F617" t="inlineStr">
        <is>
          <t>ÖSTERGÖTLANDS LÄN</t>
        </is>
      </c>
      <c r="G617" t="inlineStr">
        <is>
          <t>FINSPÅNG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46265</v>
      </c>
      <c r="F618" t="inlineStr">
        <is>
          <t>ÖSTERGÖTLANDS LÄN</t>
        </is>
      </c>
      <c r="G618" t="inlineStr">
        <is>
          <t>FINSPÅNG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46265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45660</v>
      </c>
      <c r="E620" s="1" t="n">
        <v>46265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Övriga Aktiebolag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28722-2023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45103</v>
      </c>
      <c r="E621" s="1" t="n">
        <v>46265</v>
      </c>
      <c r="F621" t="inlineStr">
        <is>
          <t>ÖSTERGÖTLANDS LÄN</t>
        </is>
      </c>
      <c r="G621" t="inlineStr">
        <is>
          <t>FINSPÅNG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59287-2023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45253</v>
      </c>
      <c r="E622" s="1" t="n">
        <v>46265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45086</v>
      </c>
      <c r="E623" s="1" t="n">
        <v>46265</v>
      </c>
      <c r="F623" t="inlineStr">
        <is>
          <t>ÖSTERGÖTLANDS LÄN</t>
        </is>
      </c>
      <c r="G623" t="inlineStr">
        <is>
          <t>FINSPÅNG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45706</v>
      </c>
      <c r="E624" s="1" t="n">
        <v>46265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15824-2022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44664</v>
      </c>
      <c r="E625" s="1" t="n">
        <v>46265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45692</v>
      </c>
      <c r="E626" s="1" t="n">
        <v>46265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63482-2023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45274</v>
      </c>
      <c r="E627" s="1" t="n">
        <v>46265</v>
      </c>
      <c r="F627" t="inlineStr">
        <is>
          <t>ÖSTERGÖTLANDS LÄN</t>
        </is>
      </c>
      <c r="G627" t="inlineStr">
        <is>
          <t>FINSPÅNG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45740</v>
      </c>
      <c r="E628" s="1" t="n">
        <v>46265</v>
      </c>
      <c r="F628" t="inlineStr">
        <is>
          <t>ÖSTERGÖTLANDS LÄN</t>
        </is>
      </c>
      <c r="G628" t="inlineStr">
        <is>
          <t>FINSPÅNG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30920-2022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44767</v>
      </c>
      <c r="E629" s="1" t="n">
        <v>46265</v>
      </c>
      <c r="F629" t="inlineStr">
        <is>
          <t>ÖSTERGÖTLANDS LÄN</t>
        </is>
      </c>
      <c r="G629" t="inlineStr">
        <is>
          <t>FINSPÅNG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45720</v>
      </c>
      <c r="E630" s="1" t="n">
        <v>46265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26247-2022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44735</v>
      </c>
      <c r="E631" s="1" t="n">
        <v>46265</v>
      </c>
      <c r="F631" t="inlineStr">
        <is>
          <t>ÖSTERGÖTLANDS LÄN</t>
        </is>
      </c>
      <c r="G631" t="inlineStr">
        <is>
          <t>FINSPÅNG</t>
        </is>
      </c>
      <c r="I631" t="n">
        <v>10.1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45915</v>
      </c>
      <c r="E632" s="1" t="n">
        <v>46265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7826-2025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45706</v>
      </c>
      <c r="E633" s="1" t="n">
        <v>46265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45853</v>
      </c>
      <c r="E634" s="1" t="n">
        <v>46265</v>
      </c>
      <c r="F634" t="inlineStr">
        <is>
          <t>ÖSTERGÖTLANDS LÄN</t>
        </is>
      </c>
      <c r="G634" t="inlineStr">
        <is>
          <t>FINSPÅNG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45783</v>
      </c>
      <c r="E635" s="1" t="n">
        <v>46265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46265</v>
      </c>
      <c r="F636" t="inlineStr">
        <is>
          <t>ÖSTERGÖTLANDS LÄN</t>
        </is>
      </c>
      <c r="G636" t="inlineStr">
        <is>
          <t>FINSPÅNG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25195-2022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44729</v>
      </c>
      <c r="E637" s="1" t="n">
        <v>46265</v>
      </c>
      <c r="F637" t="inlineStr">
        <is>
          <t>ÖSTERGÖTLANDS LÄN</t>
        </is>
      </c>
      <c r="G637" t="inlineStr">
        <is>
          <t>FINSPÅNG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36191-2023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45149</v>
      </c>
      <c r="E638" s="1" t="n">
        <v>46265</v>
      </c>
      <c r="F638" t="inlineStr">
        <is>
          <t>ÖSTERGÖTLANDS LÄN</t>
        </is>
      </c>
      <c r="G638" t="inlineStr">
        <is>
          <t>FINSPÅNG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45257</v>
      </c>
      <c r="E639" s="1" t="n">
        <v>46265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6635-2025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45700</v>
      </c>
      <c r="E640" s="1" t="n">
        <v>46265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45314</v>
      </c>
      <c r="E641" s="1" t="n">
        <v>46265</v>
      </c>
      <c r="F641" t="inlineStr">
        <is>
          <t>ÖSTERGÖTLANDS LÄN</t>
        </is>
      </c>
      <c r="G641" t="inlineStr">
        <is>
          <t>FINSPÅNG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44672</v>
      </c>
      <c r="E642" s="1" t="n">
        <v>46265</v>
      </c>
      <c r="F642" t="inlineStr">
        <is>
          <t>ÖSTERGÖTLANDS LÄN</t>
        </is>
      </c>
      <c r="G642" t="inlineStr">
        <is>
          <t>FINSPÅNG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45308</v>
      </c>
      <c r="E643" s="1" t="n">
        <v>46265</v>
      </c>
      <c r="F643" t="inlineStr">
        <is>
          <t>ÖSTERGÖTLANDS LÄN</t>
        </is>
      </c>
      <c r="G643" t="inlineStr">
        <is>
          <t>FINSPÅNG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40319-2022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44823</v>
      </c>
      <c r="E644" s="1" t="n">
        <v>46265</v>
      </c>
      <c r="F644" t="inlineStr">
        <is>
          <t>ÖSTERGÖTLANDS LÄN</t>
        </is>
      </c>
      <c r="G644" t="inlineStr">
        <is>
          <t>FINSPÅNG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55980-2024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45623</v>
      </c>
      <c r="E645" s="1" t="n">
        <v>46265</v>
      </c>
      <c r="F645" t="inlineStr">
        <is>
          <t>ÖSTERGÖTLANDS LÄN</t>
        </is>
      </c>
      <c r="G645" t="inlineStr">
        <is>
          <t>FINSPÅNG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38613-2022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44813</v>
      </c>
      <c r="E646" s="1" t="n">
        <v>46265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43051-2022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44833</v>
      </c>
      <c r="E647" s="1" t="n">
        <v>46265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26195-2024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45468</v>
      </c>
      <c r="E648" s="1" t="n">
        <v>46265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45379</v>
      </c>
      <c r="E649" s="1" t="n">
        <v>46265</v>
      </c>
      <c r="F649" t="inlineStr">
        <is>
          <t>ÖSTERGÖTLANDS LÄN</t>
        </is>
      </c>
      <c r="G649" t="inlineStr">
        <is>
          <t>FINSPÅNG</t>
        </is>
      </c>
      <c r="I649" t="n">
        <v>11.9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45309</v>
      </c>
      <c r="E650" s="1" t="n">
        <v>46265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45309</v>
      </c>
      <c r="E651" s="1" t="n">
        <v>46265</v>
      </c>
      <c r="F651" t="inlineStr">
        <is>
          <t>ÖSTERGÖTLANDS LÄN</t>
        </is>
      </c>
      <c r="G651" t="inlineStr">
        <is>
          <t>FINSPÅNG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45309</v>
      </c>
      <c r="E652" s="1" t="n">
        <v>46265</v>
      </c>
      <c r="F652" t="inlineStr">
        <is>
          <t>ÖSTERGÖTLANDS LÄN</t>
        </is>
      </c>
      <c r="G652" t="inlineStr">
        <is>
          <t>FINSPÅNG</t>
        </is>
      </c>
      <c r="I652" t="n">
        <v>15.1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59838-2023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45257</v>
      </c>
      <c r="E653" s="1" t="n">
        <v>46265</v>
      </c>
      <c r="F653" t="inlineStr">
        <is>
          <t>ÖSTERGÖTLANDS LÄN</t>
        </is>
      </c>
      <c r="G653" t="inlineStr">
        <is>
          <t>FINSPÅNG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45302</v>
      </c>
      <c r="E654" s="1" t="n">
        <v>46265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6731-2023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44966</v>
      </c>
      <c r="E655" s="1" t="n">
        <v>46265</v>
      </c>
      <c r="F655" t="inlineStr">
        <is>
          <t>ÖSTERGÖTLANDS LÄN</t>
        </is>
      </c>
      <c r="G655" t="inlineStr">
        <is>
          <t>FINSPÅNG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44767</v>
      </c>
      <c r="E656" s="1" t="n">
        <v>46265</v>
      </c>
      <c r="F656" t="inlineStr">
        <is>
          <t>ÖSTERGÖTLANDS LÄN</t>
        </is>
      </c>
      <c r="G656" t="inlineStr">
        <is>
          <t>FINSPÅNG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39205-2022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44817</v>
      </c>
      <c r="E657" s="1" t="n">
        <v>46265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17992-2023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46265</v>
      </c>
      <c r="F658" t="inlineStr">
        <is>
          <t>ÖSTERGÖTLANDS LÄN</t>
        </is>
      </c>
      <c r="G658" t="inlineStr">
        <is>
          <t>FINSPÅNG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5616-2022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44595</v>
      </c>
      <c r="E659" s="1" t="n">
        <v>46265</v>
      </c>
      <c r="F659" t="inlineStr">
        <is>
          <t>ÖSTERGÖTLANDS LÄN</t>
        </is>
      </c>
      <c r="G659" t="inlineStr">
        <is>
          <t>FINSPÅNG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8700-2025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45712</v>
      </c>
      <c r="E660" s="1" t="n">
        <v>46265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14110-2023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45009</v>
      </c>
      <c r="E661" s="1" t="n">
        <v>46265</v>
      </c>
      <c r="F661" t="inlineStr">
        <is>
          <t>ÖSTERGÖTLANDS LÄN</t>
        </is>
      </c>
      <c r="G661" t="inlineStr">
        <is>
          <t>FINSPÅNG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24804-2023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45084</v>
      </c>
      <c r="E662" s="1" t="n">
        <v>46265</v>
      </c>
      <c r="F662" t="inlineStr">
        <is>
          <t>ÖSTERGÖTLANDS LÄN</t>
        </is>
      </c>
      <c r="G662" t="inlineStr">
        <is>
          <t>FINSPÅNG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32789-2024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45516</v>
      </c>
      <c r="E663" s="1" t="n">
        <v>46265</v>
      </c>
      <c r="F663" t="inlineStr">
        <is>
          <t>ÖSTERGÖTLANDS LÄN</t>
        </is>
      </c>
      <c r="G663" t="inlineStr">
        <is>
          <t>FINSPÅNG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33027-2022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44782</v>
      </c>
      <c r="E664" s="1" t="n">
        <v>46265</v>
      </c>
      <c r="F664" t="inlineStr">
        <is>
          <t>ÖSTERGÖTLANDS LÄN</t>
        </is>
      </c>
      <c r="G664" t="inlineStr">
        <is>
          <t>FINSPÅNG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22714-2022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44714</v>
      </c>
      <c r="E665" s="1" t="n">
        <v>46265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45299</v>
      </c>
      <c r="E666" s="1" t="n">
        <v>46265</v>
      </c>
      <c r="F666" t="inlineStr">
        <is>
          <t>ÖSTERGÖTLANDS LÄN</t>
        </is>
      </c>
      <c r="G666" t="inlineStr">
        <is>
          <t>FINSPÅNG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29078-2022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44749</v>
      </c>
      <c r="E667" s="1" t="n">
        <v>46265</v>
      </c>
      <c r="F667" t="inlineStr">
        <is>
          <t>ÖSTERGÖTLANDS LÄN</t>
        </is>
      </c>
      <c r="G667" t="inlineStr">
        <is>
          <t>FINSPÅNG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49494-2022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46265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Naturvårdsverket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10420-2023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44987</v>
      </c>
      <c r="E669" s="1" t="n">
        <v>46265</v>
      </c>
      <c r="F669" t="inlineStr">
        <is>
          <t>ÖSTERGÖTLANDS LÄN</t>
        </is>
      </c>
      <c r="G669" t="inlineStr">
        <is>
          <t>FINSPÅNG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53610-2022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44879</v>
      </c>
      <c r="E670" s="1" t="n">
        <v>46265</v>
      </c>
      <c r="F670" t="inlineStr">
        <is>
          <t>ÖSTERGÖTLANDS LÄN</t>
        </is>
      </c>
      <c r="G670" t="inlineStr">
        <is>
          <t>FINSPÅNG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51610-2022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44871</v>
      </c>
      <c r="E671" s="1" t="n">
        <v>46265</v>
      </c>
      <c r="F671" t="inlineStr">
        <is>
          <t>ÖSTERGÖTLANDS LÄN</t>
        </is>
      </c>
      <c r="G671" t="inlineStr">
        <is>
          <t>FINSPÅNG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68122-2021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44526</v>
      </c>
      <c r="E672" s="1" t="n">
        <v>46265</v>
      </c>
      <c r="F672" t="inlineStr">
        <is>
          <t>ÖSTERGÖTLANDS LÄN</t>
        </is>
      </c>
      <c r="G672" t="inlineStr">
        <is>
          <t>FINSPÅNG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61012-2022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44914</v>
      </c>
      <c r="E673" s="1" t="n">
        <v>46265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39114-2024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45548</v>
      </c>
      <c r="E674" s="1" t="n">
        <v>46265</v>
      </c>
      <c r="F674" t="inlineStr">
        <is>
          <t>ÖSTERGÖTLANDS LÄN</t>
        </is>
      </c>
      <c r="G674" t="inlineStr">
        <is>
          <t>FINSPÅNG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18488-2025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45763</v>
      </c>
      <c r="E675" s="1" t="n">
        <v>46265</v>
      </c>
      <c r="F675" t="inlineStr">
        <is>
          <t>ÖSTERGÖTLANDS LÄN</t>
        </is>
      </c>
      <c r="G675" t="inlineStr">
        <is>
          <t>FINSPÅNG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62421-2021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44503</v>
      </c>
      <c r="E676" s="1" t="n">
        <v>46265</v>
      </c>
      <c r="F676" t="inlineStr">
        <is>
          <t>ÖSTERGÖTLANDS LÄN</t>
        </is>
      </c>
      <c r="G676" t="inlineStr">
        <is>
          <t>FINSPÅNG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59062-2024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45636</v>
      </c>
      <c r="E677" s="1" t="n">
        <v>46265</v>
      </c>
      <c r="F677" t="inlineStr">
        <is>
          <t>ÖSTERGÖTLANDS LÄN</t>
        </is>
      </c>
      <c r="G677" t="inlineStr">
        <is>
          <t>FINSPÅNG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7445-2022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44607</v>
      </c>
      <c r="E678" s="1" t="n">
        <v>46265</v>
      </c>
      <c r="F678" t="inlineStr">
        <is>
          <t>ÖSTERGÖTLANDS LÄN</t>
        </is>
      </c>
      <c r="G678" t="inlineStr">
        <is>
          <t>FINSPÅNG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44953</v>
      </c>
      <c r="E679" s="1" t="n">
        <v>46265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39356-2022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44817</v>
      </c>
      <c r="E680" s="1" t="n">
        <v>46265</v>
      </c>
      <c r="F680" t="inlineStr">
        <is>
          <t>ÖSTERGÖTLANDS LÄN</t>
        </is>
      </c>
      <c r="G680" t="inlineStr">
        <is>
          <t>FINSPÅNG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34001-2024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45523</v>
      </c>
      <c r="E681" s="1" t="n">
        <v>46265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45761-2021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44441</v>
      </c>
      <c r="E682" s="1" t="n">
        <v>46265</v>
      </c>
      <c r="F682" t="inlineStr">
        <is>
          <t>ÖSTERGÖTLANDS LÄN</t>
        </is>
      </c>
      <c r="G682" t="inlineStr">
        <is>
          <t>FINSPÅNG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50811-2022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44867</v>
      </c>
      <c r="E683" s="1" t="n">
        <v>46265</v>
      </c>
      <c r="F683" t="inlineStr">
        <is>
          <t>ÖSTERGÖTLANDS LÄN</t>
        </is>
      </c>
      <c r="G683" t="inlineStr">
        <is>
          <t>FINSPÅNG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25356-2022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44732</v>
      </c>
      <c r="E684" s="1" t="n">
        <v>46265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41513-2024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45560</v>
      </c>
      <c r="E685" s="1" t="n">
        <v>46265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10083-2025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46265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44949</v>
      </c>
      <c r="E687" s="1" t="n">
        <v>46265</v>
      </c>
      <c r="F687" t="inlineStr">
        <is>
          <t>ÖSTERGÖTLANDS LÄN</t>
        </is>
      </c>
      <c r="G687" t="inlineStr">
        <is>
          <t>FINSPÅNG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44949</v>
      </c>
      <c r="E688" s="1" t="n">
        <v>46265</v>
      </c>
      <c r="F688" t="inlineStr">
        <is>
          <t>ÖSTERGÖTLANDS LÄN</t>
        </is>
      </c>
      <c r="G688" t="inlineStr">
        <is>
          <t>FINSPÅNG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3436-2023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46265</v>
      </c>
      <c r="F689" t="inlineStr">
        <is>
          <t>ÖSTERGÖTLANDS LÄN</t>
        </is>
      </c>
      <c r="G689" t="inlineStr">
        <is>
          <t>FINSPÅNG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5656-2023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46265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6733-2023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44966</v>
      </c>
      <c r="E691" s="1" t="n">
        <v>46265</v>
      </c>
      <c r="F691" t="inlineStr">
        <is>
          <t>ÖSTERGÖTLANDS LÄN</t>
        </is>
      </c>
      <c r="G691" t="inlineStr">
        <is>
          <t>FINSPÅNG</t>
        </is>
      </c>
      <c r="I691" t="n">
        <v>8.5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15473-2022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44662</v>
      </c>
      <c r="E692" s="1" t="n">
        <v>46265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40410-2024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45555</v>
      </c>
      <c r="E693" s="1" t="n">
        <v>46265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61994-2022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44918</v>
      </c>
      <c r="E694" s="1" t="n">
        <v>46265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55624-2024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45622</v>
      </c>
      <c r="E695" s="1" t="n">
        <v>46265</v>
      </c>
      <c r="F695" t="inlineStr">
        <is>
          <t>ÖSTERGÖTLANDS LÄN</t>
        </is>
      </c>
      <c r="G695" t="inlineStr">
        <is>
          <t>FINSPÅNG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611-2023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44930</v>
      </c>
      <c r="E696" s="1" t="n">
        <v>46265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45258</v>
      </c>
      <c r="E697" s="1" t="n">
        <v>46265</v>
      </c>
      <c r="F697" t="inlineStr">
        <is>
          <t>ÖSTERGÖTLANDS LÄN</t>
        </is>
      </c>
      <c r="G697" t="inlineStr">
        <is>
          <t>FINSPÅNG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12472-2024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45379</v>
      </c>
      <c r="E698" s="1" t="n">
        <v>46265</v>
      </c>
      <c r="F698" t="inlineStr">
        <is>
          <t>ÖSTERGÖTLANDS LÄN</t>
        </is>
      </c>
      <c r="G698" t="inlineStr">
        <is>
          <t>FINSPÅNG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60619-2023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45260</v>
      </c>
      <c r="E699" s="1" t="n">
        <v>46265</v>
      </c>
      <c r="F699" t="inlineStr">
        <is>
          <t>ÖSTERGÖTLANDS LÄN</t>
        </is>
      </c>
      <c r="G699" t="inlineStr">
        <is>
          <t>FINSPÅNG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45021</v>
      </c>
      <c r="E700" s="1" t="n">
        <v>46265</v>
      </c>
      <c r="F700" t="inlineStr">
        <is>
          <t>ÖSTERGÖTLANDS LÄN</t>
        </is>
      </c>
      <c r="G700" t="inlineStr">
        <is>
          <t>FINSPÅNG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39740-2023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45167</v>
      </c>
      <c r="E701" s="1" t="n">
        <v>46265</v>
      </c>
      <c r="F701" t="inlineStr">
        <is>
          <t>ÖSTERGÖTLANDS LÄN</t>
        </is>
      </c>
      <c r="G701" t="inlineStr">
        <is>
          <t>FINSPÅNG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14061-2023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45008</v>
      </c>
      <c r="E702" s="1" t="n">
        <v>46265</v>
      </c>
      <c r="F702" t="inlineStr">
        <is>
          <t>ÖSTERGÖTLANDS LÄN</t>
        </is>
      </c>
      <c r="G702" t="inlineStr">
        <is>
          <t>FINSPÅNG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9339-2022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44616</v>
      </c>
      <c r="E703" s="1" t="n">
        <v>46265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73260-2021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44550</v>
      </c>
      <c r="E704" s="1" t="n">
        <v>46265</v>
      </c>
      <c r="F704" t="inlineStr">
        <is>
          <t>ÖSTERGÖTLANDS LÄN</t>
        </is>
      </c>
      <c r="G704" t="inlineStr">
        <is>
          <t>FINSPÅNG</t>
        </is>
      </c>
      <c r="I704" t="n">
        <v>10.3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53572-2023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46265</v>
      </c>
      <c r="F705" t="inlineStr">
        <is>
          <t>ÖSTERGÖTLANDS LÄN</t>
        </is>
      </c>
      <c r="G705" t="inlineStr">
        <is>
          <t>FINSPÅNG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14565-2023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45013</v>
      </c>
      <c r="E706" s="1" t="n">
        <v>46265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31180-2025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45832</v>
      </c>
      <c r="E707" s="1" t="n">
        <v>46265</v>
      </c>
      <c r="F707" t="inlineStr">
        <is>
          <t>ÖSTERGÖTLANDS LÄN</t>
        </is>
      </c>
      <c r="G707" t="inlineStr">
        <is>
          <t>FINSPÅNG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47836-2021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44448</v>
      </c>
      <c r="E708" s="1" t="n">
        <v>46265</v>
      </c>
      <c r="F708" t="inlineStr">
        <is>
          <t>ÖSTERGÖTLANDS LÄN</t>
        </is>
      </c>
      <c r="G708" t="inlineStr">
        <is>
          <t>FINSPÅNG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40069-2024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45554</v>
      </c>
      <c r="E709" s="1" t="n">
        <v>46265</v>
      </c>
      <c r="F709" t="inlineStr">
        <is>
          <t>ÖSTERGÖTLANDS LÄN</t>
        </is>
      </c>
      <c r="G709" t="inlineStr">
        <is>
          <t>FINSPÅNG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27487-2023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46265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Övriga Aktiebolag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20157-2023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45055</v>
      </c>
      <c r="E711" s="1" t="n">
        <v>46265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11974-2023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44995</v>
      </c>
      <c r="E712" s="1" t="n">
        <v>46265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28020-2023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45095</v>
      </c>
      <c r="E713" s="1" t="n">
        <v>46265</v>
      </c>
      <c r="F713" t="inlineStr">
        <is>
          <t>ÖSTERGÖTLANDS LÄN</t>
        </is>
      </c>
      <c r="G713" t="inlineStr">
        <is>
          <t>FINSPÅNG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18585-2024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45425</v>
      </c>
      <c r="E714" s="1" t="n">
        <v>46265</v>
      </c>
      <c r="F714" t="inlineStr">
        <is>
          <t>ÖSTERGÖTLANDS LÄN</t>
        </is>
      </c>
      <c r="G714" t="inlineStr">
        <is>
          <t>FINSPÅNG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57854-2022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44898</v>
      </c>
      <c r="E715" s="1" t="n">
        <v>46265</v>
      </c>
      <c r="F715" t="inlineStr">
        <is>
          <t>ÖSTERGÖTLANDS LÄN</t>
        </is>
      </c>
      <c r="G715" t="inlineStr">
        <is>
          <t>FINSPÅNG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42106-2023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45177</v>
      </c>
      <c r="E716" s="1" t="n">
        <v>46265</v>
      </c>
      <c r="F716" t="inlineStr">
        <is>
          <t>ÖSTERGÖTLANDS LÄN</t>
        </is>
      </c>
      <c r="G716" t="inlineStr">
        <is>
          <t>FINSPÅNG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24015-2024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45456</v>
      </c>
      <c r="E717" s="1" t="n">
        <v>46265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50189-2022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44865</v>
      </c>
      <c r="E718" s="1" t="n">
        <v>46265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9130-2023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44980</v>
      </c>
      <c r="E719" s="1" t="n">
        <v>46265</v>
      </c>
      <c r="F719" t="inlineStr">
        <is>
          <t>ÖSTERGÖTLANDS LÄN</t>
        </is>
      </c>
      <c r="G719" t="inlineStr">
        <is>
          <t>FINSPÅNG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6628-2023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44966</v>
      </c>
      <c r="E720" s="1" t="n">
        <v>46265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Övriga Aktiebolag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60749-2022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44914</v>
      </c>
      <c r="E721" s="1" t="n">
        <v>46265</v>
      </c>
      <c r="F721" t="inlineStr">
        <is>
          <t>ÖSTERGÖTLANDS LÄN</t>
        </is>
      </c>
      <c r="G721" t="inlineStr">
        <is>
          <t>FINSPÅNG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8317-2023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44974</v>
      </c>
      <c r="E722" s="1" t="n">
        <v>46265</v>
      </c>
      <c r="F722" t="inlineStr">
        <is>
          <t>ÖSTERGÖTLANDS LÄN</t>
        </is>
      </c>
      <c r="G722" t="inlineStr">
        <is>
          <t>FINSPÅNG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44950</v>
      </c>
      <c r="E723" s="1" t="n">
        <v>46265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50510-2024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45601</v>
      </c>
      <c r="E724" s="1" t="n">
        <v>46265</v>
      </c>
      <c r="F724" t="inlineStr">
        <is>
          <t>ÖSTERGÖTLANDS LÄN</t>
        </is>
      </c>
      <c r="G724" t="inlineStr">
        <is>
          <t>FINSPÅNG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4083-2024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45323</v>
      </c>
      <c r="E725" s="1" t="n">
        <v>46265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45181</v>
      </c>
      <c r="E726" s="1" t="n">
        <v>46265</v>
      </c>
      <c r="F726" t="inlineStr">
        <is>
          <t>ÖSTERGÖTLANDS LÄN</t>
        </is>
      </c>
      <c r="G726" t="inlineStr">
        <is>
          <t>FINSPÅNG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18445-2023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45042</v>
      </c>
      <c r="E727" s="1" t="n">
        <v>46265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45257</v>
      </c>
      <c r="E728" s="1" t="n">
        <v>46265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52731-2023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45225</v>
      </c>
      <c r="E729" s="1" t="n">
        <v>46265</v>
      </c>
      <c r="F729" t="inlineStr">
        <is>
          <t>ÖSTERGÖTLANDS LÄN</t>
        </is>
      </c>
      <c r="G729" t="inlineStr">
        <is>
          <t>FINSPÅNG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24458-2023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45082</v>
      </c>
      <c r="E730" s="1" t="n">
        <v>46265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6.6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36110-2023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45149</v>
      </c>
      <c r="E731" s="1" t="n">
        <v>46265</v>
      </c>
      <c r="F731" t="inlineStr">
        <is>
          <t>ÖSTERGÖTLANDS LÄN</t>
        </is>
      </c>
      <c r="G731" t="inlineStr">
        <is>
          <t>FINSPÅNG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11481-2023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44993</v>
      </c>
      <c r="E732" s="1" t="n">
        <v>46265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8236-2026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46265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Sveaskog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44987</v>
      </c>
      <c r="E734" s="1" t="n">
        <v>46265</v>
      </c>
      <c r="F734" t="inlineStr">
        <is>
          <t>ÖSTERGÖTLANDS LÄN</t>
        </is>
      </c>
      <c r="G734" t="inlineStr">
        <is>
          <t>FINSPÅNG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46265</v>
      </c>
      <c r="F735" t="inlineStr">
        <is>
          <t>ÖSTERGÖTLANDS LÄN</t>
        </is>
      </c>
      <c r="G735" t="inlineStr">
        <is>
          <t>FINSPÅNG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46265</v>
      </c>
      <c r="F736" t="inlineStr">
        <is>
          <t>ÖSTERGÖTLANDS LÄN</t>
        </is>
      </c>
      <c r="G736" t="inlineStr">
        <is>
          <t>FINSPÅNG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45214</v>
      </c>
      <c r="E737" s="1" t="n">
        <v>46265</v>
      </c>
      <c r="F737" t="inlineStr">
        <is>
          <t>ÖSTERGÖTLANDS LÄN</t>
        </is>
      </c>
      <c r="G737" t="inlineStr">
        <is>
          <t>FINSPÅNG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18258-2024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45421</v>
      </c>
      <c r="E738" s="1" t="n">
        <v>46265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18171-2024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45420</v>
      </c>
      <c r="E739" s="1" t="n">
        <v>46265</v>
      </c>
      <c r="F739" t="inlineStr">
        <is>
          <t>ÖSTERGÖTLANDS LÄN</t>
        </is>
      </c>
      <c r="G739" t="inlineStr">
        <is>
          <t>FINSPÅNG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32973-2023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45125</v>
      </c>
      <c r="E740" s="1" t="n">
        <v>46265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16975-2023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45033</v>
      </c>
      <c r="E741" s="1" t="n">
        <v>46265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Naturvårdsverket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28559-2023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45103</v>
      </c>
      <c r="E742" s="1" t="n">
        <v>46265</v>
      </c>
      <c r="F742" t="inlineStr">
        <is>
          <t>ÖSTERGÖTLANDS LÄN</t>
        </is>
      </c>
      <c r="G742" t="inlineStr">
        <is>
          <t>FINSPÅNG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4753-2025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45688</v>
      </c>
      <c r="E743" s="1" t="n">
        <v>46265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15952-2023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45022</v>
      </c>
      <c r="E744" s="1" t="n">
        <v>46265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15129-2025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45744</v>
      </c>
      <c r="E745" s="1" t="n">
        <v>46265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Naturvårdsverket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62186-2023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45267</v>
      </c>
      <c r="E746" s="1" t="n">
        <v>46265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47224-2023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45202</v>
      </c>
      <c r="E747" s="1" t="n">
        <v>46265</v>
      </c>
      <c r="F747" t="inlineStr">
        <is>
          <t>ÖSTERGÖTLANDS LÄN</t>
        </is>
      </c>
      <c r="G747" t="inlineStr">
        <is>
          <t>FINSPÅNG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31801-2023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45118</v>
      </c>
      <c r="E748" s="1" t="n">
        <v>46265</v>
      </c>
      <c r="F748" t="inlineStr">
        <is>
          <t>ÖSTERGÖTLANDS LÄN</t>
        </is>
      </c>
      <c r="G748" t="inlineStr">
        <is>
          <t>FINSPÅNG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52730-2023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45225</v>
      </c>
      <c r="E749" s="1" t="n">
        <v>46265</v>
      </c>
      <c r="F749" t="inlineStr">
        <is>
          <t>ÖSTERGÖTLANDS LÄN</t>
        </is>
      </c>
      <c r="G749" t="inlineStr">
        <is>
          <t>FINSPÅNG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58141-2022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46265</v>
      </c>
      <c r="F750" t="inlineStr">
        <is>
          <t>ÖSTERGÖTLANDS LÄN</t>
        </is>
      </c>
      <c r="G750" t="inlineStr">
        <is>
          <t>FINSPÅNG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9418-2023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44981</v>
      </c>
      <c r="E751" s="1" t="n">
        <v>46265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62168-2022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44922</v>
      </c>
      <c r="E752" s="1" t="n">
        <v>46265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45311-2023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45191</v>
      </c>
      <c r="E753" s="1" t="n">
        <v>46265</v>
      </c>
      <c r="F753" t="inlineStr">
        <is>
          <t>ÖSTERGÖTLANDS LÄN</t>
        </is>
      </c>
      <c r="G753" t="inlineStr">
        <is>
          <t>FINSPÅNG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42176-2023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45178</v>
      </c>
      <c r="E754" s="1" t="n">
        <v>46265</v>
      </c>
      <c r="F754" t="inlineStr">
        <is>
          <t>ÖSTERGÖTLANDS LÄN</t>
        </is>
      </c>
      <c r="G754" t="inlineStr">
        <is>
          <t>FINSPÅNG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42111-2023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45177</v>
      </c>
      <c r="E755" s="1" t="n">
        <v>46265</v>
      </c>
      <c r="F755" t="inlineStr">
        <is>
          <t>ÖSTERGÖTLANDS LÄN</t>
        </is>
      </c>
      <c r="G755" t="inlineStr">
        <is>
          <t>FINSPÅNG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55956-2024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45623</v>
      </c>
      <c r="E756" s="1" t="n">
        <v>46265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59699-2024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45639</v>
      </c>
      <c r="E757" s="1" t="n">
        <v>46265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46317-2023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45197</v>
      </c>
      <c r="E758" s="1" t="n">
        <v>46265</v>
      </c>
      <c r="F758" t="inlineStr">
        <is>
          <t>ÖSTERGÖTLANDS LÄN</t>
        </is>
      </c>
      <c r="G758" t="inlineStr">
        <is>
          <t>FINSPÅNG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61359-2023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45264</v>
      </c>
      <c r="E759" s="1" t="n">
        <v>46265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32431-2023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45110</v>
      </c>
      <c r="E760" s="1" t="n">
        <v>46265</v>
      </c>
      <c r="F760" t="inlineStr">
        <is>
          <t>ÖSTERGÖTLANDS LÄN</t>
        </is>
      </c>
      <c r="G760" t="inlineStr">
        <is>
          <t>FINSPÅNG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14022-2023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46265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48767-2024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46265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20821-2026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46141</v>
      </c>
      <c r="E763" s="1" t="n">
        <v>46265</v>
      </c>
      <c r="F763" t="inlineStr">
        <is>
          <t>ÖSTERGÖTLANDS LÄN</t>
        </is>
      </c>
      <c r="G763" t="inlineStr">
        <is>
          <t>FINSPÅNG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2381-2023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44942</v>
      </c>
      <c r="E764" s="1" t="n">
        <v>46265</v>
      </c>
      <c r="F764" t="inlineStr">
        <is>
          <t>ÖSTERGÖTLANDS LÄN</t>
        </is>
      </c>
      <c r="G764" t="inlineStr">
        <is>
          <t>FINSPÅNG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20819-2026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46265</v>
      </c>
      <c r="F765" t="inlineStr">
        <is>
          <t>ÖSTERGÖTLANDS LÄN</t>
        </is>
      </c>
      <c r="G765" t="inlineStr">
        <is>
          <t>FINSPÅNG</t>
        </is>
      </c>
      <c r="I765" t="n">
        <v>5.8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44617</v>
      </c>
      <c r="E766" s="1" t="n">
        <v>46265</v>
      </c>
      <c r="F766" t="inlineStr">
        <is>
          <t>ÖSTERGÖTLANDS LÄN</t>
        </is>
      </c>
      <c r="G766" t="inlineStr">
        <is>
          <t>FINSPÅNG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44939</v>
      </c>
      <c r="E767" s="1" t="n">
        <v>46265</v>
      </c>
      <c r="F767" t="inlineStr">
        <is>
          <t>ÖSTERGÖTLANDS LÄN</t>
        </is>
      </c>
      <c r="G767" t="inlineStr">
        <is>
          <t>FINSPÅNG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47317-2023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45202</v>
      </c>
      <c r="E768" s="1" t="n">
        <v>46265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44946</v>
      </c>
      <c r="E769" s="1" t="n">
        <v>46265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44946</v>
      </c>
      <c r="E770" s="1" t="n">
        <v>46265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24503-2023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45082</v>
      </c>
      <c r="E771" s="1" t="n">
        <v>46265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45299</v>
      </c>
      <c r="E772" s="1" t="n">
        <v>46265</v>
      </c>
      <c r="F772" t="inlineStr">
        <is>
          <t>ÖSTERGÖTLANDS LÄN</t>
        </is>
      </c>
      <c r="G772" t="inlineStr">
        <is>
          <t>FINSPÅNG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10258-2025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45720</v>
      </c>
      <c r="E773" s="1" t="n">
        <v>46265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58313-2023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45250</v>
      </c>
      <c r="E774" s="1" t="n">
        <v>46265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48443-2023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45206</v>
      </c>
      <c r="E775" s="1" t="n">
        <v>46265</v>
      </c>
      <c r="F775" t="inlineStr">
        <is>
          <t>ÖSTERGÖTLANDS LÄN</t>
        </is>
      </c>
      <c r="G775" t="inlineStr">
        <is>
          <t>FINSPÅNG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57678-2025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45980</v>
      </c>
      <c r="E776" s="1" t="n">
        <v>46265</v>
      </c>
      <c r="F776" t="inlineStr">
        <is>
          <t>ÖSTERGÖTLANDS LÄN</t>
        </is>
      </c>
      <c r="G776" t="inlineStr">
        <is>
          <t>FINSPÅNG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43534-2023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45184</v>
      </c>
      <c r="E777" s="1" t="n">
        <v>46265</v>
      </c>
      <c r="F777" t="inlineStr">
        <is>
          <t>ÖSTERGÖTLANDS LÄN</t>
        </is>
      </c>
      <c r="G777" t="inlineStr">
        <is>
          <t>FINSPÅNG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44964</v>
      </c>
      <c r="E778" s="1" t="n">
        <v>46265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52007-2024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45607</v>
      </c>
      <c r="E779" s="1" t="n">
        <v>46265</v>
      </c>
      <c r="F779" t="inlineStr">
        <is>
          <t>ÖSTERGÖTLANDS LÄN</t>
        </is>
      </c>
      <c r="G779" t="inlineStr">
        <is>
          <t>FINSPÅNG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52008-2024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45607</v>
      </c>
      <c r="E780" s="1" t="n">
        <v>46265</v>
      </c>
      <c r="F780" t="inlineStr">
        <is>
          <t>ÖSTERGÖTLANDS LÄN</t>
        </is>
      </c>
      <c r="G780" t="inlineStr">
        <is>
          <t>FINSPÅNG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58991-2021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44490</v>
      </c>
      <c r="E781" s="1" t="n">
        <v>46265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34119-2025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45845</v>
      </c>
      <c r="E782" s="1" t="n">
        <v>46265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19609-2025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46265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15900-2025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45749</v>
      </c>
      <c r="E784" s="1" t="n">
        <v>46265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4.6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59702-2024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45639</v>
      </c>
      <c r="E785" s="1" t="n">
        <v>46265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8438-2025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45709</v>
      </c>
      <c r="E786" s="1" t="n">
        <v>46265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42705-2024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45566</v>
      </c>
      <c r="E787" s="1" t="n">
        <v>46265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42711-2024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45566</v>
      </c>
      <c r="E788" s="1" t="n">
        <v>46265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14031-2025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45740</v>
      </c>
      <c r="E789" s="1" t="n">
        <v>46265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45103</v>
      </c>
      <c r="E790" s="1" t="n">
        <v>46265</v>
      </c>
      <c r="F790" t="inlineStr">
        <is>
          <t>ÖSTERGÖTLANDS LÄN</t>
        </is>
      </c>
      <c r="G790" t="inlineStr">
        <is>
          <t>FINSPÅNG</t>
        </is>
      </c>
      <c r="I790" t="n">
        <v>11.1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54299-2023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45232</v>
      </c>
      <c r="E791" s="1" t="n">
        <v>46265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52557-2024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45609</v>
      </c>
      <c r="E792" s="1" t="n">
        <v>46265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46265</v>
      </c>
      <c r="F793" t="inlineStr">
        <is>
          <t>ÖSTERGÖTLANDS LÄN</t>
        </is>
      </c>
      <c r="G793" t="inlineStr">
        <is>
          <t>FINSPÅNG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10485-2026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46265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Kyrkan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25844-2026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46176</v>
      </c>
      <c r="E795" s="1" t="n">
        <v>46265</v>
      </c>
      <c r="F795" t="inlineStr">
        <is>
          <t>ÖSTERGÖTLANDS LÄN</t>
        </is>
      </c>
      <c r="G795" t="inlineStr">
        <is>
          <t>FINSPÅNG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46176</v>
      </c>
      <c r="E796" s="1" t="n">
        <v>46265</v>
      </c>
      <c r="F796" t="inlineStr">
        <is>
          <t>ÖSTERGÖTLANDS LÄN</t>
        </is>
      </c>
      <c r="G796" t="inlineStr">
        <is>
          <t>FINSPÅNG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46176</v>
      </c>
      <c r="E797" s="1" t="n">
        <v>46265</v>
      </c>
      <c r="F797" t="inlineStr">
        <is>
          <t>ÖSTERGÖTLANDS LÄN</t>
        </is>
      </c>
      <c r="G797" t="inlineStr">
        <is>
          <t>FINSPÅNG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24833-2026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46265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24835-2026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46265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25629-2026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46265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46181</v>
      </c>
      <c r="E801" s="1" t="n">
        <v>46265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46265</v>
      </c>
      <c r="F802" t="inlineStr">
        <is>
          <t>ÖSTERGÖTLANDS LÄN</t>
        </is>
      </c>
      <c r="G802" t="inlineStr">
        <is>
          <t>FINSPÅNG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46265</v>
      </c>
      <c r="F803" t="inlineStr">
        <is>
          <t>ÖSTERGÖTLANDS LÄN</t>
        </is>
      </c>
      <c r="G803" t="inlineStr">
        <is>
          <t>FINSPÅNG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46265</v>
      </c>
      <c r="F804" t="inlineStr">
        <is>
          <t>ÖSTERGÖTLANDS LÄN</t>
        </is>
      </c>
      <c r="G804" t="inlineStr">
        <is>
          <t>FINSPÅNG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31669-2026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46225</v>
      </c>
      <c r="E805" s="1" t="n">
        <v>46265</v>
      </c>
      <c r="F805" t="inlineStr">
        <is>
          <t>ÖSTERGÖTLANDS LÄN</t>
        </is>
      </c>
      <c r="G805" t="inlineStr">
        <is>
          <t>FINSPÅNG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46226</v>
      </c>
      <c r="E806" s="1" t="n">
        <v>46265</v>
      </c>
      <c r="F806" t="inlineStr">
        <is>
          <t>ÖSTERGÖTLANDS LÄN</t>
        </is>
      </c>
      <c r="G806" t="inlineStr">
        <is>
          <t>FINSPÅNG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31682-2026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46226</v>
      </c>
      <c r="E807" s="1" t="n">
        <v>46265</v>
      </c>
      <c r="F807" t="inlineStr">
        <is>
          <t>ÖSTERGÖTLANDS LÄN</t>
        </is>
      </c>
      <c r="G807" t="inlineStr">
        <is>
          <t>FINSPÅNG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31668-2026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46225</v>
      </c>
      <c r="E808" s="1" t="n">
        <v>46265</v>
      </c>
      <c r="F808" t="inlineStr">
        <is>
          <t>ÖSTERGÖTLANDS LÄN</t>
        </is>
      </c>
      <c r="G808" t="inlineStr">
        <is>
          <t>FINSPÅNG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46265</v>
      </c>
      <c r="F809" t="inlineStr">
        <is>
          <t>ÖSTERGÖTLANDS LÄN</t>
        </is>
      </c>
      <c r="G809" t="inlineStr">
        <is>
          <t>FINSPÅNG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26905-2026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46185</v>
      </c>
      <c r="E810" s="1" t="n">
        <v>46265</v>
      </c>
      <c r="F810" t="inlineStr">
        <is>
          <t>ÖSTERGÖTLANDS LÄN</t>
        </is>
      </c>
      <c r="G810" t="inlineStr">
        <is>
          <t>FINSPÅNG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27369-2026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46188</v>
      </c>
      <c r="E811" s="1" t="n">
        <v>46265</v>
      </c>
      <c r="F811" t="inlineStr">
        <is>
          <t>ÖSTERGÖTLANDS LÄN</t>
        </is>
      </c>
      <c r="G811" t="inlineStr">
        <is>
          <t>FINSPÅNG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32000-2026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46232</v>
      </c>
      <c r="E812" s="1" t="n">
        <v>46265</v>
      </c>
      <c r="F812" t="inlineStr">
        <is>
          <t>ÖSTERGÖTLANDS LÄN</t>
        </is>
      </c>
      <c r="G812" t="inlineStr">
        <is>
          <t>FINSPÅNG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46233</v>
      </c>
      <c r="E813" s="1" t="n">
        <v>46265</v>
      </c>
      <c r="F813" t="inlineStr">
        <is>
          <t>ÖSTERGÖTLANDS LÄN</t>
        </is>
      </c>
      <c r="G813" t="inlineStr">
        <is>
          <t>FINSPÅNG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46196</v>
      </c>
      <c r="E814" s="1" t="n">
        <v>46265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Kommuner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34309-2025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45846</v>
      </c>
      <c r="E815" s="1" t="n">
        <v>46265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29018-2026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46199</v>
      </c>
      <c r="E816" s="1" t="n">
        <v>46265</v>
      </c>
      <c r="F816" t="inlineStr">
        <is>
          <t>ÖSTERGÖTLANDS LÄN</t>
        </is>
      </c>
      <c r="G816" t="inlineStr">
        <is>
          <t>FINSPÅNG</t>
        </is>
      </c>
      <c r="I816" t="n">
        <v>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29482-2026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46265</v>
      </c>
      <c r="F817" t="inlineStr">
        <is>
          <t>ÖSTERGÖTLANDS LÄN</t>
        </is>
      </c>
      <c r="G817" t="inlineStr">
        <is>
          <t>FINSPÅNG</t>
        </is>
      </c>
      <c r="I817" t="n">
        <v>13.3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29731-2026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46265</v>
      </c>
      <c r="F818" t="inlineStr">
        <is>
          <t>ÖSTERGÖTLANDS LÄN</t>
        </is>
      </c>
      <c r="G818" t="inlineStr">
        <is>
          <t>FINSPÅNG</t>
        </is>
      </c>
      <c r="I818" t="n">
        <v>18.6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31147-2026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46209</v>
      </c>
      <c r="E819" s="1" t="n">
        <v>46265</v>
      </c>
      <c r="F819" t="inlineStr">
        <is>
          <t>ÖSTERGÖTLANDS LÄN</t>
        </is>
      </c>
      <c r="G819" t="inlineStr">
        <is>
          <t>FINSPÅNG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31151-2026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46209</v>
      </c>
      <c r="E820" s="1" t="n">
        <v>46265</v>
      </c>
      <c r="F820" t="inlineStr">
        <is>
          <t>ÖSTERGÖTLANDS LÄN</t>
        </is>
      </c>
      <c r="G820" t="inlineStr">
        <is>
          <t>FINSPÅNG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31152-2026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46265</v>
      </c>
      <c r="F821" t="inlineStr">
        <is>
          <t>ÖSTERGÖTLANDS LÄN</t>
        </is>
      </c>
      <c r="G821" t="inlineStr">
        <is>
          <t>FINSPÅNG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46211</v>
      </c>
      <c r="E822" s="1" t="n">
        <v>46265</v>
      </c>
      <c r="F822" t="inlineStr">
        <is>
          <t>ÖSTERGÖTLANDS LÄN</t>
        </is>
      </c>
      <c r="G822" t="inlineStr">
        <is>
          <t>FINSPÅNG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30864-2026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46212</v>
      </c>
      <c r="E823" s="1" t="n">
        <v>46265</v>
      </c>
      <c r="F823" t="inlineStr">
        <is>
          <t>ÖSTERGÖTLANDS LÄN</t>
        </is>
      </c>
      <c r="G823" t="inlineStr">
        <is>
          <t>FINSPÅNG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34555-2026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46255</v>
      </c>
      <c r="E824" s="1" t="n">
        <v>46265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Sveaskog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34883-2026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46258</v>
      </c>
      <c r="E825" s="1" t="n">
        <v>46265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Övriga Aktiebolag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34884-2026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46258</v>
      </c>
      <c r="E826" s="1" t="n">
        <v>46265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Övriga Aktiebolag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31300-2026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46218</v>
      </c>
      <c r="E827" s="1" t="n">
        <v>46265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Sveaskog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31301-2026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46218</v>
      </c>
      <c r="E828" s="1" t="n">
        <v>46265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46219</v>
      </c>
      <c r="E829" s="1" t="n">
        <v>46265</v>
      </c>
      <c r="F829" t="inlineStr">
        <is>
          <t>ÖSTERGÖTLANDS LÄN</t>
        </is>
      </c>
      <c r="G829" t="inlineStr">
        <is>
          <t>FINSPÅNG</t>
        </is>
      </c>
      <c r="I829" t="n">
        <v>6.1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46265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46265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46265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46265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46265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46265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2026-08-31T09:55:39Z</dcterms:created>
  <dcterms:modified xmlns:dcterms="http://purl.org/dc/terms/" xmlns:xsi="http://www.w3.org/2001/XMLSchema-instance" xsi:type="dcterms:W3CDTF">2026-08-31T09:55:40Z</dcterms:modified>
</cp:coreProperties>
</file>