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46301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46301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46301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46301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46301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46301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46301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46301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46301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46301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46301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46301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46301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46301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46301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46301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46301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46301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46301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46301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46301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46301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46301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46301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46301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46301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46301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46301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46301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46301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46301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46301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46301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46301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46301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46301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46301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46301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46301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46301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46301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46301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46301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46301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46301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46301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42837-2024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46301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42837-2024 artfynd.xlsx", "A 42837-2024")</f>
        <v/>
      </c>
      <c r="X56">
        <f>HYPERLINK("https://klasma.github.io/Logging_0562/kartor/A 42837-2024 karta.png", "A 42837-2024")</f>
        <v/>
      </c>
      <c r="Y56">
        <f>HYPERLINK("https://klasma.github.io/Logging_0562/kartor_geotiff/A 42837-2024 georefererad karta.tif", "A 42837-2024")</f>
        <v/>
      </c>
      <c r="Z56">
        <f>HYPERLINK("https://klasma.github.io/Logging_0562/knärot/A 42837-2024 karta knärot.png", "A 42837-2024")</f>
        <v/>
      </c>
      <c r="AA56">
        <f>HYPERLINK("https://klasma.github.io/Logging_0562/klagomål/A 42837-2024 FSC-klagomål.docx", "A 42837-2024")</f>
        <v/>
      </c>
      <c r="AB56">
        <f>HYPERLINK("https://klasma.github.io/Logging_0562/klagomålsmail/A 42837-2024 FSC-klagomål mail.docx", "A 42837-2024")</f>
        <v/>
      </c>
      <c r="AC56">
        <f>HYPERLINK("https://klasma.github.io/Logging_0562/tillsyn/A 42837-2024 tillsynsbegäran.docx", "A 42837-2024")</f>
        <v/>
      </c>
      <c r="AD56">
        <f>HYPERLINK("https://klasma.github.io/Logging_0562/tillsynsmail/A 42837-2024 tillsynsbegäran mail.docx", "A 42837-2024")</f>
        <v/>
      </c>
    </row>
    <row r="57" ht="15" customHeight="1">
      <c r="A57" t="inlineStr">
        <is>
          <t>A 6035-2022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46301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Bred kärrtrollslända</t>
        </is>
      </c>
      <c r="W57">
        <f>HYPERLINK("https://klasma.github.io/Logging_0562/artfynd/A 6035-2022 artfynd.xlsx", "A 6035-2022")</f>
        <v/>
      </c>
      <c r="X57">
        <f>HYPERLINK("https://klasma.github.io/Logging_0562/kartor/A 6035-2022 karta.png", "A 6035-2022")</f>
        <v/>
      </c>
      <c r="Y57">
        <f>HYPERLINK("https://klasma.github.io/Logging_0562/kartor_geotiff/A 6035-2022 georefererad karta.tif", "A 6035-2022")</f>
        <v/>
      </c>
      <c r="AA57">
        <f>HYPERLINK("https://klasma.github.io/Logging_0562/klagomål/A 6035-2022 FSC-klagomål.docx", "A 6035-2022")</f>
        <v/>
      </c>
      <c r="AB57">
        <f>HYPERLINK("https://klasma.github.io/Logging_0562/klagomålsmail/A 6035-2022 FSC-klagomål mail.docx", "A 6035-2022")</f>
        <v/>
      </c>
      <c r="AC57">
        <f>HYPERLINK("https://klasma.github.io/Logging_0562/tillsyn/A 6035-2022 tillsynsbegäran.docx", "A 6035-2022")</f>
        <v/>
      </c>
      <c r="AD57">
        <f>HYPERLINK("https://klasma.github.io/Logging_0562/tillsynsmail/A 6035-2022 tillsynsbegäran mail.docx", "A 6035-2022")</f>
        <v/>
      </c>
    </row>
    <row r="58" ht="15" customHeight="1">
      <c r="A58" t="inlineStr">
        <is>
          <t>A 34310-2025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45846</v>
      </c>
      <c r="E58" s="1" t="n">
        <v>46301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34310-2025 artfynd.xlsx", "A 34310-2025")</f>
        <v/>
      </c>
      <c r="X58">
        <f>HYPERLINK("https://klasma.github.io/Logging_0562/kartor/A 34310-2025 karta.png", "A 34310-2025")</f>
        <v/>
      </c>
      <c r="Y58">
        <f>HYPERLINK("https://klasma.github.io/Logging_0562/kartor_geotiff/A 34310-2025 georefererad karta.tif", "A 34310-2025")</f>
        <v/>
      </c>
      <c r="AA58">
        <f>HYPERLINK("https://klasma.github.io/Logging_0562/klagomål/A 34310-2025 FSC-klagomål.docx", "A 34310-2025")</f>
        <v/>
      </c>
      <c r="AB58">
        <f>HYPERLINK("https://klasma.github.io/Logging_0562/klagomålsmail/A 34310-2025 FSC-klagomål mail.docx", "A 34310-2025")</f>
        <v/>
      </c>
      <c r="AC58">
        <f>HYPERLINK("https://klasma.github.io/Logging_0562/tillsyn/A 34310-2025 tillsynsbegäran.docx", "A 34310-2025")</f>
        <v/>
      </c>
      <c r="AD58">
        <f>HYPERLINK("https://klasma.github.io/Logging_0562/tillsynsmail/A 34310-2025 tillsynsbegäran mail.docx", "A 34310-2025")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46301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46301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46301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7265-2026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46058</v>
      </c>
      <c r="E62" s="1" t="n">
        <v>46301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Övriga Aktiebolag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Havsörn</t>
        </is>
      </c>
      <c r="W62">
        <f>HYPERLINK("https://klasma.github.io/Logging_0562/artfynd/A 7265-2026 artfynd.xlsx", "A 7265-2026")</f>
        <v/>
      </c>
      <c r="X62">
        <f>HYPERLINK("https://klasma.github.io/Logging_0562/kartor/A 7265-2026 karta.png", "A 7265-2026")</f>
        <v/>
      </c>
      <c r="Y62">
        <f>HYPERLINK("https://klasma.github.io/Logging_0562/kartor_geotiff/A 7265-2026 georefererad karta.tif", "A 7265-2026")</f>
        <v/>
      </c>
      <c r="AA62">
        <f>HYPERLINK("https://klasma.github.io/Logging_0562/klagomål/A 7265-2026 FSC-klagomål.docx", "A 7265-2026")</f>
        <v/>
      </c>
      <c r="AB62">
        <f>HYPERLINK("https://klasma.github.io/Logging_0562/klagomålsmail/A 7265-2026 FSC-klagomål mail.docx", "A 7265-2026")</f>
        <v/>
      </c>
      <c r="AC62">
        <f>HYPERLINK("https://klasma.github.io/Logging_0562/tillsyn/A 7265-2026 tillsynsbegäran.docx", "A 7265-2026")</f>
        <v/>
      </c>
      <c r="AD62">
        <f>HYPERLINK("https://klasma.github.io/Logging_0562/tillsynsmail/A 7265-2026 tillsynsbegäran mail.docx", "A 7265-2026")</f>
        <v/>
      </c>
      <c r="AE62">
        <f>HYPERLINK("https://klasma.github.io/Logging_0562/fåglar/A 7265-2026 prioriterade fågelarter.docx", "A 7265-2026")</f>
        <v/>
      </c>
    </row>
    <row r="63" ht="15" customHeight="1">
      <c r="A63" t="inlineStr">
        <is>
          <t>A 37748-2025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46301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37748-2025 artfynd.xlsx", "A 37748-2025")</f>
        <v/>
      </c>
      <c r="X63">
        <f>HYPERLINK("https://klasma.github.io/Logging_0562/kartor/A 37748-2025 karta.png", "A 37748-2025")</f>
        <v/>
      </c>
      <c r="Y63">
        <f>HYPERLINK("https://klasma.github.io/Logging_0562/kartor_geotiff/A 37748-2025 georefererad karta.tif", "A 37748-2025")</f>
        <v/>
      </c>
      <c r="AA63">
        <f>HYPERLINK("https://klasma.github.io/Logging_0562/klagomål/A 37748-2025 FSC-klagomål.docx", "A 37748-2025")</f>
        <v/>
      </c>
      <c r="AB63">
        <f>HYPERLINK("https://klasma.github.io/Logging_0562/klagomålsmail/A 37748-2025 FSC-klagomål mail.docx", "A 37748-2025")</f>
        <v/>
      </c>
      <c r="AC63">
        <f>HYPERLINK("https://klasma.github.io/Logging_0562/tillsyn/A 37748-2025 tillsynsbegäran.docx", "A 37748-2025")</f>
        <v/>
      </c>
      <c r="AD63">
        <f>HYPERLINK("https://klasma.github.io/Logging_0562/tillsynsmail/A 37748-2025 tillsynsbegäran mail.docx", "A 37748-2025")</f>
        <v/>
      </c>
    </row>
    <row r="64" ht="15" customHeight="1">
      <c r="A64" t="inlineStr">
        <is>
          <t>A 4644-2024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45328</v>
      </c>
      <c r="E64" s="1" t="n">
        <v>46301</v>
      </c>
      <c r="F64" t="inlineStr">
        <is>
          <t>ÖSTERGÖTLANDS LÄN</t>
        </is>
      </c>
      <c r="G64" t="inlineStr">
        <is>
          <t>FINSPÅNG</t>
        </is>
      </c>
      <c r="I64" t="n">
        <v>5.3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Kungsörn</t>
        </is>
      </c>
      <c r="W64">
        <f>HYPERLINK("https://klasma.github.io/Logging_0562/artfynd/A 4644-2024 artfynd.xlsx", "A 4644-2024")</f>
        <v/>
      </c>
      <c r="X64">
        <f>HYPERLINK("https://klasma.github.io/Logging_0562/kartor/A 4644-2024 karta.png", "A 4644-2024")</f>
        <v/>
      </c>
      <c r="Y64">
        <f>HYPERLINK("https://klasma.github.io/Logging_0562/kartor_geotiff/A 4644-2024 georefererad karta.tif", "A 4644-2024")</f>
        <v/>
      </c>
      <c r="AA64">
        <f>HYPERLINK("https://klasma.github.io/Logging_0562/klagomål/A 4644-2024 FSC-klagomål.docx", "A 4644-2024")</f>
        <v/>
      </c>
      <c r="AB64">
        <f>HYPERLINK("https://klasma.github.io/Logging_0562/klagomålsmail/A 4644-2024 FSC-klagomål mail.docx", "A 4644-2024")</f>
        <v/>
      </c>
      <c r="AC64">
        <f>HYPERLINK("https://klasma.github.io/Logging_0562/tillsyn/A 4644-2024 tillsynsbegäran.docx", "A 4644-2024")</f>
        <v/>
      </c>
      <c r="AD64">
        <f>HYPERLINK("https://klasma.github.io/Logging_0562/tillsynsmail/A 4644-2024 tillsynsbegäran mail.docx", "A 4644-2024")</f>
        <v/>
      </c>
      <c r="AE64">
        <f>HYPERLINK("https://klasma.github.io/Logging_0562/fåglar/A 4644-2024 prioriterade fågelarter.docx", "A 4644-2024")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46301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46301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46301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45070</v>
      </c>
      <c r="E68" s="1" t="n">
        <v>46301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Hasselsnok</t>
        </is>
      </c>
      <c r="W68">
        <f>HYPERLINK("https://klasma.github.io/Logging_0562/artfynd/A 22439-2023 artfynd.xlsx", "A 22439-2023")</f>
        <v/>
      </c>
      <c r="X68">
        <f>HYPERLINK("https://klasma.github.io/Logging_0562/kartor/A 22439-2023 karta.png", "A 22439-2023")</f>
        <v/>
      </c>
      <c r="Y68">
        <f>HYPERLINK("https://klasma.github.io/Logging_0562/kartor_geotiff/A 22439-2023 georefererad karta.tif", "A 22439-2023")</f>
        <v/>
      </c>
      <c r="AA68">
        <f>HYPERLINK("https://klasma.github.io/Logging_0562/klagomål/A 22439-2023 FSC-klagomål.docx", "A 22439-2023")</f>
        <v/>
      </c>
      <c r="AB68">
        <f>HYPERLINK("https://klasma.github.io/Logging_0562/klagomålsmail/A 22439-2023 FSC-klagomål mail.docx", "A 22439-2023")</f>
        <v/>
      </c>
      <c r="AC68">
        <f>HYPERLINK("https://klasma.github.io/Logging_0562/tillsyn/A 22439-2023 tillsynsbegäran.docx", "A 22439-2023")</f>
        <v/>
      </c>
      <c r="AD68">
        <f>HYPERLINK("https://klasma.github.io/Logging_0562/tillsynsmail/A 22439-2023 tillsynsbegäran mail.docx", "A 22439-2023")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46301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46301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46301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22555-2024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45447</v>
      </c>
      <c r="E72" s="1" t="n">
        <v>46301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Hasselsnok</t>
        </is>
      </c>
      <c r="W72">
        <f>HYPERLINK("https://klasma.github.io/Logging_0562/artfynd/A 22555-2024 artfynd.xlsx", "A 22555-2024")</f>
        <v/>
      </c>
      <c r="X72">
        <f>HYPERLINK("https://klasma.github.io/Logging_0562/kartor/A 22555-2024 karta.png", "A 22555-2024")</f>
        <v/>
      </c>
      <c r="Y72">
        <f>HYPERLINK("https://klasma.github.io/Logging_0562/kartor_geotiff/A 22555-2024 georefererad karta.tif", "A 22555-2024")</f>
        <v/>
      </c>
      <c r="AA72">
        <f>HYPERLINK("https://klasma.github.io/Logging_0562/klagomål/A 22555-2024 FSC-klagomål.docx", "A 22555-2024")</f>
        <v/>
      </c>
      <c r="AB72">
        <f>HYPERLINK("https://klasma.github.io/Logging_0562/klagomålsmail/A 22555-2024 FSC-klagomål mail.docx", "A 22555-2024")</f>
        <v/>
      </c>
      <c r="AC72">
        <f>HYPERLINK("https://klasma.github.io/Logging_0562/tillsyn/A 22555-2024 tillsynsbegäran.docx", "A 22555-2024")</f>
        <v/>
      </c>
      <c r="AD72">
        <f>HYPERLINK("https://klasma.github.io/Logging_0562/tillsynsmail/A 22555-2024 tillsynsbegäran mail.docx", "A 22555-2024")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46301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36128-2023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46301</v>
      </c>
      <c r="F74" t="inlineStr">
        <is>
          <t>ÖSTERGÖTLANDS LÄN</t>
        </is>
      </c>
      <c r="G74" t="inlineStr">
        <is>
          <t>FINSPÅNG</t>
        </is>
      </c>
      <c r="I74" t="n">
        <v>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HYPERLINK("https://klasma.github.io/Logging_0562/artfynd/A 36128-2023 artfynd.xlsx", "A 36128-2023")</f>
        <v/>
      </c>
      <c r="X74">
        <f>HYPERLINK("https://klasma.github.io/Logging_0562/kartor/A 36128-2023 karta.png", "A 36128-2023")</f>
        <v/>
      </c>
      <c r="Y74">
        <f>HYPERLINK("https://klasma.github.io/Logging_0562/kartor_geotiff/A 36128-2023 georefererad karta.tif", "A 36128-2023")</f>
        <v/>
      </c>
      <c r="AA74">
        <f>HYPERLINK("https://klasma.github.io/Logging_0562/klagomål/A 36128-2023 FSC-klagomål.docx", "A 36128-2023")</f>
        <v/>
      </c>
      <c r="AB74">
        <f>HYPERLINK("https://klasma.github.io/Logging_0562/klagomålsmail/A 36128-2023 FSC-klagomål mail.docx", "A 36128-2023")</f>
        <v/>
      </c>
      <c r="AC74">
        <f>HYPERLINK("https://klasma.github.io/Logging_0562/tillsyn/A 36128-2023 tillsynsbegäran.docx", "A 36128-2023")</f>
        <v/>
      </c>
      <c r="AD74">
        <f>HYPERLINK("https://klasma.github.io/Logging_0562/tillsynsmail/A 36128-2023 tillsynsbegäran mail.docx", "A 36128-2023")</f>
        <v/>
      </c>
      <c r="AE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46301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27456-2026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46301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HYPERLINK("https://klasma.github.io/Logging_0562/artfynd/A 27456-2026 artfynd.xlsx", "A 27456-2026")</f>
        <v/>
      </c>
      <c r="X76">
        <f>HYPERLINK("https://klasma.github.io/Logging_0562/kartor/A 27456-2026 karta.png", "A 27456-2026")</f>
        <v/>
      </c>
      <c r="Y76">
        <f>HYPERLINK("https://klasma.github.io/Logging_0562/kartor_geotiff/A 27456-2026 georefererad karta.tif", "A 27456-2026")</f>
        <v/>
      </c>
      <c r="AA76">
        <f>HYPERLINK("https://klasma.github.io/Logging_0562/klagomål/A 27456-2026 FSC-klagomål.docx", "A 27456-2026")</f>
        <v/>
      </c>
      <c r="AB76">
        <f>HYPERLINK("https://klasma.github.io/Logging_0562/klagomålsmail/A 27456-2026 FSC-klagomål mail.docx", "A 27456-2026")</f>
        <v/>
      </c>
      <c r="AC76">
        <f>HYPERLINK("https://klasma.github.io/Logging_0562/tillsyn/A 27456-2026 tillsynsbegäran.docx", "A 27456-2026")</f>
        <v/>
      </c>
      <c r="AD76">
        <f>HYPERLINK("https://klasma.github.io/Logging_0562/tillsynsmail/A 27456-2026 tillsynsbegäran mail.docx", "A 27456-2026")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46301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HYPERLINK("https://klasma.github.io/Logging_0562/artfynd/A 1177-2024 artfynd.xlsx", "A 1177-2024")</f>
        <v/>
      </c>
      <c r="X77">
        <f>HYPERLINK("https://klasma.github.io/Logging_0562/kartor/A 1177-2024 karta.png", "A 1177-2024")</f>
        <v/>
      </c>
      <c r="Y77">
        <f>HYPERLINK("https://klasma.github.io/Logging_0562/kartor_geotiff/A 1177-2024 georefererad karta.tif", "A 1177-2024")</f>
        <v/>
      </c>
      <c r="Z77">
        <f>HYPERLINK("https://klasma.github.io/Logging_0562/knärot/A 1177-2024 karta knärot.png", "A 1177-2024")</f>
        <v/>
      </c>
      <c r="AA77">
        <f>HYPERLINK("https://klasma.github.io/Logging_0562/klagomål/A 1177-2024 FSC-klagomål.docx", "A 1177-2024")</f>
        <v/>
      </c>
      <c r="AB77">
        <f>HYPERLINK("https://klasma.github.io/Logging_0562/klagomålsmail/A 1177-2024 FSC-klagomål mail.docx", "A 1177-2024")</f>
        <v/>
      </c>
      <c r="AC77">
        <f>HYPERLINK("https://klasma.github.io/Logging_0562/tillsyn/A 1177-2024 tillsynsbegäran.docx", "A 1177-2024")</f>
        <v/>
      </c>
      <c r="AD77">
        <f>HYPERLINK("https://klasma.github.io/Logging_0562/tillsynsmail/A 1177-2024 tillsynsbegäran mail.docx", "A 1177-2024")</f>
        <v/>
      </c>
    </row>
    <row r="78" ht="15" customHeight="1">
      <c r="A78" t="inlineStr">
        <is>
          <t>A 40385-2024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46301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HYPERLINK("https://klasma.github.io/Logging_0562/artfynd/A 40385-2024 artfynd.xlsx", "A 40385-2024")</f>
        <v/>
      </c>
      <c r="X78">
        <f>HYPERLINK("https://klasma.github.io/Logging_0562/kartor/A 40385-2024 karta.png", "A 40385-2024")</f>
        <v/>
      </c>
      <c r="Y78">
        <f>HYPERLINK("https://klasma.github.io/Logging_0562/kartor_geotiff/A 40385-2024 georefererad karta.tif", "A 40385-2024")</f>
        <v/>
      </c>
      <c r="AA78">
        <f>HYPERLINK("https://klasma.github.io/Logging_0562/klagomål/A 40385-2024 FSC-klagomål.docx", "A 40385-2024")</f>
        <v/>
      </c>
      <c r="AB78">
        <f>HYPERLINK("https://klasma.github.io/Logging_0562/klagomålsmail/A 40385-2024 FSC-klagomål mail.docx", "A 40385-2024")</f>
        <v/>
      </c>
      <c r="AC78">
        <f>HYPERLINK("https://klasma.github.io/Logging_0562/tillsyn/A 40385-2024 tillsynsbegäran.docx", "A 40385-2024")</f>
        <v/>
      </c>
      <c r="AD78">
        <f>HYPERLINK("https://klasma.github.io/Logging_0562/tillsynsmail/A 40385-2024 tillsynsbegäran mail.docx", "A 40385-2024")</f>
        <v/>
      </c>
      <c r="AE78">
        <f>HYPERLINK("https://klasma.github.io/Logging_0562/fåglar/A 40385-2024 prioriterade fågelarter.docx", "A 40385-2024")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46301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HYPERLINK("https://klasma.github.io/Logging_0562/artfynd/A 61695-2021 artfynd.xlsx", "A 61695-2021")</f>
        <v/>
      </c>
      <c r="X79">
        <f>HYPERLINK("https://klasma.github.io/Logging_0562/kartor/A 61695-2021 karta.png", "A 61695-2021")</f>
        <v/>
      </c>
      <c r="Y79">
        <f>HYPERLINK("https://klasma.github.io/Logging_0562/kartor_geotiff/A 61695-2021 georefererad karta.tif", "A 61695-2021")</f>
        <v/>
      </c>
      <c r="AA79">
        <f>HYPERLINK("https://klasma.github.io/Logging_0562/klagomål/A 61695-2021 FSC-klagomål.docx", "A 61695-2021")</f>
        <v/>
      </c>
      <c r="AB79">
        <f>HYPERLINK("https://klasma.github.io/Logging_0562/klagomålsmail/A 61695-2021 FSC-klagomål mail.docx", "A 61695-2021")</f>
        <v/>
      </c>
      <c r="AC79">
        <f>HYPERLINK("https://klasma.github.io/Logging_0562/tillsyn/A 61695-2021 tillsynsbegäran.docx", "A 61695-2021")</f>
        <v/>
      </c>
      <c r="AD79">
        <f>HYPERLINK("https://klasma.github.io/Logging_0562/tillsynsmail/A 61695-2021 tillsynsbegäran mail.docx", "A 61695-2021")</f>
        <v/>
      </c>
    </row>
    <row r="80" ht="15" customHeight="1">
      <c r="A80" t="inlineStr">
        <is>
          <t>A 34885-2026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46258</v>
      </c>
      <c r="E80" s="1" t="n">
        <v>46301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4.2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Havsörn</t>
        </is>
      </c>
      <c r="W80">
        <f>HYPERLINK("https://klasma.github.io/Logging_0562/artfynd/A 34885-2026 artfynd.xlsx", "A 34885-2026")</f>
        <v/>
      </c>
      <c r="X80">
        <f>HYPERLINK("https://klasma.github.io/Logging_0562/kartor/A 34885-2026 karta.png", "A 34885-2026")</f>
        <v/>
      </c>
      <c r="Y80">
        <f>HYPERLINK("https://klasma.github.io/Logging_0562/kartor_geotiff/A 34885-2026 georefererad karta.tif", "A 34885-2026")</f>
        <v/>
      </c>
      <c r="AA80">
        <f>HYPERLINK("https://klasma.github.io/Logging_0562/klagomål/A 34885-2026 FSC-klagomål.docx", "A 34885-2026")</f>
        <v/>
      </c>
      <c r="AB80">
        <f>HYPERLINK("https://klasma.github.io/Logging_0562/klagomålsmail/A 34885-2026 FSC-klagomål mail.docx", "A 34885-2026")</f>
        <v/>
      </c>
      <c r="AC80">
        <f>HYPERLINK("https://klasma.github.io/Logging_0562/tillsyn/A 34885-2026 tillsynsbegäran.docx", "A 34885-2026")</f>
        <v/>
      </c>
      <c r="AD80">
        <f>HYPERLINK("https://klasma.github.io/Logging_0562/tillsynsmail/A 34885-2026 tillsynsbegäran mail.docx", "A 34885-2026")</f>
        <v/>
      </c>
      <c r="AE80">
        <f>HYPERLINK("https://klasma.github.io/Logging_0562/fåglar/A 34885-2026 prioriterade fågelarter.docx", "A 34885-2026")</f>
        <v/>
      </c>
    </row>
    <row r="81" ht="15" customHeight="1">
      <c r="A81" t="inlineStr">
        <is>
          <t>A 34886-2026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46301</v>
      </c>
      <c r="F81" t="inlineStr">
        <is>
          <t>ÖSTERGÖTLANDS LÄN</t>
        </is>
      </c>
      <c r="G81" t="inlineStr">
        <is>
          <t>FINSPÅNG</t>
        </is>
      </c>
      <c r="H81" t="inlineStr">
        <is>
          <t>Övriga Aktiebolag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HYPERLINK("https://klasma.github.io/Logging_0562/artfynd/A 34886-2026 artfynd.xlsx", "A 34886-2026")</f>
        <v/>
      </c>
      <c r="X81">
        <f>HYPERLINK("https://klasma.github.io/Logging_0562/kartor/A 34886-2026 karta.png", "A 34886-2026")</f>
        <v/>
      </c>
      <c r="Y81">
        <f>HYPERLINK("https://klasma.github.io/Logging_0562/kartor_geotiff/A 34886-2026 georefererad karta.tif", "A 34886-2026")</f>
        <v/>
      </c>
      <c r="AA81">
        <f>HYPERLINK("https://klasma.github.io/Logging_0562/klagomål/A 34886-2026 FSC-klagomål.docx", "A 34886-2026")</f>
        <v/>
      </c>
      <c r="AB81">
        <f>HYPERLINK("https://klasma.github.io/Logging_0562/klagomålsmail/A 34886-2026 FSC-klagomål mail.docx", "A 34886-2026")</f>
        <v/>
      </c>
      <c r="AC81">
        <f>HYPERLINK("https://klasma.github.io/Logging_0562/tillsyn/A 34886-2026 tillsynsbegäran.docx", "A 34886-2026")</f>
        <v/>
      </c>
      <c r="AD81">
        <f>HYPERLINK("https://klasma.github.io/Logging_0562/tillsynsmail/A 34886-2026 tillsynsbegäran mail.docx", "A 34886-2026")</f>
        <v/>
      </c>
    </row>
    <row r="82" ht="15" customHeight="1">
      <c r="A82" t="inlineStr">
        <is>
          <t>A 25942-2026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46301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Motaggsvamp</t>
        </is>
      </c>
      <c r="W82">
        <f>HYPERLINK("https://klasma.github.io/Logging_0562/artfynd/A 25942-2026 artfynd.xlsx", "A 25942-2026")</f>
        <v/>
      </c>
      <c r="X82">
        <f>HYPERLINK("https://klasma.github.io/Logging_0562/kartor/A 25942-2026 karta.png", "A 25942-2026")</f>
        <v/>
      </c>
      <c r="Y82">
        <f>HYPERLINK("https://klasma.github.io/Logging_0562/kartor_geotiff/A 25942-2026 georefererad karta.tif", "A 25942-2026")</f>
        <v/>
      </c>
      <c r="AA82">
        <f>HYPERLINK("https://klasma.github.io/Logging_0562/klagomål/A 25942-2026 FSC-klagomål.docx", "A 25942-2026")</f>
        <v/>
      </c>
      <c r="AB82">
        <f>HYPERLINK("https://klasma.github.io/Logging_0562/klagomålsmail/A 25942-2026 FSC-klagomål mail.docx", "A 25942-2026")</f>
        <v/>
      </c>
      <c r="AC82">
        <f>HYPERLINK("https://klasma.github.io/Logging_0562/tillsyn/A 25942-2026 tillsynsbegäran.docx", "A 25942-2026")</f>
        <v/>
      </c>
      <c r="AD82">
        <f>HYPERLINK("https://klasma.github.io/Logging_0562/tillsynsmail/A 25942-2026 tillsynsbegäran mail.docx", "A 25942-2026")</f>
        <v/>
      </c>
    </row>
    <row r="83" ht="15" customHeight="1">
      <c r="A83" t="inlineStr">
        <is>
          <t>A 663-2023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44930</v>
      </c>
      <c r="E83" s="1" t="n">
        <v>46301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HYPERLINK("https://klasma.github.io/Logging_0562/artfynd/A 663-2023 artfynd.xlsx", "A 663-2023")</f>
        <v/>
      </c>
      <c r="X83">
        <f>HYPERLINK("https://klasma.github.io/Logging_0562/kartor/A 663-2023 karta.png", "A 663-2023")</f>
        <v/>
      </c>
      <c r="Y83">
        <f>HYPERLINK("https://klasma.github.io/Logging_0562/kartor_geotiff/A 663-2023 georefererad karta.tif", "A 663-2023")</f>
        <v/>
      </c>
      <c r="AA83">
        <f>HYPERLINK("https://klasma.github.io/Logging_0562/klagomål/A 663-2023 FSC-klagomål.docx", "A 663-2023")</f>
        <v/>
      </c>
      <c r="AB83">
        <f>HYPERLINK("https://klasma.github.io/Logging_0562/klagomålsmail/A 663-2023 FSC-klagomål mail.docx", "A 663-2023")</f>
        <v/>
      </c>
      <c r="AC83">
        <f>HYPERLINK("https://klasma.github.io/Logging_0562/tillsyn/A 663-2023 tillsynsbegäran.docx", "A 663-2023")</f>
        <v/>
      </c>
      <c r="AD83">
        <f>HYPERLINK("https://klasma.github.io/Logging_0562/tillsynsmail/A 663-2023 tillsynsbegäran mail.docx", "A 663-2023")</f>
        <v/>
      </c>
    </row>
    <row r="84" ht="15" customHeight="1">
      <c r="A84" t="inlineStr">
        <is>
          <t>A 59061-2024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46301</v>
      </c>
      <c r="F84" t="inlineStr">
        <is>
          <t>ÖSTERGÖTLANDS LÄN</t>
        </is>
      </c>
      <c r="G84" t="inlineStr">
        <is>
          <t>FINSPÅNG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Ängsnycklar</t>
        </is>
      </c>
      <c r="W84">
        <f>HYPERLINK("https://klasma.github.io/Logging_0562/artfynd/A 59061-2024 artfynd.xlsx", "A 59061-2024")</f>
        <v/>
      </c>
      <c r="X84">
        <f>HYPERLINK("https://klasma.github.io/Logging_0562/kartor/A 59061-2024 karta.png", "A 59061-2024")</f>
        <v/>
      </c>
      <c r="Y84">
        <f>HYPERLINK("https://klasma.github.io/Logging_0562/kartor_geotiff/A 59061-2024 georefererad karta.tif", "A 59061-2024")</f>
        <v/>
      </c>
      <c r="AA84">
        <f>HYPERLINK("https://klasma.github.io/Logging_0562/klagomål/A 59061-2024 FSC-klagomål.docx", "A 59061-2024")</f>
        <v/>
      </c>
      <c r="AB84">
        <f>HYPERLINK("https://klasma.github.io/Logging_0562/klagomålsmail/A 59061-2024 FSC-klagomål mail.docx", "A 59061-2024")</f>
        <v/>
      </c>
      <c r="AC84">
        <f>HYPERLINK("https://klasma.github.io/Logging_0562/tillsyn/A 59061-2024 tillsynsbegäran.docx", "A 59061-2024")</f>
        <v/>
      </c>
      <c r="AD84">
        <f>HYPERLINK("https://klasma.github.io/Logging_0562/tillsynsmail/A 59061-2024 tillsynsbegäran mail.docx", "A 59061-2024")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46301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24411-2023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46301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Blåmossa</t>
        </is>
      </c>
      <c r="W86">
        <f>HYPERLINK("https://klasma.github.io/Logging_0562/artfynd/A 24411-2023 artfynd.xlsx", "A 24411-2023")</f>
        <v/>
      </c>
      <c r="X86">
        <f>HYPERLINK("https://klasma.github.io/Logging_0562/kartor/A 24411-2023 karta.png", "A 24411-2023")</f>
        <v/>
      </c>
      <c r="Y86">
        <f>HYPERLINK("https://klasma.github.io/Logging_0562/kartor_geotiff/A 24411-2023 georefererad karta.tif", "A 24411-2023")</f>
        <v/>
      </c>
      <c r="AA86">
        <f>HYPERLINK("https://klasma.github.io/Logging_0562/klagomål/A 24411-2023 FSC-klagomål.docx", "A 24411-2023")</f>
        <v/>
      </c>
      <c r="AB86">
        <f>HYPERLINK("https://klasma.github.io/Logging_0562/klagomålsmail/A 24411-2023 FSC-klagomål mail.docx", "A 24411-2023")</f>
        <v/>
      </c>
      <c r="AC86">
        <f>HYPERLINK("https://klasma.github.io/Logging_0562/tillsyn/A 24411-2023 tillsynsbegäran.docx", "A 24411-2023")</f>
        <v/>
      </c>
      <c r="AD86">
        <f>HYPERLINK("https://klasma.github.io/Logging_0562/tillsynsmail/A 24411-2023 tillsynsbegäran mail.docx", "A 24411-2023")</f>
        <v/>
      </c>
    </row>
    <row r="87" ht="15" customHeight="1">
      <c r="A87" t="inlineStr">
        <is>
          <t>A 15123-2025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46301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Naturvårdsverket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HYPERLINK("https://klasma.github.io/Logging_0562/artfynd/A 15123-2025 artfynd.xlsx", "A 15123-2025")</f>
        <v/>
      </c>
      <c r="X87">
        <f>HYPERLINK("https://klasma.github.io/Logging_0562/kartor/A 15123-2025 karta.png", "A 15123-2025")</f>
        <v/>
      </c>
      <c r="Y87">
        <f>HYPERLINK("https://klasma.github.io/Logging_0562/kartor_geotiff/A 15123-2025 georefererad karta.tif", "A 15123-2025")</f>
        <v/>
      </c>
      <c r="AA87">
        <f>HYPERLINK("https://klasma.github.io/Logging_0562/klagomål/A 15123-2025 FSC-klagomål.docx", "A 15123-2025")</f>
        <v/>
      </c>
      <c r="AB87">
        <f>HYPERLINK("https://klasma.github.io/Logging_0562/klagomålsmail/A 15123-2025 FSC-klagomål mail.docx", "A 15123-2025")</f>
        <v/>
      </c>
      <c r="AC87">
        <f>HYPERLINK("https://klasma.github.io/Logging_0562/tillsyn/A 15123-2025 tillsynsbegäran.docx", "A 15123-2025")</f>
        <v/>
      </c>
      <c r="AD87">
        <f>HYPERLINK("https://klasma.github.io/Logging_0562/tillsynsmail/A 15123-2025 tillsynsbegäran mail.docx", "A 15123-2025")</f>
        <v/>
      </c>
      <c r="AE87">
        <f>HYPERLINK("https://klasma.github.io/Logging_0562/fåglar/A 15123-2025 prioriterade fågelarter.docx", "A 15123-2025")</f>
        <v/>
      </c>
    </row>
    <row r="88" ht="15" customHeight="1">
      <c r="A88" t="inlineStr">
        <is>
          <t>A 22259-2024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46301</v>
      </c>
      <c r="F88" t="inlineStr">
        <is>
          <t>ÖSTERGÖTLANDS LÄN</t>
        </is>
      </c>
      <c r="G88" t="inlineStr">
        <is>
          <t>FINSPÅNG</t>
        </is>
      </c>
      <c r="I88" t="n">
        <v>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Gullklöver</t>
        </is>
      </c>
      <c r="W88">
        <f>HYPERLINK("https://klasma.github.io/Logging_0562/artfynd/A 22259-2024 artfynd.xlsx", "A 22259-2024")</f>
        <v/>
      </c>
      <c r="X88">
        <f>HYPERLINK("https://klasma.github.io/Logging_0562/kartor/A 22259-2024 karta.png", "A 22259-2024")</f>
        <v/>
      </c>
      <c r="Y88">
        <f>HYPERLINK("https://klasma.github.io/Logging_0562/kartor_geotiff/A 22259-2024 georefererad karta.tif", "A 22259-2024")</f>
        <v/>
      </c>
      <c r="AA88">
        <f>HYPERLINK("https://klasma.github.io/Logging_0562/klagomål/A 22259-2024 FSC-klagomål.docx", "A 22259-2024")</f>
        <v/>
      </c>
      <c r="AB88">
        <f>HYPERLINK("https://klasma.github.io/Logging_0562/klagomålsmail/A 22259-2024 FSC-klagomål mail.docx", "A 22259-2024")</f>
        <v/>
      </c>
      <c r="AC88">
        <f>HYPERLINK("https://klasma.github.io/Logging_0562/tillsyn/A 22259-2024 tillsynsbegäran.docx", "A 22259-2024")</f>
        <v/>
      </c>
      <c r="AD88">
        <f>HYPERLINK("https://klasma.github.io/Logging_0562/tillsynsmail/A 22259-2024 tillsynsbegäran mail.docx", "A 22259-2024")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46301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46301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46301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46301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46301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46301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46301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46301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44864</v>
      </c>
      <c r="E97" s="1" t="n">
        <v>46301</v>
      </c>
      <c r="F97" t="inlineStr">
        <is>
          <t>ÖSTERGÖTLANDS LÄN</t>
        </is>
      </c>
      <c r="G97" t="inlineStr">
        <is>
          <t>FINSPÅNG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46301</v>
      </c>
      <c r="F98" t="inlineStr">
        <is>
          <t>ÖSTERGÖTLANDS LÄN</t>
        </is>
      </c>
      <c r="G98" t="inlineStr">
        <is>
          <t>FINSPÅNG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46301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46301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46301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46301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46301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46301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46301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46301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46301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46301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46301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46301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46301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46301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46301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46301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46301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46301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46301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46301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46301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46301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46301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46301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46301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46301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46301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46301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46301</v>
      </c>
      <c r="F127" t="inlineStr">
        <is>
          <t>ÖSTERGÖTLANDS LÄN</t>
        </is>
      </c>
      <c r="G127" t="inlineStr">
        <is>
          <t>FINSPÅNG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46301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46301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46301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46301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46301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46301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46301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46301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46301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46301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46301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46301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46301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46301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46301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46301</v>
      </c>
      <c r="F143" t="inlineStr">
        <is>
          <t>ÖSTERGÖTLANDS LÄN</t>
        </is>
      </c>
      <c r="G143" t="inlineStr">
        <is>
          <t>FINSPÅNG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46301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46301</v>
      </c>
      <c r="F145" t="inlineStr">
        <is>
          <t>ÖSTERGÖTLANDS LÄN</t>
        </is>
      </c>
      <c r="G145" t="inlineStr">
        <is>
          <t>FINSPÅNG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46301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46301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46301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46301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46301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46301</v>
      </c>
      <c r="F151" t="inlineStr">
        <is>
          <t>ÖSTERGÖTLANDS LÄN</t>
        </is>
      </c>
      <c r="G151" t="inlineStr">
        <is>
          <t>FINSPÅNG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46301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46301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73831-2021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44552</v>
      </c>
      <c r="E154" s="1" t="n">
        <v>46301</v>
      </c>
      <c r="F154" t="inlineStr">
        <is>
          <t>ÖSTERGÖTLANDS LÄN</t>
        </is>
      </c>
      <c r="G154" t="inlineStr">
        <is>
          <t>FINSPÅNG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46301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46301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46301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46301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46301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46301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Holmen skog AB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46301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46301</v>
      </c>
      <c r="F162" t="inlineStr">
        <is>
          <t>ÖSTERGÖTLANDS LÄN</t>
        </is>
      </c>
      <c r="G162" t="inlineStr">
        <is>
          <t>FINSPÅNG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44630</v>
      </c>
      <c r="E163" s="1" t="n">
        <v>46301</v>
      </c>
      <c r="F163" t="inlineStr">
        <is>
          <t>ÖSTERGÖTLANDS LÄN</t>
        </is>
      </c>
      <c r="G163" t="inlineStr">
        <is>
          <t>FINSPÅNG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46301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46301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44601</v>
      </c>
      <c r="E166" s="1" t="n">
        <v>46301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46301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46301</v>
      </c>
      <c r="F168" t="inlineStr">
        <is>
          <t>ÖSTERGÖTLANDS LÄN</t>
        </is>
      </c>
      <c r="G168" t="inlineStr">
        <is>
          <t>FINSPÅNG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44476</v>
      </c>
      <c r="E169" s="1" t="n">
        <v>46301</v>
      </c>
      <c r="F169" t="inlineStr">
        <is>
          <t>ÖSTERGÖTLANDS LÄN</t>
        </is>
      </c>
      <c r="G169" t="inlineStr">
        <is>
          <t>FINSPÅNG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46301</v>
      </c>
      <c r="F170" t="inlineStr">
        <is>
          <t>ÖSTERGÖTLANDS LÄN</t>
        </is>
      </c>
      <c r="G170" t="inlineStr">
        <is>
          <t>FINSPÅNG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44481</v>
      </c>
      <c r="E171" s="1" t="n">
        <v>46301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44635</v>
      </c>
      <c r="E172" s="1" t="n">
        <v>46301</v>
      </c>
      <c r="F172" t="inlineStr">
        <is>
          <t>ÖSTERGÖTLANDS LÄN</t>
        </is>
      </c>
      <c r="G172" t="inlineStr">
        <is>
          <t>FINSPÅNG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44776</v>
      </c>
      <c r="E173" s="1" t="n">
        <v>46301</v>
      </c>
      <c r="F173" t="inlineStr">
        <is>
          <t>ÖSTERGÖTLANDS LÄN</t>
        </is>
      </c>
      <c r="G173" t="inlineStr">
        <is>
          <t>FINSPÅNG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44713</v>
      </c>
      <c r="E174" s="1" t="n">
        <v>46301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44697</v>
      </c>
      <c r="E175" s="1" t="n">
        <v>46301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44481</v>
      </c>
      <c r="E176" s="1" t="n">
        <v>46301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69994-2021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44533</v>
      </c>
      <c r="E177" s="1" t="n">
        <v>46301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46301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44678</v>
      </c>
      <c r="E179" s="1" t="n">
        <v>46301</v>
      </c>
      <c r="F179" t="inlineStr">
        <is>
          <t>ÖSTERGÖTLANDS LÄN</t>
        </is>
      </c>
      <c r="G179" t="inlineStr">
        <is>
          <t>FINSPÅNG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44564</v>
      </c>
      <c r="E180" s="1" t="n">
        <v>46301</v>
      </c>
      <c r="F180" t="inlineStr">
        <is>
          <t>ÖSTERGÖTLANDS LÄN</t>
        </is>
      </c>
      <c r="G180" t="inlineStr">
        <is>
          <t>FINSPÅNG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44642</v>
      </c>
      <c r="E181" s="1" t="n">
        <v>46301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44659</v>
      </c>
      <c r="E182" s="1" t="n">
        <v>46301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46301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44754</v>
      </c>
      <c r="E184" s="1" t="n">
        <v>46301</v>
      </c>
      <c r="F184" t="inlineStr">
        <is>
          <t>ÖSTERGÖTLANDS LÄN</t>
        </is>
      </c>
      <c r="G184" t="inlineStr">
        <is>
          <t>FINSPÅNG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45617</v>
      </c>
      <c r="E185" s="1" t="n">
        <v>46301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45042</v>
      </c>
      <c r="E186" s="1" t="n">
        <v>46301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45618</v>
      </c>
      <c r="E187" s="1" t="n">
        <v>46301</v>
      </c>
      <c r="F187" t="inlineStr">
        <is>
          <t>ÖSTERGÖTLANDS LÄN</t>
        </is>
      </c>
      <c r="G187" t="inlineStr">
        <is>
          <t>FINSPÅNG</t>
        </is>
      </c>
      <c r="I187" t="n">
        <v>11.8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46301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44778</v>
      </c>
      <c r="E189" s="1" t="n">
        <v>46301</v>
      </c>
      <c r="F189" t="inlineStr">
        <is>
          <t>ÖSTERGÖTLANDS LÄN</t>
        </is>
      </c>
      <c r="G189" t="inlineStr">
        <is>
          <t>FINSPÅNG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44833</v>
      </c>
      <c r="E190" s="1" t="n">
        <v>46301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Övriga Aktiebolag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36406-2024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45535</v>
      </c>
      <c r="E191" s="1" t="n">
        <v>46301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Kommuner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44770</v>
      </c>
      <c r="E192" s="1" t="n">
        <v>46301</v>
      </c>
      <c r="F192" t="inlineStr">
        <is>
          <t>ÖSTERGÖTLANDS LÄN</t>
        </is>
      </c>
      <c r="G192" t="inlineStr">
        <is>
          <t>FINSPÅNG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46301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46301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45362</v>
      </c>
      <c r="E195" s="1" t="n">
        <v>46301</v>
      </c>
      <c r="F195" t="inlineStr">
        <is>
          <t>ÖSTERGÖTLANDS LÄN</t>
        </is>
      </c>
      <c r="G195" t="inlineStr">
        <is>
          <t>FINSPÅNG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45374</v>
      </c>
      <c r="E196" s="1" t="n">
        <v>46301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Kyrkan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46301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46301</v>
      </c>
      <c r="F198" t="inlineStr">
        <is>
          <t>ÖSTERGÖTLANDS LÄN</t>
        </is>
      </c>
      <c r="G198" t="inlineStr">
        <is>
          <t>FINSPÅNG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46301</v>
      </c>
      <c r="F199" t="inlineStr">
        <is>
          <t>ÖSTERGÖTLANDS LÄN</t>
        </is>
      </c>
      <c r="G199" t="inlineStr">
        <is>
          <t>FINSPÅNG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36994-2022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46301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44844</v>
      </c>
      <c r="E201" s="1" t="n">
        <v>46301</v>
      </c>
      <c r="F201" t="inlineStr">
        <is>
          <t>ÖSTERGÖTLANDS LÄN</t>
        </is>
      </c>
      <c r="G201" t="inlineStr">
        <is>
          <t>FINSPÅNG</t>
        </is>
      </c>
      <c r="I201" t="n">
        <v>16.6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44817</v>
      </c>
      <c r="E202" s="1" t="n">
        <v>46301</v>
      </c>
      <c r="F202" t="inlineStr">
        <is>
          <t>ÖSTERGÖTLANDS LÄN</t>
        </is>
      </c>
      <c r="G202" t="inlineStr">
        <is>
          <t>FINSPÅNG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45357</v>
      </c>
      <c r="E203" s="1" t="n">
        <v>46301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46301</v>
      </c>
      <c r="F204" t="inlineStr">
        <is>
          <t>ÖSTERGÖTLANDS LÄN</t>
        </is>
      </c>
      <c r="G204" t="inlineStr">
        <is>
          <t>FINSPÅNG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46301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Naturvårdsverket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45744</v>
      </c>
      <c r="E206" s="1" t="n">
        <v>46301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Naturvårdsverket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44887</v>
      </c>
      <c r="E207" s="1" t="n">
        <v>46301</v>
      </c>
      <c r="F207" t="inlineStr">
        <is>
          <t>ÖSTERGÖTLANDS LÄN</t>
        </is>
      </c>
      <c r="G207" t="inlineStr">
        <is>
          <t>FINSPÅNG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45252</v>
      </c>
      <c r="E208" s="1" t="n">
        <v>46301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46301</v>
      </c>
      <c r="F209" t="inlineStr">
        <is>
          <t>ÖSTERGÖTLANDS LÄN</t>
        </is>
      </c>
      <c r="G209" t="inlineStr">
        <is>
          <t>FINSPÅNG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46301</v>
      </c>
      <c r="F210" t="inlineStr">
        <is>
          <t>ÖSTERGÖTLANDS LÄN</t>
        </is>
      </c>
      <c r="G210" t="inlineStr">
        <is>
          <t>FINSPÅNG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45447</v>
      </c>
      <c r="E211" s="1" t="n">
        <v>46301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44767</v>
      </c>
      <c r="E212" s="1" t="n">
        <v>46301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46301</v>
      </c>
      <c r="F213" t="inlineStr">
        <is>
          <t>ÖSTERGÖTLANDS LÄN</t>
        </is>
      </c>
      <c r="G213" t="inlineStr">
        <is>
          <t>FINSPÅNG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10184-2023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44986</v>
      </c>
      <c r="E214" s="1" t="n">
        <v>46301</v>
      </c>
      <c r="F214" t="inlineStr">
        <is>
          <t>ÖSTERGÖTLANDS LÄN</t>
        </is>
      </c>
      <c r="G214" t="inlineStr">
        <is>
          <t>FINSPÅNG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46301</v>
      </c>
      <c r="F215" t="inlineStr">
        <is>
          <t>ÖSTERGÖTLANDS LÄN</t>
        </is>
      </c>
      <c r="G215" t="inlineStr">
        <is>
          <t>FINSPÅNG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44957</v>
      </c>
      <c r="E216" s="1" t="n">
        <v>46301</v>
      </c>
      <c r="F216" t="inlineStr">
        <is>
          <t>ÖSTERGÖTLANDS LÄN</t>
        </is>
      </c>
      <c r="G216" t="inlineStr">
        <is>
          <t>FINSPÅNG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46301</v>
      </c>
      <c r="F217" t="inlineStr">
        <is>
          <t>ÖSTERGÖTLANDS LÄN</t>
        </is>
      </c>
      <c r="G217" t="inlineStr">
        <is>
          <t>FINSPÅNG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46301</v>
      </c>
      <c r="F218" t="inlineStr">
        <is>
          <t>ÖSTERGÖTLANDS LÄN</t>
        </is>
      </c>
      <c r="G218" t="inlineStr">
        <is>
          <t>FINSPÅNG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46301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39467-2024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45551</v>
      </c>
      <c r="E220" s="1" t="n">
        <v>46301</v>
      </c>
      <c r="F220" t="inlineStr">
        <is>
          <t>ÖSTERGÖTLANDS LÄN</t>
        </is>
      </c>
      <c r="G220" t="inlineStr">
        <is>
          <t>FINSPÅNG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46301</v>
      </c>
      <c r="F221" t="inlineStr">
        <is>
          <t>ÖSTERGÖTLANDS LÄN</t>
        </is>
      </c>
      <c r="G221" t="inlineStr">
        <is>
          <t>FINSPÅNG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45095</v>
      </c>
      <c r="E222" s="1" t="n">
        <v>46301</v>
      </c>
      <c r="F222" t="inlineStr">
        <is>
          <t>ÖSTERGÖTLANDS LÄN</t>
        </is>
      </c>
      <c r="G222" t="inlineStr">
        <is>
          <t>FINSPÅNG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44891</v>
      </c>
      <c r="E223" s="1" t="n">
        <v>46301</v>
      </c>
      <c r="F223" t="inlineStr">
        <is>
          <t>ÖSTERGÖTLANDS LÄN</t>
        </is>
      </c>
      <c r="G223" t="inlineStr">
        <is>
          <t>FINSPÅNG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25679-2024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45463</v>
      </c>
      <c r="E224" s="1" t="n">
        <v>46301</v>
      </c>
      <c r="F224" t="inlineStr">
        <is>
          <t>ÖSTERGÖTLANDS LÄN</t>
        </is>
      </c>
      <c r="G224" t="inlineStr">
        <is>
          <t>FINSPÅNG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45442</v>
      </c>
      <c r="E225" s="1" t="n">
        <v>46301</v>
      </c>
      <c r="F225" t="inlineStr">
        <is>
          <t>ÖSTERGÖTLANDS LÄN</t>
        </is>
      </c>
      <c r="G225" t="inlineStr">
        <is>
          <t>FINSPÅNG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45293</v>
      </c>
      <c r="E226" s="1" t="n">
        <v>46301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44860</v>
      </c>
      <c r="E227" s="1" t="n">
        <v>46301</v>
      </c>
      <c r="F227" t="inlineStr">
        <is>
          <t>ÖSTERGÖTLANDS LÄN</t>
        </is>
      </c>
      <c r="G227" t="inlineStr">
        <is>
          <t>FINSPÅNG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46301</v>
      </c>
      <c r="F228" t="inlineStr">
        <is>
          <t>ÖSTERGÖTLANDS LÄN</t>
        </is>
      </c>
      <c r="G228" t="inlineStr">
        <is>
          <t>FINSPÅNG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55812-2021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44476</v>
      </c>
      <c r="E229" s="1" t="n">
        <v>46301</v>
      </c>
      <c r="F229" t="inlineStr">
        <is>
          <t>ÖSTERGÖTLANDS LÄN</t>
        </is>
      </c>
      <c r="G229" t="inlineStr">
        <is>
          <t>FINSPÅNG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45467</v>
      </c>
      <c r="E230" s="1" t="n">
        <v>46301</v>
      </c>
      <c r="F230" t="inlineStr">
        <is>
          <t>ÖSTERGÖTLANDS LÄN</t>
        </is>
      </c>
      <c r="G230" t="inlineStr">
        <is>
          <t>FINSPÅNG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45337</v>
      </c>
      <c r="E231" s="1" t="n">
        <v>46301</v>
      </c>
      <c r="F231" t="inlineStr">
        <is>
          <t>ÖSTERGÖTLANDS LÄN</t>
        </is>
      </c>
      <c r="G231" t="inlineStr">
        <is>
          <t>FINSPÅNG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56246-2022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44887</v>
      </c>
      <c r="E232" s="1" t="n">
        <v>46301</v>
      </c>
      <c r="F232" t="inlineStr">
        <is>
          <t>ÖSTERGÖTLANDS LÄN</t>
        </is>
      </c>
      <c r="G232" t="inlineStr">
        <is>
          <t>FINSPÅNG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56288-2022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44887</v>
      </c>
      <c r="E233" s="1" t="n">
        <v>46301</v>
      </c>
      <c r="F233" t="inlineStr">
        <is>
          <t>ÖSTERGÖTLANDS LÄN</t>
        </is>
      </c>
      <c r="G233" t="inlineStr">
        <is>
          <t>FINSPÅNG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46301</v>
      </c>
      <c r="F234" t="inlineStr">
        <is>
          <t>ÖSTERGÖTLANDS LÄN</t>
        </is>
      </c>
      <c r="G234" t="inlineStr">
        <is>
          <t>FINSPÅNG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19160-2024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45428</v>
      </c>
      <c r="E235" s="1" t="n">
        <v>46301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45428</v>
      </c>
      <c r="E236" s="1" t="n">
        <v>46301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50341-2022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46301</v>
      </c>
      <c r="F237" t="inlineStr">
        <is>
          <t>ÖSTERGÖTLANDS LÄN</t>
        </is>
      </c>
      <c r="G237" t="inlineStr">
        <is>
          <t>FINSPÅNG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14866-2022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44656</v>
      </c>
      <c r="E238" s="1" t="n">
        <v>46301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45740</v>
      </c>
      <c r="E239" s="1" t="n">
        <v>46301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45280</v>
      </c>
      <c r="E240" s="1" t="n">
        <v>46301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Övriga Aktiebolag</t>
        </is>
      </c>
      <c r="I240" t="n">
        <v>13.6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44637</v>
      </c>
      <c r="E241" s="1" t="n">
        <v>46301</v>
      </c>
      <c r="F241" t="inlineStr">
        <is>
          <t>ÖSTERGÖTLANDS LÄN</t>
        </is>
      </c>
      <c r="G241" t="inlineStr">
        <is>
          <t>FINSPÅNG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45407-2022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44844</v>
      </c>
      <c r="E242" s="1" t="n">
        <v>46301</v>
      </c>
      <c r="F242" t="inlineStr">
        <is>
          <t>ÖSTERGÖTLANDS LÄN</t>
        </is>
      </c>
      <c r="G242" t="inlineStr">
        <is>
          <t>FINSPÅNG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45411-2022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44844</v>
      </c>
      <c r="E243" s="1" t="n">
        <v>46301</v>
      </c>
      <c r="F243" t="inlineStr">
        <is>
          <t>ÖSTERGÖTLANDS LÄN</t>
        </is>
      </c>
      <c r="G243" t="inlineStr">
        <is>
          <t>FINSPÅNG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44866</v>
      </c>
      <c r="E244" s="1" t="n">
        <v>46301</v>
      </c>
      <c r="F244" t="inlineStr">
        <is>
          <t>ÖSTERGÖTLANDS LÄN</t>
        </is>
      </c>
      <c r="G244" t="inlineStr">
        <is>
          <t>FINSPÅNG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44571-2022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44840</v>
      </c>
      <c r="E245" s="1" t="n">
        <v>46301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46301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46040</v>
      </c>
      <c r="E247" s="1" t="n">
        <v>46301</v>
      </c>
      <c r="F247" t="inlineStr">
        <is>
          <t>ÖSTERGÖTLANDS LÄN</t>
        </is>
      </c>
      <c r="G247" t="inlineStr">
        <is>
          <t>FINSPÅNG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46040</v>
      </c>
      <c r="E248" s="1" t="n">
        <v>46301</v>
      </c>
      <c r="F248" t="inlineStr">
        <is>
          <t>ÖSTERGÖTLANDS LÄN</t>
        </is>
      </c>
      <c r="G248" t="inlineStr">
        <is>
          <t>FINSPÅNG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46301</v>
      </c>
      <c r="F249" t="inlineStr">
        <is>
          <t>ÖSTERGÖTLANDS LÄN</t>
        </is>
      </c>
      <c r="G249" t="inlineStr">
        <is>
          <t>FINSPÅNG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46301</v>
      </c>
      <c r="F250" t="inlineStr">
        <is>
          <t>ÖSTERGÖTLANDS LÄN</t>
        </is>
      </c>
      <c r="G250" t="inlineStr">
        <is>
          <t>FINSPÅNG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27192-2025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45812</v>
      </c>
      <c r="E251" s="1" t="n">
        <v>46301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27208-2025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46301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46301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57738-2022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46301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59701-2024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46301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46301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46301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46301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46301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46301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46301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29454-2025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46301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46301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46301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29430-2025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45824</v>
      </c>
      <c r="E265" s="1" t="n">
        <v>46301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46301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46301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46301</v>
      </c>
      <c r="F268" t="inlineStr">
        <is>
          <t>ÖSTERGÖTLANDS LÄN</t>
        </is>
      </c>
      <c r="G268" t="inlineStr">
        <is>
          <t>FINSPÅNG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46050</v>
      </c>
      <c r="E269" s="1" t="n">
        <v>46301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46301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5172-2026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46049</v>
      </c>
      <c r="E271" s="1" t="n">
        <v>46301</v>
      </c>
      <c r="F271" t="inlineStr">
        <is>
          <t>ÖSTERGÖTLANDS LÄN</t>
        </is>
      </c>
      <c r="G271" t="inlineStr">
        <is>
          <t>FINSPÅNG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45891</v>
      </c>
      <c r="E272" s="1" t="n">
        <v>46301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40063-2024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45554</v>
      </c>
      <c r="E273" s="1" t="n">
        <v>46301</v>
      </c>
      <c r="F273" t="inlineStr">
        <is>
          <t>ÖSTERGÖTLANDS LÄN</t>
        </is>
      </c>
      <c r="G273" t="inlineStr">
        <is>
          <t>FINSPÅNG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45707</v>
      </c>
      <c r="E274" s="1" t="n">
        <v>46301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Allmännings- och besparingsskogar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59468-2021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44491</v>
      </c>
      <c r="E275" s="1" t="n">
        <v>46301</v>
      </c>
      <c r="F275" t="inlineStr">
        <is>
          <t>ÖSTERGÖTLANDS LÄN</t>
        </is>
      </c>
      <c r="G275" t="inlineStr">
        <is>
          <t>FINSPÅNG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46301</v>
      </c>
      <c r="F276" t="inlineStr">
        <is>
          <t>ÖSTERGÖTLANDS LÄN</t>
        </is>
      </c>
      <c r="G276" t="inlineStr">
        <is>
          <t>FINSPÅNG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46301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46301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46301</v>
      </c>
      <c r="F279" t="inlineStr">
        <is>
          <t>ÖSTERGÖTLANDS LÄN</t>
        </is>
      </c>
      <c r="G279" t="inlineStr">
        <is>
          <t>FINSPÅNG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44677</v>
      </c>
      <c r="E280" s="1" t="n">
        <v>46301</v>
      </c>
      <c r="F280" t="inlineStr">
        <is>
          <t>ÖSTERGÖTLANDS LÄN</t>
        </is>
      </c>
      <c r="G280" t="inlineStr">
        <is>
          <t>FINSPÅNG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41204-2025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46301</v>
      </c>
      <c r="F281" t="inlineStr">
        <is>
          <t>ÖSTERGÖTLANDS LÄN</t>
        </is>
      </c>
      <c r="G281" t="inlineStr">
        <is>
          <t>FINSPÅNG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46301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45554</v>
      </c>
      <c r="E283" s="1" t="n">
        <v>46301</v>
      </c>
      <c r="F283" t="inlineStr">
        <is>
          <t>ÖSTERGÖTLANDS LÄN</t>
        </is>
      </c>
      <c r="G283" t="inlineStr">
        <is>
          <t>FINSPÅNG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46301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45566</v>
      </c>
      <c r="E285" s="1" t="n">
        <v>46301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45555</v>
      </c>
      <c r="E286" s="1" t="n">
        <v>46301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46301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46301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46301</v>
      </c>
      <c r="F289" t="inlineStr">
        <is>
          <t>ÖSTERGÖTLANDS LÄN</t>
        </is>
      </c>
      <c r="G289" t="inlineStr">
        <is>
          <t>FINSPÅNG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46301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45903</v>
      </c>
      <c r="E291" s="1" t="n">
        <v>46301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45904</v>
      </c>
      <c r="E292" s="1" t="n">
        <v>46301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45845</v>
      </c>
      <c r="E293" s="1" t="n">
        <v>46301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45903</v>
      </c>
      <c r="E294" s="1" t="n">
        <v>46301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46301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46301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46301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42817-2025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46301</v>
      </c>
      <c r="F298" t="inlineStr">
        <is>
          <t>ÖSTERGÖTLANDS LÄN</t>
        </is>
      </c>
      <c r="G298" t="inlineStr">
        <is>
          <t>FINSPÅNG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45343</v>
      </c>
      <c r="E299" s="1" t="n">
        <v>46301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45441</v>
      </c>
      <c r="E300" s="1" t="n">
        <v>46301</v>
      </c>
      <c r="F300" t="inlineStr">
        <is>
          <t>ÖSTERGÖTLANDS LÄN</t>
        </is>
      </c>
      <c r="G300" t="inlineStr">
        <is>
          <t>FINSPÅNG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21532-2024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45441</v>
      </c>
      <c r="E301" s="1" t="n">
        <v>46301</v>
      </c>
      <c r="F301" t="inlineStr">
        <is>
          <t>ÖSTERGÖTLANDS LÄN</t>
        </is>
      </c>
      <c r="G301" t="inlineStr">
        <is>
          <t>FINSPÅNG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44964</v>
      </c>
      <c r="E302" s="1" t="n">
        <v>46301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46301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45179</v>
      </c>
      <c r="E304" s="1" t="n">
        <v>46301</v>
      </c>
      <c r="F304" t="inlineStr">
        <is>
          <t>ÖSTERGÖTLANDS LÄN</t>
        </is>
      </c>
      <c r="G304" t="inlineStr">
        <is>
          <t>FINSPÅNG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45179</v>
      </c>
      <c r="E305" s="1" t="n">
        <v>46301</v>
      </c>
      <c r="F305" t="inlineStr">
        <is>
          <t>ÖSTERGÖTLANDS LÄN</t>
        </is>
      </c>
      <c r="G305" t="inlineStr">
        <is>
          <t>FINSPÅNG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46301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46301</v>
      </c>
      <c r="F307" t="inlineStr">
        <is>
          <t>ÖSTERGÖTLANDS LÄN</t>
        </is>
      </c>
      <c r="G307" t="inlineStr">
        <is>
          <t>FINSPÅNG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46055</v>
      </c>
      <c r="E308" s="1" t="n">
        <v>46301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45853</v>
      </c>
      <c r="E309" s="1" t="n">
        <v>46301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44734</v>
      </c>
      <c r="E310" s="1" t="n">
        <v>46301</v>
      </c>
      <c r="F310" t="inlineStr">
        <is>
          <t>ÖSTERGÖTLANDS LÄN</t>
        </is>
      </c>
      <c r="G310" t="inlineStr">
        <is>
          <t>FINSPÅNG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25420-2022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44732</v>
      </c>
      <c r="E311" s="1" t="n">
        <v>46301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45854</v>
      </c>
      <c r="E312" s="1" t="n">
        <v>46301</v>
      </c>
      <c r="F312" t="inlineStr">
        <is>
          <t>ÖSTERGÖTLANDS LÄN</t>
        </is>
      </c>
      <c r="G312" t="inlineStr">
        <is>
          <t>FINSPÅNG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46301</v>
      </c>
      <c r="F313" t="inlineStr">
        <is>
          <t>ÖSTERGÖTLANDS LÄN</t>
        </is>
      </c>
      <c r="G313" t="inlineStr">
        <is>
          <t>FINSPÅNG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45854</v>
      </c>
      <c r="E314" s="1" t="n">
        <v>46301</v>
      </c>
      <c r="F314" t="inlineStr">
        <is>
          <t>ÖSTERGÖTLANDS LÄN</t>
        </is>
      </c>
      <c r="G314" t="inlineStr">
        <is>
          <t>FINSPÅNG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46301</v>
      </c>
      <c r="F315" t="inlineStr">
        <is>
          <t>ÖSTERGÖTLANDS LÄN</t>
        </is>
      </c>
      <c r="G315" t="inlineStr">
        <is>
          <t>FINSPÅNG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61998-2022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44918</v>
      </c>
      <c r="E316" s="1" t="n">
        <v>46301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45705</v>
      </c>
      <c r="E317" s="1" t="n">
        <v>46301</v>
      </c>
      <c r="F317" t="inlineStr">
        <is>
          <t>ÖSTERGÖTLANDS LÄN</t>
        </is>
      </c>
      <c r="G317" t="inlineStr">
        <is>
          <t>FINSPÅNG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46301</v>
      </c>
      <c r="F318" t="inlineStr">
        <is>
          <t>ÖSTERGÖTLANDS LÄN</t>
        </is>
      </c>
      <c r="G318" t="inlineStr">
        <is>
          <t>FINSPÅNG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45006</v>
      </c>
      <c r="E319" s="1" t="n">
        <v>46301</v>
      </c>
      <c r="F319" t="inlineStr">
        <is>
          <t>ÖSTERGÖTLANDS LÄN</t>
        </is>
      </c>
      <c r="G319" t="inlineStr">
        <is>
          <t>FINSPÅNG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46301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44614</v>
      </c>
      <c r="E321" s="1" t="n">
        <v>46301</v>
      </c>
      <c r="F321" t="inlineStr">
        <is>
          <t>ÖSTERGÖTLANDS LÄN</t>
        </is>
      </c>
      <c r="G321" t="inlineStr">
        <is>
          <t>FINSPÅNG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18657-2024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46301</v>
      </c>
      <c r="F322" t="inlineStr">
        <is>
          <t>ÖSTERGÖTLANDS LÄN</t>
        </is>
      </c>
      <c r="G322" t="inlineStr">
        <is>
          <t>FINSPÅNG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17557-2022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44679</v>
      </c>
      <c r="E323" s="1" t="n">
        <v>46301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Övriga Aktiebolag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45870</v>
      </c>
      <c r="E324" s="1" t="n">
        <v>46301</v>
      </c>
      <c r="F324" t="inlineStr">
        <is>
          <t>ÖSTERGÖTLANDS LÄN</t>
        </is>
      </c>
      <c r="G324" t="inlineStr">
        <is>
          <t>FINSPÅNG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24192-2022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44725</v>
      </c>
      <c r="E325" s="1" t="n">
        <v>46301</v>
      </c>
      <c r="F325" t="inlineStr">
        <is>
          <t>ÖSTERGÖTLANDS LÄN</t>
        </is>
      </c>
      <c r="G325" t="inlineStr">
        <is>
          <t>FINSPÅNG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46301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44653</v>
      </c>
      <c r="E327" s="1" t="n">
        <v>46301</v>
      </c>
      <c r="F327" t="inlineStr">
        <is>
          <t>ÖSTERGÖTLANDS LÄN</t>
        </is>
      </c>
      <c r="G327" t="inlineStr">
        <is>
          <t>FINSPÅNG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45107</v>
      </c>
      <c r="E328" s="1" t="n">
        <v>46301</v>
      </c>
      <c r="F328" t="inlineStr">
        <is>
          <t>ÖSTERGÖTLANDS LÄN</t>
        </is>
      </c>
      <c r="G328" t="inlineStr">
        <is>
          <t>FINSPÅNG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45415</v>
      </c>
      <c r="E329" s="1" t="n">
        <v>46301</v>
      </c>
      <c r="F329" t="inlineStr">
        <is>
          <t>ÖSTERGÖTLANDS LÄN</t>
        </is>
      </c>
      <c r="G329" t="inlineStr">
        <is>
          <t>FINSPÅNG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46301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Övriga Aktiebolag</t>
        </is>
      </c>
      <c r="I330" t="n">
        <v>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46301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45070</v>
      </c>
      <c r="E332" s="1" t="n">
        <v>46301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46301</v>
      </c>
      <c r="F333" t="inlineStr">
        <is>
          <t>ÖSTERGÖTLANDS LÄN</t>
        </is>
      </c>
      <c r="G333" t="inlineStr">
        <is>
          <t>FINSPÅNG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50356-2024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46301</v>
      </c>
      <c r="F334" t="inlineStr">
        <is>
          <t>ÖSTERGÖTLANDS LÄN</t>
        </is>
      </c>
      <c r="G334" t="inlineStr">
        <is>
          <t>FINSPÅNG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45279</v>
      </c>
      <c r="E335" s="1" t="n">
        <v>46301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8535-2025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45709</v>
      </c>
      <c r="E336" s="1" t="n">
        <v>46301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18261-2024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45421</v>
      </c>
      <c r="E337" s="1" t="n">
        <v>46301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7269-2024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45344</v>
      </c>
      <c r="E338" s="1" t="n">
        <v>46301</v>
      </c>
      <c r="F338" t="inlineStr">
        <is>
          <t>ÖSTERGÖTLANDS LÄN</t>
        </is>
      </c>
      <c r="G338" t="inlineStr">
        <is>
          <t>FINSPÅNG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37742-2025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46301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46301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46301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45881</v>
      </c>
      <c r="E342" s="1" t="n">
        <v>46301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Naturvårdsverket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45301</v>
      </c>
      <c r="E343" s="1" t="n">
        <v>46301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45095</v>
      </c>
      <c r="E344" s="1" t="n">
        <v>46301</v>
      </c>
      <c r="F344" t="inlineStr">
        <is>
          <t>ÖSTERGÖTLANDS LÄN</t>
        </is>
      </c>
      <c r="G344" t="inlineStr">
        <is>
          <t>FINSPÅNG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46060</v>
      </c>
      <c r="E345" s="1" t="n">
        <v>46301</v>
      </c>
      <c r="F345" t="inlineStr">
        <is>
          <t>ÖSTERGÖTLANDS LÄN</t>
        </is>
      </c>
      <c r="G345" t="inlineStr">
        <is>
          <t>FINSPÅNG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47567-2025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45931</v>
      </c>
      <c r="E346" s="1" t="n">
        <v>46301</v>
      </c>
      <c r="F346" t="inlineStr">
        <is>
          <t>ÖSTERGÖTLANDS LÄN</t>
        </is>
      </c>
      <c r="G346" t="inlineStr">
        <is>
          <t>FINSPÅNG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25184-2023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45086</v>
      </c>
      <c r="E347" s="1" t="n">
        <v>46301</v>
      </c>
      <c r="F347" t="inlineStr">
        <is>
          <t>ÖSTERGÖTLANDS LÄN</t>
        </is>
      </c>
      <c r="G347" t="inlineStr">
        <is>
          <t>FINSPÅNG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46301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Övriga Aktiebolag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8247-2026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46064</v>
      </c>
      <c r="E349" s="1" t="n">
        <v>46301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Sveaskog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46301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Sveaskog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46301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45071</v>
      </c>
      <c r="E352" s="1" t="n">
        <v>46301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46301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46301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46064</v>
      </c>
      <c r="E355" s="1" t="n">
        <v>46301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Sveaskog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48455-2025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45935</v>
      </c>
      <c r="E356" s="1" t="n">
        <v>46301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Övriga Aktiebolag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46301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46064</v>
      </c>
      <c r="E358" s="1" t="n">
        <v>46301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46301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46064</v>
      </c>
      <c r="E360" s="1" t="n">
        <v>46301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Sveaskog</t>
        </is>
      </c>
      <c r="I360" t="n">
        <v>10.5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73260-2021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44550</v>
      </c>
      <c r="E361" s="1" t="n">
        <v>46301</v>
      </c>
      <c r="F361" t="inlineStr">
        <is>
          <t>ÖSTERGÖTLANDS LÄN</t>
        </is>
      </c>
      <c r="G361" t="inlineStr">
        <is>
          <t>FINSPÅNG</t>
        </is>
      </c>
      <c r="I361" t="n">
        <v>10.3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46301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Övriga Aktiebolag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45075</v>
      </c>
      <c r="E363" s="1" t="n">
        <v>46301</v>
      </c>
      <c r="F363" t="inlineStr">
        <is>
          <t>ÖSTERGÖTLANDS LÄN</t>
        </is>
      </c>
      <c r="G363" t="inlineStr">
        <is>
          <t>FINSPÅNG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63321-2021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44508</v>
      </c>
      <c r="E364" s="1" t="n">
        <v>46301</v>
      </c>
      <c r="F364" t="inlineStr">
        <is>
          <t>ÖSTERGÖTLANDS LÄN</t>
        </is>
      </c>
      <c r="G364" t="inlineStr">
        <is>
          <t>FINSPÅNG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46301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46065</v>
      </c>
      <c r="E366" s="1" t="n">
        <v>46301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46301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46301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46070</v>
      </c>
      <c r="E369" s="1" t="n">
        <v>46301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46070</v>
      </c>
      <c r="E370" s="1" t="n">
        <v>46301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45639</v>
      </c>
      <c r="E371" s="1" t="n">
        <v>46301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50395-2025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45944</v>
      </c>
      <c r="E372" s="1" t="n">
        <v>46301</v>
      </c>
      <c r="F372" t="inlineStr">
        <is>
          <t>ÖSTERGÖTLANDS LÄN</t>
        </is>
      </c>
      <c r="G372" t="inlineStr">
        <is>
          <t>FINSPÅNG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46301</v>
      </c>
      <c r="F373" t="inlineStr">
        <is>
          <t>ÖSTERGÖTLANDS LÄN</t>
        </is>
      </c>
      <c r="G373" t="inlineStr">
        <is>
          <t>FINSPÅNG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46301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32795-2024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45516</v>
      </c>
      <c r="E375" s="1" t="n">
        <v>46301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Kommuner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46073</v>
      </c>
      <c r="E376" s="1" t="n">
        <v>46301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46301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51508-2025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45950</v>
      </c>
      <c r="E378" s="1" t="n">
        <v>46301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45142</v>
      </c>
      <c r="E379" s="1" t="n">
        <v>46301</v>
      </c>
      <c r="F379" t="inlineStr">
        <is>
          <t>ÖSTERGÖTLANDS LÄN</t>
        </is>
      </c>
      <c r="G379" t="inlineStr">
        <is>
          <t>FINSPÅNG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46301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53944-2024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45616</v>
      </c>
      <c r="E381" s="1" t="n">
        <v>46301</v>
      </c>
      <c r="F381" t="inlineStr">
        <is>
          <t>ÖSTERGÖTLANDS LÄN</t>
        </is>
      </c>
      <c r="G381" t="inlineStr">
        <is>
          <t>FINSPÅNG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45616</v>
      </c>
      <c r="E382" s="1" t="n">
        <v>46301</v>
      </c>
      <c r="F382" t="inlineStr">
        <is>
          <t>ÖSTERGÖTLANDS LÄN</t>
        </is>
      </c>
      <c r="G382" t="inlineStr">
        <is>
          <t>FINSPÅNG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48691-2024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45593</v>
      </c>
      <c r="E383" s="1" t="n">
        <v>46301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Övriga Aktiebolag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46301</v>
      </c>
      <c r="F384" t="inlineStr">
        <is>
          <t>ÖSTERGÖTLANDS LÄN</t>
        </is>
      </c>
      <c r="G384" t="inlineStr">
        <is>
          <t>FINSPÅNG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46078</v>
      </c>
      <c r="E385" s="1" t="n">
        <v>46301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46301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31323-2022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44774</v>
      </c>
      <c r="E387" s="1" t="n">
        <v>46301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45095</v>
      </c>
      <c r="E388" s="1" t="n">
        <v>46301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27699-2023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45095</v>
      </c>
      <c r="E389" s="1" t="n">
        <v>46301</v>
      </c>
      <c r="F389" t="inlineStr">
        <is>
          <t>ÖSTERGÖTLANDS LÄN</t>
        </is>
      </c>
      <c r="G389" t="inlineStr">
        <is>
          <t>FINSPÅNG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45709</v>
      </c>
      <c r="E390" s="1" t="n">
        <v>46301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45728</v>
      </c>
      <c r="E391" s="1" t="n">
        <v>46301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53675-2024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45615</v>
      </c>
      <c r="E392" s="1" t="n">
        <v>46301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11251-2026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46080</v>
      </c>
      <c r="E393" s="1" t="n">
        <v>46301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44973</v>
      </c>
      <c r="E394" s="1" t="n">
        <v>46301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52659-2025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45955</v>
      </c>
      <c r="E395" s="1" t="n">
        <v>46301</v>
      </c>
      <c r="F395" t="inlineStr">
        <is>
          <t>ÖSTERGÖTLANDS LÄN</t>
        </is>
      </c>
      <c r="G395" t="inlineStr">
        <is>
          <t>FINSPÅNG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46080</v>
      </c>
      <c r="E396" s="1" t="n">
        <v>46301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46080</v>
      </c>
      <c r="E397" s="1" t="n">
        <v>46301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11248-2026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46080</v>
      </c>
      <c r="E398" s="1" t="n">
        <v>46301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11807-2026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46301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46301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45002</v>
      </c>
      <c r="E401" s="1" t="n">
        <v>46301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11839-2026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46085</v>
      </c>
      <c r="E402" s="1" t="n">
        <v>46301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46085</v>
      </c>
      <c r="E403" s="1" t="n">
        <v>46301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45530</v>
      </c>
      <c r="E404" s="1" t="n">
        <v>46301</v>
      </c>
      <c r="F404" t="inlineStr">
        <is>
          <t>ÖSTERGÖTLANDS LÄN</t>
        </is>
      </c>
      <c r="G404" t="inlineStr">
        <is>
          <t>FINSPÅNG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8924-2025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46301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45744</v>
      </c>
      <c r="E406" s="1" t="n">
        <v>46301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45147</v>
      </c>
      <c r="E407" s="1" t="n">
        <v>46301</v>
      </c>
      <c r="F407" t="inlineStr">
        <is>
          <t>ÖSTERGÖTLANDS LÄN</t>
        </is>
      </c>
      <c r="G407" t="inlineStr">
        <is>
          <t>FINSPÅNG</t>
        </is>
      </c>
      <c r="I407" t="n">
        <v>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46301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13768-2026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46097</v>
      </c>
      <c r="E409" s="1" t="n">
        <v>46301</v>
      </c>
      <c r="F409" t="inlineStr">
        <is>
          <t>ÖSTERGÖTLANDS LÄN</t>
        </is>
      </c>
      <c r="G409" t="inlineStr">
        <is>
          <t>FINSPÅNG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46301</v>
      </c>
      <c r="F410" t="inlineStr">
        <is>
          <t>ÖSTERGÖTLANDS LÄN</t>
        </is>
      </c>
      <c r="G410" t="inlineStr">
        <is>
          <t>FINSPÅNG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30271-2022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44759</v>
      </c>
      <c r="E411" s="1" t="n">
        <v>46301</v>
      </c>
      <c r="F411" t="inlineStr">
        <is>
          <t>ÖSTERGÖTLANDS LÄN</t>
        </is>
      </c>
      <c r="G411" t="inlineStr">
        <is>
          <t>FINSPÅNG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45243-2022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44840</v>
      </c>
      <c r="E412" s="1" t="n">
        <v>46301</v>
      </c>
      <c r="F412" t="inlineStr">
        <is>
          <t>ÖSTERGÖTLANDS LÄN</t>
        </is>
      </c>
      <c r="G412" t="inlineStr">
        <is>
          <t>FINSPÅNG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14078-2026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46099</v>
      </c>
      <c r="E413" s="1" t="n">
        <v>46301</v>
      </c>
      <c r="F413" t="inlineStr">
        <is>
          <t>ÖSTERGÖTLANDS LÄN</t>
        </is>
      </c>
      <c r="G413" t="inlineStr">
        <is>
          <t>FINSPÅNG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5336-2025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45692</v>
      </c>
      <c r="E414" s="1" t="n">
        <v>46301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45688</v>
      </c>
      <c r="E415" s="1" t="n">
        <v>46301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55612-2021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44476</v>
      </c>
      <c r="E416" s="1" t="n">
        <v>46301</v>
      </c>
      <c r="F416" t="inlineStr">
        <is>
          <t>ÖSTERGÖTLANDS LÄN</t>
        </is>
      </c>
      <c r="G416" t="inlineStr">
        <is>
          <t>FINSPÅNG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55292-2025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45969</v>
      </c>
      <c r="E417" s="1" t="n">
        <v>46301</v>
      </c>
      <c r="F417" t="inlineStr">
        <is>
          <t>ÖSTERGÖTLANDS LÄN</t>
        </is>
      </c>
      <c r="G417" t="inlineStr">
        <is>
          <t>FINSPÅNG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55431-2025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45971</v>
      </c>
      <c r="E418" s="1" t="n">
        <v>46301</v>
      </c>
      <c r="F418" t="inlineStr">
        <is>
          <t>ÖSTERGÖTLANDS LÄN</t>
        </is>
      </c>
      <c r="G418" t="inlineStr">
        <is>
          <t>FINSPÅNG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46099</v>
      </c>
      <c r="E419" s="1" t="n">
        <v>46301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Sveaskog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40194-2022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44820</v>
      </c>
      <c r="E420" s="1" t="n">
        <v>46301</v>
      </c>
      <c r="F420" t="inlineStr">
        <is>
          <t>ÖSTERGÖTLANDS LÄN</t>
        </is>
      </c>
      <c r="G420" t="inlineStr">
        <is>
          <t>FINSPÅNG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46301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Sveaskog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14117-2026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46301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Sveaskog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45041</v>
      </c>
      <c r="E423" s="1" t="n">
        <v>46301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Naturvårdsverket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46301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45688</v>
      </c>
      <c r="E425" s="1" t="n">
        <v>46301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46301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16355-2026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46301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16849-2026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46301</v>
      </c>
      <c r="F428" t="inlineStr">
        <is>
          <t>ÖSTERGÖTLANDS LÄN</t>
        </is>
      </c>
      <c r="G428" t="inlineStr">
        <is>
          <t>FINSPÅNG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16902-2026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46113</v>
      </c>
      <c r="E429" s="1" t="n">
        <v>46301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46114</v>
      </c>
      <c r="E430" s="1" t="n">
        <v>46301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46114</v>
      </c>
      <c r="E431" s="1" t="n">
        <v>46301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16996-2026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46114</v>
      </c>
      <c r="E432" s="1" t="n">
        <v>46301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43318-2022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44834</v>
      </c>
      <c r="E433" s="1" t="n">
        <v>46301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49677-2022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44862</v>
      </c>
      <c r="E434" s="1" t="n">
        <v>46301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9.6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7788-2023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44973</v>
      </c>
      <c r="E435" s="1" t="n">
        <v>46301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53821-2022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44880</v>
      </c>
      <c r="E436" s="1" t="n">
        <v>46301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8611-2025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45710</v>
      </c>
      <c r="E437" s="1" t="n">
        <v>46301</v>
      </c>
      <c r="F437" t="inlineStr">
        <is>
          <t>ÖSTERGÖTLANDS LÄN</t>
        </is>
      </c>
      <c r="G437" t="inlineStr">
        <is>
          <t>FINSPÅNG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57290-2025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45979</v>
      </c>
      <c r="E438" s="1" t="n">
        <v>46301</v>
      </c>
      <c r="F438" t="inlineStr">
        <is>
          <t>ÖSTERGÖTLANDS LÄN</t>
        </is>
      </c>
      <c r="G438" t="inlineStr">
        <is>
          <t>FINSPÅNG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45314-2023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45191</v>
      </c>
      <c r="E439" s="1" t="n">
        <v>46301</v>
      </c>
      <c r="F439" t="inlineStr">
        <is>
          <t>ÖSTERGÖTLANDS LÄN</t>
        </is>
      </c>
      <c r="G439" t="inlineStr">
        <is>
          <t>FINSPÅNG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46301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46121</v>
      </c>
      <c r="E441" s="1" t="n">
        <v>46301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46125</v>
      </c>
      <c r="E442" s="1" t="n">
        <v>46301</v>
      </c>
      <c r="F442" t="inlineStr">
        <is>
          <t>ÖSTERGÖTLANDS LÄN</t>
        </is>
      </c>
      <c r="G442" t="inlineStr">
        <is>
          <t>FINSPÅNG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46301</v>
      </c>
      <c r="F443" t="inlineStr">
        <is>
          <t>ÖSTERGÖTLANDS LÄN</t>
        </is>
      </c>
      <c r="G443" t="inlineStr">
        <is>
          <t>FINSPÅNG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45770</v>
      </c>
      <c r="E444" s="1" t="n">
        <v>46301</v>
      </c>
      <c r="F444" t="inlineStr">
        <is>
          <t>ÖSTERGÖTLANDS LÄN</t>
        </is>
      </c>
      <c r="G444" t="inlineStr">
        <is>
          <t>FINSPÅNG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58188-2025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45983</v>
      </c>
      <c r="E445" s="1" t="n">
        <v>46301</v>
      </c>
      <c r="F445" t="inlineStr">
        <is>
          <t>ÖSTERGÖTLANDS LÄN</t>
        </is>
      </c>
      <c r="G445" t="inlineStr">
        <is>
          <t>FINSPÅNG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45983</v>
      </c>
      <c r="E446" s="1" t="n">
        <v>46301</v>
      </c>
      <c r="F446" t="inlineStr">
        <is>
          <t>ÖSTERGÖTLANDS LÄN</t>
        </is>
      </c>
      <c r="G446" t="inlineStr">
        <is>
          <t>FINSPÅNG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54727-2023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45236</v>
      </c>
      <c r="E447" s="1" t="n">
        <v>46301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54730-2023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45236</v>
      </c>
      <c r="E448" s="1" t="n">
        <v>46301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54923-2022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46301</v>
      </c>
      <c r="F449" t="inlineStr">
        <is>
          <t>ÖSTERGÖTLANDS LÄN</t>
        </is>
      </c>
      <c r="G449" t="inlineStr">
        <is>
          <t>FINSPÅNG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22354-2023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45070</v>
      </c>
      <c r="E450" s="1" t="n">
        <v>46301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58709-2025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45986</v>
      </c>
      <c r="E451" s="1" t="n">
        <v>46301</v>
      </c>
      <c r="F451" t="inlineStr">
        <is>
          <t>ÖSTERGÖTLANDS LÄN</t>
        </is>
      </c>
      <c r="G451" t="inlineStr">
        <is>
          <t>FINSPÅNG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45983</v>
      </c>
      <c r="E452" s="1" t="n">
        <v>46301</v>
      </c>
      <c r="F452" t="inlineStr">
        <is>
          <t>ÖSTERGÖTLANDS LÄN</t>
        </is>
      </c>
      <c r="G452" t="inlineStr">
        <is>
          <t>FINSPÅNG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58796-2025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46301</v>
      </c>
      <c r="F453" t="inlineStr">
        <is>
          <t>ÖSTERGÖTLANDS LÄN</t>
        </is>
      </c>
      <c r="G453" t="inlineStr">
        <is>
          <t>FINSPÅNG</t>
        </is>
      </c>
      <c r="I453" t="n">
        <v>9.300000000000001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46129</v>
      </c>
      <c r="E454" s="1" t="n">
        <v>46301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46301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58698-2025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46301</v>
      </c>
      <c r="F456" t="inlineStr">
        <is>
          <t>ÖSTERGÖTLANDS LÄN</t>
        </is>
      </c>
      <c r="G456" t="inlineStr">
        <is>
          <t>FINSPÅNG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18494-2023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45042</v>
      </c>
      <c r="E457" s="1" t="n">
        <v>46301</v>
      </c>
      <c r="F457" t="inlineStr">
        <is>
          <t>ÖSTERGÖTLANDS LÄN</t>
        </is>
      </c>
      <c r="G457" t="inlineStr">
        <is>
          <t>FINSPÅNG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11839-2025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45728</v>
      </c>
      <c r="E458" s="1" t="n">
        <v>46301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53246-2022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44876</v>
      </c>
      <c r="E459" s="1" t="n">
        <v>46301</v>
      </c>
      <c r="F459" t="inlineStr">
        <is>
          <t>ÖSTERGÖTLANDS LÄN</t>
        </is>
      </c>
      <c r="G459" t="inlineStr">
        <is>
          <t>FINSPÅNG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44642</v>
      </c>
      <c r="E460" s="1" t="n">
        <v>46301</v>
      </c>
      <c r="F460" t="inlineStr">
        <is>
          <t>ÖSTERGÖTLANDS LÄN</t>
        </is>
      </c>
      <c r="G460" t="inlineStr">
        <is>
          <t>FINSPÅNG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70505-2021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44536</v>
      </c>
      <c r="E461" s="1" t="n">
        <v>46301</v>
      </c>
      <c r="F461" t="inlineStr">
        <is>
          <t>ÖSTERGÖTLANDS LÄN</t>
        </is>
      </c>
      <c r="G461" t="inlineStr">
        <is>
          <t>FINSPÅNG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46301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55052-2023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45237</v>
      </c>
      <c r="E463" s="1" t="n">
        <v>46301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Kyrkan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18725-2026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46128</v>
      </c>
      <c r="E464" s="1" t="n">
        <v>46301</v>
      </c>
      <c r="F464" t="inlineStr">
        <is>
          <t>ÖSTERGÖTLANDS LÄN</t>
        </is>
      </c>
      <c r="G464" t="inlineStr">
        <is>
          <t>FINSPÅNG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46301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13378-2025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45735</v>
      </c>
      <c r="E466" s="1" t="n">
        <v>46301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61202-2025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46301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44944</v>
      </c>
      <c r="E468" s="1" t="n">
        <v>46301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44595</v>
      </c>
      <c r="E469" s="1" t="n">
        <v>46301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Övriga Aktiebolag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54404-2023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45233</v>
      </c>
      <c r="E470" s="1" t="n">
        <v>46301</v>
      </c>
      <c r="F470" t="inlineStr">
        <is>
          <t>ÖSTERGÖTLANDS LÄN</t>
        </is>
      </c>
      <c r="G470" t="inlineStr">
        <is>
          <t>FINSPÅNG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45086</v>
      </c>
      <c r="E471" s="1" t="n">
        <v>46301</v>
      </c>
      <c r="F471" t="inlineStr">
        <is>
          <t>ÖSTERGÖTLANDS LÄN</t>
        </is>
      </c>
      <c r="G471" t="inlineStr">
        <is>
          <t>FINSPÅNG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46301</v>
      </c>
      <c r="F472" t="inlineStr">
        <is>
          <t>ÖSTERGÖTLANDS LÄN</t>
        </is>
      </c>
      <c r="G472" t="inlineStr">
        <is>
          <t>FINSPÅNG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61595-2025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46002</v>
      </c>
      <c r="E473" s="1" t="n">
        <v>46301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5333-2025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45692</v>
      </c>
      <c r="E474" s="1" t="n">
        <v>46301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61683-2025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46002</v>
      </c>
      <c r="E475" s="1" t="n">
        <v>46301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61605-2025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46002</v>
      </c>
      <c r="E476" s="1" t="n">
        <v>46301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44564</v>
      </c>
      <c r="E477" s="1" t="n">
        <v>46301</v>
      </c>
      <c r="F477" t="inlineStr">
        <is>
          <t>ÖSTERGÖTLANDS LÄN</t>
        </is>
      </c>
      <c r="G477" t="inlineStr">
        <is>
          <t>FINSPÅNG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46002</v>
      </c>
      <c r="E478" s="1" t="n">
        <v>46301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62221-2025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46301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42782-2024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45566</v>
      </c>
      <c r="E480" s="1" t="n">
        <v>46301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46301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45095</v>
      </c>
      <c r="E482" s="1" t="n">
        <v>46301</v>
      </c>
      <c r="F482" t="inlineStr">
        <is>
          <t>ÖSTERGÖTLANDS LÄN</t>
        </is>
      </c>
      <c r="G482" t="inlineStr">
        <is>
          <t>FINSPÅNG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46301</v>
      </c>
      <c r="F483" t="inlineStr">
        <is>
          <t>ÖSTERGÖTLANDS LÄN</t>
        </is>
      </c>
      <c r="G483" t="inlineStr">
        <is>
          <t>FINSPÅNG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45082</v>
      </c>
      <c r="E484" s="1" t="n">
        <v>46301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45082</v>
      </c>
      <c r="E485" s="1" t="n">
        <v>46301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14142-2025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45740</v>
      </c>
      <c r="E486" s="1" t="n">
        <v>46301</v>
      </c>
      <c r="F486" t="inlineStr">
        <is>
          <t>ÖSTERGÖTLANDS LÄN</t>
        </is>
      </c>
      <c r="G486" t="inlineStr">
        <is>
          <t>FINSPÅNG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46301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62242-2025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46006</v>
      </c>
      <c r="E488" s="1" t="n">
        <v>46301</v>
      </c>
      <c r="F488" t="inlineStr">
        <is>
          <t>ÖSTERGÖTLANDS LÄN</t>
        </is>
      </c>
      <c r="G488" t="inlineStr">
        <is>
          <t>FINSPÅNG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46301</v>
      </c>
      <c r="F489" t="inlineStr">
        <is>
          <t>ÖSTERGÖTLANDS LÄN</t>
        </is>
      </c>
      <c r="G489" t="inlineStr">
        <is>
          <t>FINSPÅNG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44589</v>
      </c>
      <c r="E490" s="1" t="n">
        <v>46301</v>
      </c>
      <c r="F490" t="inlineStr">
        <is>
          <t>ÖSTERGÖTLANDS LÄN</t>
        </is>
      </c>
      <c r="G490" t="inlineStr">
        <is>
          <t>FINSPÅNG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45407</v>
      </c>
      <c r="E491" s="1" t="n">
        <v>46301</v>
      </c>
      <c r="F491" t="inlineStr">
        <is>
          <t>ÖSTERGÖTLANDS LÄN</t>
        </is>
      </c>
      <c r="G491" t="inlineStr">
        <is>
          <t>FINSPÅNG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58142-2022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44900</v>
      </c>
      <c r="E492" s="1" t="n">
        <v>46301</v>
      </c>
      <c r="F492" t="inlineStr">
        <is>
          <t>ÖSTERGÖTLANDS LÄN</t>
        </is>
      </c>
      <c r="G492" t="inlineStr">
        <is>
          <t>FINSPÅNG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45915</v>
      </c>
      <c r="E493" s="1" t="n">
        <v>46301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9003-2024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45357</v>
      </c>
      <c r="E494" s="1" t="n">
        <v>46301</v>
      </c>
      <c r="F494" t="inlineStr">
        <is>
          <t>ÖSTERGÖTLANDS LÄN</t>
        </is>
      </c>
      <c r="G494" t="inlineStr">
        <is>
          <t>FINSPÅNG</t>
        </is>
      </c>
      <c r="I494" t="n">
        <v>7.6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45706</v>
      </c>
      <c r="E495" s="1" t="n">
        <v>46301</v>
      </c>
      <c r="F495" t="inlineStr">
        <is>
          <t>ÖSTERGÖTLANDS LÄN</t>
        </is>
      </c>
      <c r="G495" t="inlineStr">
        <is>
          <t>FINSPÅNG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35278-2025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45853</v>
      </c>
      <c r="E496" s="1" t="n">
        <v>46301</v>
      </c>
      <c r="F496" t="inlineStr">
        <is>
          <t>ÖSTERGÖTLANDS LÄN</t>
        </is>
      </c>
      <c r="G496" t="inlineStr">
        <is>
          <t>FINSPÅNG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45783</v>
      </c>
      <c r="E497" s="1" t="n">
        <v>46301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56309-2022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44887</v>
      </c>
      <c r="E498" s="1" t="n">
        <v>46301</v>
      </c>
      <c r="F498" t="inlineStr">
        <is>
          <t>ÖSTERGÖTLANDS LÄN</t>
        </is>
      </c>
      <c r="G498" t="inlineStr">
        <is>
          <t>FINSPÅNG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60547-2023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45259</v>
      </c>
      <c r="E499" s="1" t="n">
        <v>46301</v>
      </c>
      <c r="F499" t="inlineStr">
        <is>
          <t>ÖSTERGÖTLANDS LÄN</t>
        </is>
      </c>
      <c r="G499" t="inlineStr">
        <is>
          <t>FINSPÅNG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46134</v>
      </c>
      <c r="E500" s="1" t="n">
        <v>46301</v>
      </c>
      <c r="F500" t="inlineStr">
        <is>
          <t>ÖSTERGÖTLANDS LÄN</t>
        </is>
      </c>
      <c r="G500" t="inlineStr">
        <is>
          <t>FINSPÅNG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63585-2023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45275</v>
      </c>
      <c r="E501" s="1" t="n">
        <v>46301</v>
      </c>
      <c r="F501" t="inlineStr">
        <is>
          <t>ÖSTERGÖTLANDS LÄN</t>
        </is>
      </c>
      <c r="G501" t="inlineStr">
        <is>
          <t>FINSPÅNG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25678-2024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45463</v>
      </c>
      <c r="E502" s="1" t="n">
        <v>46301</v>
      </c>
      <c r="F502" t="inlineStr">
        <is>
          <t>ÖSTERGÖTLANDS LÄN</t>
        </is>
      </c>
      <c r="G502" t="inlineStr">
        <is>
          <t>FINSPÅNG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44995</v>
      </c>
      <c r="E503" s="1" t="n">
        <v>46301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45677</v>
      </c>
      <c r="E504" s="1" t="n">
        <v>46301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45103</v>
      </c>
      <c r="E505" s="1" t="n">
        <v>46301</v>
      </c>
      <c r="F505" t="inlineStr">
        <is>
          <t>ÖSTERGÖTLANDS LÄN</t>
        </is>
      </c>
      <c r="G505" t="inlineStr">
        <is>
          <t>FINSPÅNG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45113</v>
      </c>
      <c r="E506" s="1" t="n">
        <v>46301</v>
      </c>
      <c r="F506" t="inlineStr">
        <is>
          <t>ÖSTERGÖTLANDS LÄN</t>
        </is>
      </c>
      <c r="G506" t="inlineStr">
        <is>
          <t>FINSPÅNG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44993</v>
      </c>
      <c r="E507" s="1" t="n">
        <v>46301</v>
      </c>
      <c r="F507" t="inlineStr">
        <is>
          <t>ÖSTERGÖTLANDS LÄN</t>
        </is>
      </c>
      <c r="G507" t="inlineStr">
        <is>
          <t>FINSPÅNG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6527-2023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44966</v>
      </c>
      <c r="E508" s="1" t="n">
        <v>46301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6635-2025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45700</v>
      </c>
      <c r="E509" s="1" t="n">
        <v>46301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35276-2025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45853</v>
      </c>
      <c r="E510" s="1" t="n">
        <v>46301</v>
      </c>
      <c r="F510" t="inlineStr">
        <is>
          <t>ÖSTERGÖTLANDS LÄN</t>
        </is>
      </c>
      <c r="G510" t="inlineStr">
        <is>
          <t>FINSPÅNG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45293</v>
      </c>
      <c r="E511" s="1" t="n">
        <v>46301</v>
      </c>
      <c r="F511" t="inlineStr">
        <is>
          <t>ÖSTERGÖTLANDS LÄN</t>
        </is>
      </c>
      <c r="G511" t="inlineStr">
        <is>
          <t>FINSPÅNG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46030</v>
      </c>
      <c r="E512" s="1" t="n">
        <v>46301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45391</v>
      </c>
      <c r="E513" s="1" t="n">
        <v>46301</v>
      </c>
      <c r="F513" t="inlineStr">
        <is>
          <t>ÖSTERGÖTLANDS LÄN</t>
        </is>
      </c>
      <c r="G513" t="inlineStr">
        <is>
          <t>FINSPÅNG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46301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58367-2023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45250</v>
      </c>
      <c r="E515" s="1" t="n">
        <v>46301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46029</v>
      </c>
      <c r="E516" s="1" t="n">
        <v>46301</v>
      </c>
      <c r="F516" t="inlineStr">
        <is>
          <t>ÖSTERGÖTLANDS LÄN</t>
        </is>
      </c>
      <c r="G516" t="inlineStr">
        <is>
          <t>FINSPÅNG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46031</v>
      </c>
      <c r="E517" s="1" t="n">
        <v>46301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Kyrkan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44949</v>
      </c>
      <c r="E518" s="1" t="n">
        <v>46301</v>
      </c>
      <c r="F518" t="inlineStr">
        <is>
          <t>ÖSTERGÖTLANDS LÄN</t>
        </is>
      </c>
      <c r="G518" t="inlineStr">
        <is>
          <t>FINSPÅNG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46301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46034</v>
      </c>
      <c r="E520" s="1" t="n">
        <v>46301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7743-2023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44973</v>
      </c>
      <c r="E521" s="1" t="n">
        <v>46301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46301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44922</v>
      </c>
      <c r="E523" s="1" t="n">
        <v>46301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46301</v>
      </c>
      <c r="F524" t="inlineStr">
        <is>
          <t>ÖSTERGÖTLANDS LÄN</t>
        </is>
      </c>
      <c r="G524" t="inlineStr">
        <is>
          <t>FINSPÅNG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2181-2026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46036</v>
      </c>
      <c r="E525" s="1" t="n">
        <v>46301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46036</v>
      </c>
      <c r="E526" s="1" t="n">
        <v>46301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45341</v>
      </c>
      <c r="E527" s="1" t="n">
        <v>46301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Övriga Aktiebolag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45293</v>
      </c>
      <c r="E528" s="1" t="n">
        <v>46301</v>
      </c>
      <c r="F528" t="inlineStr">
        <is>
          <t>ÖSTERGÖTLANDS LÄN</t>
        </is>
      </c>
      <c r="G528" t="inlineStr">
        <is>
          <t>FINSPÅNG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13826-2024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45391</v>
      </c>
      <c r="E529" s="1" t="n">
        <v>46301</v>
      </c>
      <c r="F529" t="inlineStr">
        <is>
          <t>ÖSTERGÖTLANDS LÄN</t>
        </is>
      </c>
      <c r="G529" t="inlineStr">
        <is>
          <t>FINSPÅNG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44678</v>
      </c>
      <c r="E530" s="1" t="n">
        <v>46301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45516</v>
      </c>
      <c r="E531" s="1" t="n">
        <v>46301</v>
      </c>
      <c r="F531" t="inlineStr">
        <is>
          <t>ÖSTERGÖTLANDS LÄN</t>
        </is>
      </c>
      <c r="G531" t="inlineStr">
        <is>
          <t>FINSPÅNG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45002</v>
      </c>
      <c r="E532" s="1" t="n">
        <v>46301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Kyrkan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23821-2023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45078</v>
      </c>
      <c r="E533" s="1" t="n">
        <v>46301</v>
      </c>
      <c r="F533" t="inlineStr">
        <is>
          <t>ÖSTERGÖTLANDS LÄN</t>
        </is>
      </c>
      <c r="G533" t="inlineStr">
        <is>
          <t>FINSPÅNG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11541-2023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44993</v>
      </c>
      <c r="E534" s="1" t="n">
        <v>46301</v>
      </c>
      <c r="F534" t="inlineStr">
        <is>
          <t>ÖSTERGÖTLANDS LÄN</t>
        </is>
      </c>
      <c r="G534" t="inlineStr">
        <is>
          <t>FINSPÅNG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33804-2023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45133</v>
      </c>
      <c r="E535" s="1" t="n">
        <v>46301</v>
      </c>
      <c r="F535" t="inlineStr">
        <is>
          <t>ÖSTERGÖTLANDS LÄN</t>
        </is>
      </c>
      <c r="G535" t="inlineStr">
        <is>
          <t>FINSPÅNG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73655-2021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44551</v>
      </c>
      <c r="E536" s="1" t="n">
        <v>46301</v>
      </c>
      <c r="F536" t="inlineStr">
        <is>
          <t>ÖSTERGÖTLANDS LÄN</t>
        </is>
      </c>
      <c r="G536" t="inlineStr">
        <is>
          <t>FINSPÅNG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41513-2024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46301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45719</v>
      </c>
      <c r="E538" s="1" t="n">
        <v>46301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45447</v>
      </c>
      <c r="E539" s="1" t="n">
        <v>46301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39655-2023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45167</v>
      </c>
      <c r="E540" s="1" t="n">
        <v>46301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Kyrkan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44937</v>
      </c>
      <c r="E541" s="1" t="n">
        <v>46301</v>
      </c>
      <c r="F541" t="inlineStr">
        <is>
          <t>ÖSTERGÖTLANDS LÄN</t>
        </is>
      </c>
      <c r="G541" t="inlineStr">
        <is>
          <t>FINSPÅNG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45314</v>
      </c>
      <c r="E542" s="1" t="n">
        <v>46301</v>
      </c>
      <c r="F542" t="inlineStr">
        <is>
          <t>ÖSTERGÖTLANDS LÄN</t>
        </is>
      </c>
      <c r="G542" t="inlineStr">
        <is>
          <t>FINSPÅNG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31180-2025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45832</v>
      </c>
      <c r="E543" s="1" t="n">
        <v>46301</v>
      </c>
      <c r="F543" t="inlineStr">
        <is>
          <t>ÖSTERGÖTLANDS LÄN</t>
        </is>
      </c>
      <c r="G543" t="inlineStr">
        <is>
          <t>FINSPÅNG</t>
        </is>
      </c>
      <c r="I543" t="n">
        <v>8.300000000000001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44981</v>
      </c>
      <c r="E544" s="1" t="n">
        <v>46301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18295-2023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45041</v>
      </c>
      <c r="E545" s="1" t="n">
        <v>46301</v>
      </c>
      <c r="F545" t="inlineStr">
        <is>
          <t>ÖSTERGÖTLANDS LÄN</t>
        </is>
      </c>
      <c r="G545" t="inlineStr">
        <is>
          <t>FINSPÅNG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21655-2023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45063</v>
      </c>
      <c r="E546" s="1" t="n">
        <v>46301</v>
      </c>
      <c r="F546" t="inlineStr">
        <is>
          <t>ÖSTERGÖTLANDS LÄN</t>
        </is>
      </c>
      <c r="G546" t="inlineStr">
        <is>
          <t>FINSPÅNG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31025-2023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46301</v>
      </c>
      <c r="F547" t="inlineStr">
        <is>
          <t>ÖSTERGÖTLANDS LÄN</t>
        </is>
      </c>
      <c r="G547" t="inlineStr">
        <is>
          <t>FINSPÅNG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50670-2024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45601</v>
      </c>
      <c r="E548" s="1" t="n">
        <v>46301</v>
      </c>
      <c r="F548" t="inlineStr">
        <is>
          <t>ÖSTERGÖTLANDS LÄN</t>
        </is>
      </c>
      <c r="G548" t="inlineStr">
        <is>
          <t>FINSPÅNG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17994-2023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45040</v>
      </c>
      <c r="E549" s="1" t="n">
        <v>46301</v>
      </c>
      <c r="F549" t="inlineStr">
        <is>
          <t>ÖSTERGÖTLANDS LÄN</t>
        </is>
      </c>
      <c r="G549" t="inlineStr">
        <is>
          <t>FINSPÅNG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45020</v>
      </c>
      <c r="E550" s="1" t="n">
        <v>46301</v>
      </c>
      <c r="F550" t="inlineStr">
        <is>
          <t>ÖSTERGÖTLANDS LÄN</t>
        </is>
      </c>
      <c r="G550" t="inlineStr">
        <is>
          <t>FINSPÅNG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48652-2024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46301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Övriga Aktiebolag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46301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Sveaskog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21907-2023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45068</v>
      </c>
      <c r="E553" s="1" t="n">
        <v>46301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36192-2023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45149</v>
      </c>
      <c r="E554" s="1" t="n">
        <v>46301</v>
      </c>
      <c r="F554" t="inlineStr">
        <is>
          <t>ÖSTERGÖTLANDS LÄN</t>
        </is>
      </c>
      <c r="G554" t="inlineStr">
        <is>
          <t>FINSPÅNG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54581-2024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45617</v>
      </c>
      <c r="E555" s="1" t="n">
        <v>46301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45302</v>
      </c>
      <c r="E556" s="1" t="n">
        <v>46301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20819-2026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46141</v>
      </c>
      <c r="E557" s="1" t="n">
        <v>46301</v>
      </c>
      <c r="F557" t="inlineStr">
        <is>
          <t>ÖSTERGÖTLANDS LÄN</t>
        </is>
      </c>
      <c r="G557" t="inlineStr">
        <is>
          <t>FINSPÅNG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10206-2022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44622</v>
      </c>
      <c r="E558" s="1" t="n">
        <v>46301</v>
      </c>
      <c r="F558" t="inlineStr">
        <is>
          <t>ÖSTERGÖTLANDS LÄN</t>
        </is>
      </c>
      <c r="G558" t="inlineStr">
        <is>
          <t>FINSPÅNG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44564</v>
      </c>
      <c r="E559" s="1" t="n">
        <v>46301</v>
      </c>
      <c r="F559" t="inlineStr">
        <is>
          <t>ÖSTERGÖTLANDS LÄN</t>
        </is>
      </c>
      <c r="G559" t="inlineStr">
        <is>
          <t>FINSPÅNG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5156-2023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44958</v>
      </c>
      <c r="E560" s="1" t="n">
        <v>46301</v>
      </c>
      <c r="F560" t="inlineStr">
        <is>
          <t>ÖSTERGÖTLANDS LÄN</t>
        </is>
      </c>
      <c r="G560" t="inlineStr">
        <is>
          <t>FINSPÅNG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27698-2023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45095</v>
      </c>
      <c r="E561" s="1" t="n">
        <v>46301</v>
      </c>
      <c r="F561" t="inlineStr">
        <is>
          <t>ÖSTERGÖTLANDS LÄN</t>
        </is>
      </c>
      <c r="G561" t="inlineStr">
        <is>
          <t>FINSPÅNG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65742-2021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44516</v>
      </c>
      <c r="E562" s="1" t="n">
        <v>46301</v>
      </c>
      <c r="F562" t="inlineStr">
        <is>
          <t>ÖSTERGÖTLANDS LÄN</t>
        </is>
      </c>
      <c r="G562" t="inlineStr">
        <is>
          <t>FINSPÅNG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18134-2023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45040</v>
      </c>
      <c r="E563" s="1" t="n">
        <v>46301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57678-2025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46301</v>
      </c>
      <c r="F564" t="inlineStr">
        <is>
          <t>ÖSTERGÖTLANDS LÄN</t>
        </is>
      </c>
      <c r="G564" t="inlineStr">
        <is>
          <t>FINSPÅNG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43534-2023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45184</v>
      </c>
      <c r="E565" s="1" t="n">
        <v>46301</v>
      </c>
      <c r="F565" t="inlineStr">
        <is>
          <t>ÖSTERGÖTLANDS LÄN</t>
        </is>
      </c>
      <c r="G565" t="inlineStr">
        <is>
          <t>FINSPÅNG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53670-2024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46301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34119-2025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45845</v>
      </c>
      <c r="E567" s="1" t="n">
        <v>46301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52561-2024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45609</v>
      </c>
      <c r="E568" s="1" t="n">
        <v>46301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22938-2026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46160</v>
      </c>
      <c r="E569" s="1" t="n">
        <v>46301</v>
      </c>
      <c r="F569" t="inlineStr">
        <is>
          <t>ÖSTERGÖTLANDS LÄN</t>
        </is>
      </c>
      <c r="G569" t="inlineStr">
        <is>
          <t>FINSPÅNG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40065-2024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45554</v>
      </c>
      <c r="E570" s="1" t="n">
        <v>46301</v>
      </c>
      <c r="F570" t="inlineStr">
        <is>
          <t>ÖSTERGÖTLANDS LÄN</t>
        </is>
      </c>
      <c r="G570" t="inlineStr">
        <is>
          <t>FINSPÅNG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10485-2026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46301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Kyrkan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39415-2024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45551</v>
      </c>
      <c r="E572" s="1" t="n">
        <v>46301</v>
      </c>
      <c r="F572" t="inlineStr">
        <is>
          <t>ÖSTERGÖTLANDS LÄN</t>
        </is>
      </c>
      <c r="G572" t="inlineStr">
        <is>
          <t>FINSPÅNG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10215-2022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44622</v>
      </c>
      <c r="E573" s="1" t="n">
        <v>46301</v>
      </c>
      <c r="F573" t="inlineStr">
        <is>
          <t>ÖSTERGÖTLANDS LÄN</t>
        </is>
      </c>
      <c r="G573" t="inlineStr">
        <is>
          <t>FINSPÅNG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23724-2023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45077</v>
      </c>
      <c r="E574" s="1" t="n">
        <v>46301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48466-2023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45206</v>
      </c>
      <c r="E575" s="1" t="n">
        <v>46301</v>
      </c>
      <c r="F575" t="inlineStr">
        <is>
          <t>ÖSTERGÖTLANDS LÄN</t>
        </is>
      </c>
      <c r="G575" t="inlineStr">
        <is>
          <t>FINSPÅNG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24806-2023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45084</v>
      </c>
      <c r="E576" s="1" t="n">
        <v>46301</v>
      </c>
      <c r="F576" t="inlineStr">
        <is>
          <t>ÖSTERGÖTLANDS LÄN</t>
        </is>
      </c>
      <c r="G576" t="inlineStr">
        <is>
          <t>FINSPÅNG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24012-2024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45456</v>
      </c>
      <c r="E577" s="1" t="n">
        <v>46301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41328-2023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45174</v>
      </c>
      <c r="E578" s="1" t="n">
        <v>46301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Kyrkan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61114-2024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45645</v>
      </c>
      <c r="E579" s="1" t="n">
        <v>46301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34758-2022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44795</v>
      </c>
      <c r="E580" s="1" t="n">
        <v>46301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Övriga Aktiebolag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45715</v>
      </c>
      <c r="E581" s="1" t="n">
        <v>46301</v>
      </c>
      <c r="F581" t="inlineStr">
        <is>
          <t>ÖSTERGÖTLANDS LÄN</t>
        </is>
      </c>
      <c r="G581" t="inlineStr">
        <is>
          <t>FINSPÅNG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11730-2022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44634</v>
      </c>
      <c r="E582" s="1" t="n">
        <v>46301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25844-2026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46301</v>
      </c>
      <c r="F583" t="inlineStr">
        <is>
          <t>ÖSTERGÖTLANDS LÄN</t>
        </is>
      </c>
      <c r="G583" t="inlineStr">
        <is>
          <t>FINSPÅNG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46176</v>
      </c>
      <c r="E584" s="1" t="n">
        <v>46301</v>
      </c>
      <c r="F584" t="inlineStr">
        <is>
          <t>ÖSTERGÖTLANDS LÄN</t>
        </is>
      </c>
      <c r="G584" t="inlineStr">
        <is>
          <t>FINSPÅNG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45762</v>
      </c>
      <c r="E585" s="1" t="n">
        <v>46301</v>
      </c>
      <c r="F585" t="inlineStr">
        <is>
          <t>ÖSTERGÖTLANDS LÄN</t>
        </is>
      </c>
      <c r="G585" t="inlineStr">
        <is>
          <t>FINSPÅNG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46301</v>
      </c>
      <c r="F586" t="inlineStr">
        <is>
          <t>ÖSTERGÖTLANDS LÄN</t>
        </is>
      </c>
      <c r="G586" t="inlineStr">
        <is>
          <t>FINSPÅNG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46174</v>
      </c>
      <c r="E587" s="1" t="n">
        <v>46301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24835-2026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46174</v>
      </c>
      <c r="E588" s="1" t="n">
        <v>46301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Sveaskog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25629-2026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46301</v>
      </c>
      <c r="F589" t="inlineStr">
        <is>
          <t>ÖSTERGÖTLANDS LÄN</t>
        </is>
      </c>
      <c r="G589" t="inlineStr">
        <is>
          <t>FINSPÅNG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35570-2023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45147</v>
      </c>
      <c r="E590" s="1" t="n">
        <v>46301</v>
      </c>
      <c r="F590" t="inlineStr">
        <is>
          <t>ÖSTERGÖTLANDS LÄN</t>
        </is>
      </c>
      <c r="G590" t="inlineStr">
        <is>
          <t>FINSPÅNG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46181</v>
      </c>
      <c r="E591" s="1" t="n">
        <v>46301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Sveaskog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46178</v>
      </c>
      <c r="E592" s="1" t="n">
        <v>46301</v>
      </c>
      <c r="F592" t="inlineStr">
        <is>
          <t>ÖSTERGÖTLANDS LÄN</t>
        </is>
      </c>
      <c r="G592" t="inlineStr">
        <is>
          <t>FINSPÅNG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25766-2026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46301</v>
      </c>
      <c r="F593" t="inlineStr">
        <is>
          <t>ÖSTERGÖTLANDS LÄN</t>
        </is>
      </c>
      <c r="G593" t="inlineStr">
        <is>
          <t>FINSPÅNG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25760-2026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46301</v>
      </c>
      <c r="F594" t="inlineStr">
        <is>
          <t>ÖSTERGÖTLANDS LÄN</t>
        </is>
      </c>
      <c r="G594" t="inlineStr">
        <is>
          <t>FINSPÅNG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48790-2023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45209</v>
      </c>
      <c r="E595" s="1" t="n">
        <v>46301</v>
      </c>
      <c r="F595" t="inlineStr">
        <is>
          <t>ÖSTERGÖTLANDS LÄN</t>
        </is>
      </c>
      <c r="G595" t="inlineStr">
        <is>
          <t>FINSPÅNG</t>
        </is>
      </c>
      <c r="I595" t="n">
        <v>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48793-2023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45209</v>
      </c>
      <c r="E596" s="1" t="n">
        <v>46301</v>
      </c>
      <c r="F596" t="inlineStr">
        <is>
          <t>ÖSTERGÖTLANDS LÄN</t>
        </is>
      </c>
      <c r="G596" t="inlineStr">
        <is>
          <t>FINSPÅNG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56420-2023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46301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45660</v>
      </c>
      <c r="E598" s="1" t="n">
        <v>46301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Övriga Aktiebolag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28722-2023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45103</v>
      </c>
      <c r="E599" s="1" t="n">
        <v>46301</v>
      </c>
      <c r="F599" t="inlineStr">
        <is>
          <t>ÖSTERGÖTLANDS LÄN</t>
        </is>
      </c>
      <c r="G599" t="inlineStr">
        <is>
          <t>FINSPÅNG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59287-2023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45253</v>
      </c>
      <c r="E600" s="1" t="n">
        <v>46301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15824-2022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44664</v>
      </c>
      <c r="E601" s="1" t="n">
        <v>46301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45274</v>
      </c>
      <c r="E602" s="1" t="n">
        <v>46301</v>
      </c>
      <c r="F602" t="inlineStr">
        <is>
          <t>ÖSTERGÖTLANDS LÄN</t>
        </is>
      </c>
      <c r="G602" t="inlineStr">
        <is>
          <t>FINSPÅNG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30920-2022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44767</v>
      </c>
      <c r="E603" s="1" t="n">
        <v>46301</v>
      </c>
      <c r="F603" t="inlineStr">
        <is>
          <t>ÖSTERGÖTLANDS LÄN</t>
        </is>
      </c>
      <c r="G603" t="inlineStr">
        <is>
          <t>FINSPÅNG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46185</v>
      </c>
      <c r="E604" s="1" t="n">
        <v>46301</v>
      </c>
      <c r="F604" t="inlineStr">
        <is>
          <t>ÖSTERGÖTLANDS LÄN</t>
        </is>
      </c>
      <c r="G604" t="inlineStr">
        <is>
          <t>FINSPÅNG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10252-2025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45720</v>
      </c>
      <c r="E605" s="1" t="n">
        <v>46301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26247-2022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44735</v>
      </c>
      <c r="E606" s="1" t="n">
        <v>46301</v>
      </c>
      <c r="F606" t="inlineStr">
        <is>
          <t>ÖSTERGÖTLANDS LÄN</t>
        </is>
      </c>
      <c r="G606" t="inlineStr">
        <is>
          <t>FINSPÅNG</t>
        </is>
      </c>
      <c r="I606" t="n">
        <v>10.1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26905-2026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46185</v>
      </c>
      <c r="E607" s="1" t="n">
        <v>46301</v>
      </c>
      <c r="F607" t="inlineStr">
        <is>
          <t>ÖSTERGÖTLANDS LÄN</t>
        </is>
      </c>
      <c r="G607" t="inlineStr">
        <is>
          <t>FINSPÅNG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25195-2022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44729</v>
      </c>
      <c r="E608" s="1" t="n">
        <v>46301</v>
      </c>
      <c r="F608" t="inlineStr">
        <is>
          <t>ÖSTERGÖTLANDS LÄN</t>
        </is>
      </c>
      <c r="G608" t="inlineStr">
        <is>
          <t>FINSPÅNG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36191-2023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45149</v>
      </c>
      <c r="E609" s="1" t="n">
        <v>46301</v>
      </c>
      <c r="F609" t="inlineStr">
        <is>
          <t>ÖSTERGÖTLANDS LÄN</t>
        </is>
      </c>
      <c r="G609" t="inlineStr">
        <is>
          <t>FINSPÅNG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59799-2023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45257</v>
      </c>
      <c r="E610" s="1" t="n">
        <v>46301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27369-2026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46188</v>
      </c>
      <c r="E611" s="1" t="n">
        <v>46301</v>
      </c>
      <c r="F611" t="inlineStr">
        <is>
          <t>ÖSTERGÖTLANDS LÄN</t>
        </is>
      </c>
      <c r="G611" t="inlineStr">
        <is>
          <t>FINSPÅNG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45314</v>
      </c>
      <c r="E612" s="1" t="n">
        <v>46301</v>
      </c>
      <c r="F612" t="inlineStr">
        <is>
          <t>ÖSTERGÖTLANDS LÄN</t>
        </is>
      </c>
      <c r="G612" t="inlineStr">
        <is>
          <t>FINSPÅNG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16680-2022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44672</v>
      </c>
      <c r="E613" s="1" t="n">
        <v>46301</v>
      </c>
      <c r="F613" t="inlineStr">
        <is>
          <t>ÖSTERGÖTLANDS LÄN</t>
        </is>
      </c>
      <c r="G613" t="inlineStr">
        <is>
          <t>FINSPÅNG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45308</v>
      </c>
      <c r="E614" s="1" t="n">
        <v>46301</v>
      </c>
      <c r="F614" t="inlineStr">
        <is>
          <t>ÖSTERGÖTLANDS LÄN</t>
        </is>
      </c>
      <c r="G614" t="inlineStr">
        <is>
          <t>FINSPÅNG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40319-2022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44823</v>
      </c>
      <c r="E615" s="1" t="n">
        <v>46301</v>
      </c>
      <c r="F615" t="inlineStr">
        <is>
          <t>ÖSTERGÖTLANDS LÄN</t>
        </is>
      </c>
      <c r="G615" t="inlineStr">
        <is>
          <t>FINSPÅNG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45623</v>
      </c>
      <c r="E616" s="1" t="n">
        <v>46301</v>
      </c>
      <c r="F616" t="inlineStr">
        <is>
          <t>ÖSTERGÖTLANDS LÄN</t>
        </is>
      </c>
      <c r="G616" t="inlineStr">
        <is>
          <t>FINSPÅNG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38613-2022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44813</v>
      </c>
      <c r="E617" s="1" t="n">
        <v>46301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43051-2022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44833</v>
      </c>
      <c r="E618" s="1" t="n">
        <v>46301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26195-2024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45468</v>
      </c>
      <c r="E619" s="1" t="n">
        <v>46301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12483-2024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45379</v>
      </c>
      <c r="E620" s="1" t="n">
        <v>46301</v>
      </c>
      <c r="F620" t="inlineStr">
        <is>
          <t>ÖSTERGÖTLANDS LÄN</t>
        </is>
      </c>
      <c r="G620" t="inlineStr">
        <is>
          <t>FINSPÅNG</t>
        </is>
      </c>
      <c r="I620" t="n">
        <v>11.9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45309</v>
      </c>
      <c r="E621" s="1" t="n">
        <v>46301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2152-2024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45309</v>
      </c>
      <c r="E622" s="1" t="n">
        <v>46301</v>
      </c>
      <c r="F622" t="inlineStr">
        <is>
          <t>ÖSTERGÖTLANDS LÄN</t>
        </is>
      </c>
      <c r="G622" t="inlineStr">
        <is>
          <t>FINSPÅNG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2164-2024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45309</v>
      </c>
      <c r="E623" s="1" t="n">
        <v>46301</v>
      </c>
      <c r="F623" t="inlineStr">
        <is>
          <t>ÖSTERGÖTLANDS LÄN</t>
        </is>
      </c>
      <c r="G623" t="inlineStr">
        <is>
          <t>FINSPÅNG</t>
        </is>
      </c>
      <c r="I623" t="n">
        <v>15.1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59838-2023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45257</v>
      </c>
      <c r="E624" s="1" t="n">
        <v>46301</v>
      </c>
      <c r="F624" t="inlineStr">
        <is>
          <t>ÖSTERGÖTLANDS LÄN</t>
        </is>
      </c>
      <c r="G624" t="inlineStr">
        <is>
          <t>FINSPÅNG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1137-2024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45302</v>
      </c>
      <c r="E625" s="1" t="n">
        <v>46301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28386-2026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46196</v>
      </c>
      <c r="E626" s="1" t="n">
        <v>46301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Kommuner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6731-2023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44966</v>
      </c>
      <c r="E627" s="1" t="n">
        <v>46301</v>
      </c>
      <c r="F627" t="inlineStr">
        <is>
          <t>ÖSTERGÖTLANDS LÄN</t>
        </is>
      </c>
      <c r="G627" t="inlineStr">
        <is>
          <t>FINSPÅNG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34309-2025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45846</v>
      </c>
      <c r="E628" s="1" t="n">
        <v>46301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30922-2022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44767</v>
      </c>
      <c r="E629" s="1" t="n">
        <v>46301</v>
      </c>
      <c r="F629" t="inlineStr">
        <is>
          <t>ÖSTERGÖTLANDS LÄN</t>
        </is>
      </c>
      <c r="G629" t="inlineStr">
        <is>
          <t>FINSPÅNG</t>
        </is>
      </c>
      <c r="I629" t="n">
        <v>10.6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29018-2026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46199</v>
      </c>
      <c r="E630" s="1" t="n">
        <v>46301</v>
      </c>
      <c r="F630" t="inlineStr">
        <is>
          <t>ÖSTERGÖTLANDS LÄN</t>
        </is>
      </c>
      <c r="G630" t="inlineStr">
        <is>
          <t>FINSPÅNG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39205-2022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44817</v>
      </c>
      <c r="E631" s="1" t="n">
        <v>46301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17992-2023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45040</v>
      </c>
      <c r="E632" s="1" t="n">
        <v>46301</v>
      </c>
      <c r="F632" t="inlineStr">
        <is>
          <t>ÖSTERGÖTLANDS LÄN</t>
        </is>
      </c>
      <c r="G632" t="inlineStr">
        <is>
          <t>FINSPÅNG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29482-2026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46203</v>
      </c>
      <c r="E633" s="1" t="n">
        <v>46301</v>
      </c>
      <c r="F633" t="inlineStr">
        <is>
          <t>ÖSTERGÖTLANDS LÄN</t>
        </is>
      </c>
      <c r="G633" t="inlineStr">
        <is>
          <t>FINSPÅNG</t>
        </is>
      </c>
      <c r="I633" t="n">
        <v>13.3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5616-2022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44595</v>
      </c>
      <c r="E634" s="1" t="n">
        <v>46301</v>
      </c>
      <c r="F634" t="inlineStr">
        <is>
          <t>ÖSTERGÖTLANDS LÄN</t>
        </is>
      </c>
      <c r="G634" t="inlineStr">
        <is>
          <t>FINSPÅNG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14110-2023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45009</v>
      </c>
      <c r="E635" s="1" t="n">
        <v>46301</v>
      </c>
      <c r="F635" t="inlineStr">
        <is>
          <t>ÖSTERGÖTLANDS LÄN</t>
        </is>
      </c>
      <c r="G635" t="inlineStr">
        <is>
          <t>FINSPÅNG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24804-2023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45084</v>
      </c>
      <c r="E636" s="1" t="n">
        <v>46301</v>
      </c>
      <c r="F636" t="inlineStr">
        <is>
          <t>ÖSTERGÖTLANDS LÄN</t>
        </is>
      </c>
      <c r="G636" t="inlineStr">
        <is>
          <t>FINSPÅNG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33027-2022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44782</v>
      </c>
      <c r="E637" s="1" t="n">
        <v>46301</v>
      </c>
      <c r="F637" t="inlineStr">
        <is>
          <t>ÖSTERGÖTLANDS LÄN</t>
        </is>
      </c>
      <c r="G637" t="inlineStr">
        <is>
          <t>FINSPÅNG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29731-2026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46204</v>
      </c>
      <c r="E638" s="1" t="n">
        <v>46301</v>
      </c>
      <c r="F638" t="inlineStr">
        <is>
          <t>ÖSTERGÖTLANDS LÄN</t>
        </is>
      </c>
      <c r="G638" t="inlineStr">
        <is>
          <t>FINSPÅNG</t>
        </is>
      </c>
      <c r="I638" t="n">
        <v>18.6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22714-2022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44714</v>
      </c>
      <c r="E639" s="1" t="n">
        <v>46301</v>
      </c>
      <c r="F639" t="inlineStr">
        <is>
          <t>ÖSTERGÖTLANDS LÄN</t>
        </is>
      </c>
      <c r="G639" t="inlineStr">
        <is>
          <t>FINSPÅNG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45299</v>
      </c>
      <c r="E640" s="1" t="n">
        <v>46301</v>
      </c>
      <c r="F640" t="inlineStr">
        <is>
          <t>ÖSTERGÖTLANDS LÄN</t>
        </is>
      </c>
      <c r="G640" t="inlineStr">
        <is>
          <t>FINSPÅNG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29078-2022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44749</v>
      </c>
      <c r="E641" s="1" t="n">
        <v>46301</v>
      </c>
      <c r="F641" t="inlineStr">
        <is>
          <t>ÖSTERGÖTLANDS LÄN</t>
        </is>
      </c>
      <c r="G641" t="inlineStr">
        <is>
          <t>FINSPÅNG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49494-2022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44861</v>
      </c>
      <c r="E642" s="1" t="n">
        <v>46301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Naturvårdsverket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44987</v>
      </c>
      <c r="E643" s="1" t="n">
        <v>46301</v>
      </c>
      <c r="F643" t="inlineStr">
        <is>
          <t>ÖSTERGÖTLANDS LÄN</t>
        </is>
      </c>
      <c r="G643" t="inlineStr">
        <is>
          <t>FINSPÅNG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53610-2022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44879</v>
      </c>
      <c r="E644" s="1" t="n">
        <v>46301</v>
      </c>
      <c r="F644" t="inlineStr">
        <is>
          <t>ÖSTERGÖTLANDS LÄN</t>
        </is>
      </c>
      <c r="G644" t="inlineStr">
        <is>
          <t>FINSPÅNG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31147-2026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46209</v>
      </c>
      <c r="E645" s="1" t="n">
        <v>46301</v>
      </c>
      <c r="F645" t="inlineStr">
        <is>
          <t>ÖSTERGÖTLANDS LÄN</t>
        </is>
      </c>
      <c r="G645" t="inlineStr">
        <is>
          <t>FINSPÅNG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31151-2026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46209</v>
      </c>
      <c r="E646" s="1" t="n">
        <v>46301</v>
      </c>
      <c r="F646" t="inlineStr">
        <is>
          <t>ÖSTERGÖTLANDS LÄN</t>
        </is>
      </c>
      <c r="G646" t="inlineStr">
        <is>
          <t>FINSPÅNG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31152-2026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46209</v>
      </c>
      <c r="E647" s="1" t="n">
        <v>46301</v>
      </c>
      <c r="F647" t="inlineStr">
        <is>
          <t>ÖSTERGÖTLANDS LÄN</t>
        </is>
      </c>
      <c r="G647" t="inlineStr">
        <is>
          <t>FINSPÅNG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46301</v>
      </c>
      <c r="F648" t="inlineStr">
        <is>
          <t>ÖSTERGÖTLANDS LÄN</t>
        </is>
      </c>
      <c r="G648" t="inlineStr">
        <is>
          <t>FINSPÅNG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51610-2022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44871</v>
      </c>
      <c r="E649" s="1" t="n">
        <v>46301</v>
      </c>
      <c r="F649" t="inlineStr">
        <is>
          <t>ÖSTERGÖTLANDS LÄN</t>
        </is>
      </c>
      <c r="G649" t="inlineStr">
        <is>
          <t>FINSPÅNG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68122-2021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44526</v>
      </c>
      <c r="E650" s="1" t="n">
        <v>46301</v>
      </c>
      <c r="F650" t="inlineStr">
        <is>
          <t>ÖSTERGÖTLANDS LÄN</t>
        </is>
      </c>
      <c r="G650" t="inlineStr">
        <is>
          <t>FINSPÅNG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61012-2022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44914</v>
      </c>
      <c r="E651" s="1" t="n">
        <v>46301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30864-2026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46212</v>
      </c>
      <c r="E652" s="1" t="n">
        <v>46301</v>
      </c>
      <c r="F652" t="inlineStr">
        <is>
          <t>ÖSTERGÖTLANDS LÄN</t>
        </is>
      </c>
      <c r="G652" t="inlineStr">
        <is>
          <t>FINSPÅNG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39114-2024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45548</v>
      </c>
      <c r="E653" s="1" t="n">
        <v>46301</v>
      </c>
      <c r="F653" t="inlineStr">
        <is>
          <t>ÖSTERGÖTLANDS LÄN</t>
        </is>
      </c>
      <c r="G653" t="inlineStr">
        <is>
          <t>FINSPÅNG</t>
        </is>
      </c>
      <c r="I653" t="n">
        <v>9.699999999999999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18488-2025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45763</v>
      </c>
      <c r="E654" s="1" t="n">
        <v>46301</v>
      </c>
      <c r="F654" t="inlineStr">
        <is>
          <t>ÖSTERGÖTLANDS LÄN</t>
        </is>
      </c>
      <c r="G654" t="inlineStr">
        <is>
          <t>FINSPÅNG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62421-2021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44503</v>
      </c>
      <c r="E655" s="1" t="n">
        <v>46301</v>
      </c>
      <c r="F655" t="inlineStr">
        <is>
          <t>ÖSTERGÖTLANDS LÄN</t>
        </is>
      </c>
      <c r="G655" t="inlineStr">
        <is>
          <t>FINSPÅNG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59062-2024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45636</v>
      </c>
      <c r="E656" s="1" t="n">
        <v>46301</v>
      </c>
      <c r="F656" t="inlineStr">
        <is>
          <t>ÖSTERGÖTLANDS LÄN</t>
        </is>
      </c>
      <c r="G656" t="inlineStr">
        <is>
          <t>FINSPÅNG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34883-2026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46258</v>
      </c>
      <c r="E657" s="1" t="n">
        <v>46301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Övriga Aktiebolag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34884-2026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46258</v>
      </c>
      <c r="E658" s="1" t="n">
        <v>46301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Övriga Aktiebolag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7445-2022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44607</v>
      </c>
      <c r="E659" s="1" t="n">
        <v>46301</v>
      </c>
      <c r="F659" t="inlineStr">
        <is>
          <t>ÖSTERGÖTLANDS LÄN</t>
        </is>
      </c>
      <c r="G659" t="inlineStr">
        <is>
          <t>FINSPÅNG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4280-2023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44953</v>
      </c>
      <c r="E660" s="1" t="n">
        <v>46301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39356-2022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44817</v>
      </c>
      <c r="E661" s="1" t="n">
        <v>46301</v>
      </c>
      <c r="F661" t="inlineStr">
        <is>
          <t>ÖSTERGÖTLANDS LÄN</t>
        </is>
      </c>
      <c r="G661" t="inlineStr">
        <is>
          <t>FINSPÅNG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34001-2024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45523</v>
      </c>
      <c r="E662" s="1" t="n">
        <v>46301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50811-2022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44867</v>
      </c>
      <c r="E663" s="1" t="n">
        <v>46301</v>
      </c>
      <c r="F663" t="inlineStr">
        <is>
          <t>ÖSTERGÖTLANDS LÄN</t>
        </is>
      </c>
      <c r="G663" t="inlineStr">
        <is>
          <t>FINSPÅNG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25356-2022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44732</v>
      </c>
      <c r="E664" s="1" t="n">
        <v>46301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44949</v>
      </c>
      <c r="E665" s="1" t="n">
        <v>46301</v>
      </c>
      <c r="F665" t="inlineStr">
        <is>
          <t>ÖSTERGÖTLANDS LÄN</t>
        </is>
      </c>
      <c r="G665" t="inlineStr">
        <is>
          <t>FINSPÅNG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31300-2026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46218</v>
      </c>
      <c r="E666" s="1" t="n">
        <v>46301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Sveaskog</t>
        </is>
      </c>
      <c r="I666" t="n">
        <v>9.5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3415-2023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44949</v>
      </c>
      <c r="E667" s="1" t="n">
        <v>46301</v>
      </c>
      <c r="F667" t="inlineStr">
        <is>
          <t>ÖSTERGÖTLANDS LÄN</t>
        </is>
      </c>
      <c r="G667" t="inlineStr">
        <is>
          <t>FINSPÅNG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3436-2023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44949</v>
      </c>
      <c r="E668" s="1" t="n">
        <v>46301</v>
      </c>
      <c r="F668" t="inlineStr">
        <is>
          <t>ÖSTERGÖTLANDS LÄN</t>
        </is>
      </c>
      <c r="G668" t="inlineStr">
        <is>
          <t>FINSPÅNG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5656-2023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44960</v>
      </c>
      <c r="E669" s="1" t="n">
        <v>46301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6733-2023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44966</v>
      </c>
      <c r="E670" s="1" t="n">
        <v>46301</v>
      </c>
      <c r="F670" t="inlineStr">
        <is>
          <t>ÖSTERGÖTLANDS LÄN</t>
        </is>
      </c>
      <c r="G670" t="inlineStr">
        <is>
          <t>FINSPÅNG</t>
        </is>
      </c>
      <c r="I670" t="n">
        <v>8.5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46218</v>
      </c>
      <c r="E671" s="1" t="n">
        <v>46301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Sveaskog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31307-2026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46219</v>
      </c>
      <c r="E672" s="1" t="n">
        <v>46301</v>
      </c>
      <c r="F672" t="inlineStr">
        <is>
          <t>ÖSTERGÖTLANDS LÄN</t>
        </is>
      </c>
      <c r="G672" t="inlineStr">
        <is>
          <t>FINSPÅNG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15473-2022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44662</v>
      </c>
      <c r="E673" s="1" t="n">
        <v>46301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40410-2024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45555</v>
      </c>
      <c r="E674" s="1" t="n">
        <v>46301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61994-2022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44918</v>
      </c>
      <c r="E675" s="1" t="n">
        <v>46301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55624-2024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45622</v>
      </c>
      <c r="E676" s="1" t="n">
        <v>46301</v>
      </c>
      <c r="F676" t="inlineStr">
        <is>
          <t>ÖSTERGÖTLANDS LÄN</t>
        </is>
      </c>
      <c r="G676" t="inlineStr">
        <is>
          <t>FINSPÅNG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611-2023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44930</v>
      </c>
      <c r="E677" s="1" t="n">
        <v>46301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45258</v>
      </c>
      <c r="E678" s="1" t="n">
        <v>46301</v>
      </c>
      <c r="F678" t="inlineStr">
        <is>
          <t>ÖSTERGÖTLANDS LÄN</t>
        </is>
      </c>
      <c r="G678" t="inlineStr">
        <is>
          <t>FINSPÅNG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12472-2024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45379</v>
      </c>
      <c r="E679" s="1" t="n">
        <v>46301</v>
      </c>
      <c r="F679" t="inlineStr">
        <is>
          <t>ÖSTERGÖTLANDS LÄN</t>
        </is>
      </c>
      <c r="G679" t="inlineStr">
        <is>
          <t>FINSPÅNG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60619-2023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45260</v>
      </c>
      <c r="E680" s="1" t="n">
        <v>46301</v>
      </c>
      <c r="F680" t="inlineStr">
        <is>
          <t>ÖSTERGÖTLANDS LÄN</t>
        </is>
      </c>
      <c r="G680" t="inlineStr">
        <is>
          <t>FINSPÅNG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15674-2023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45021</v>
      </c>
      <c r="E681" s="1" t="n">
        <v>46301</v>
      </c>
      <c r="F681" t="inlineStr">
        <is>
          <t>ÖSTERGÖTLANDS LÄN</t>
        </is>
      </c>
      <c r="G681" t="inlineStr">
        <is>
          <t>FINSPÅNG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39740-2023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45167</v>
      </c>
      <c r="E682" s="1" t="n">
        <v>46301</v>
      </c>
      <c r="F682" t="inlineStr">
        <is>
          <t>ÖSTERGÖTLANDS LÄN</t>
        </is>
      </c>
      <c r="G682" t="inlineStr">
        <is>
          <t>FINSPÅNG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14061-2023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45008</v>
      </c>
      <c r="E683" s="1" t="n">
        <v>46301</v>
      </c>
      <c r="F683" t="inlineStr">
        <is>
          <t>ÖSTERGÖTLANDS LÄN</t>
        </is>
      </c>
      <c r="G683" t="inlineStr">
        <is>
          <t>FINSPÅNG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9339-2022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44616</v>
      </c>
      <c r="E684" s="1" t="n">
        <v>46301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73260-2021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44550</v>
      </c>
      <c r="E685" s="1" t="n">
        <v>46301</v>
      </c>
      <c r="F685" t="inlineStr">
        <is>
          <t>ÖSTERGÖTLANDS LÄN</t>
        </is>
      </c>
      <c r="G685" t="inlineStr">
        <is>
          <t>FINSPÅNG</t>
        </is>
      </c>
      <c r="I685" t="n">
        <v>10.3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53572-2023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45230</v>
      </c>
      <c r="E686" s="1" t="n">
        <v>46301</v>
      </c>
      <c r="F686" t="inlineStr">
        <is>
          <t>ÖSTERGÖTLANDS LÄN</t>
        </is>
      </c>
      <c r="G686" t="inlineStr">
        <is>
          <t>FINSPÅNG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14565-2023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45013</v>
      </c>
      <c r="E687" s="1" t="n">
        <v>46301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40069-2024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45554</v>
      </c>
      <c r="E688" s="1" t="n">
        <v>46301</v>
      </c>
      <c r="F688" t="inlineStr">
        <is>
          <t>ÖSTERGÖTLANDS LÄN</t>
        </is>
      </c>
      <c r="G688" t="inlineStr">
        <is>
          <t>FINSPÅNG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46226</v>
      </c>
      <c r="E689" s="1" t="n">
        <v>46301</v>
      </c>
      <c r="F689" t="inlineStr">
        <is>
          <t>ÖSTERGÖTLANDS LÄN</t>
        </is>
      </c>
      <c r="G689" t="inlineStr">
        <is>
          <t>FINSPÅNG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27487-2023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45095</v>
      </c>
      <c r="E690" s="1" t="n">
        <v>46301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Övriga Aktiebolag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36479-2026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46269</v>
      </c>
      <c r="E691" s="1" t="n">
        <v>46301</v>
      </c>
      <c r="F691" t="inlineStr">
        <is>
          <t>ÖSTERGÖTLANDS LÄN</t>
        </is>
      </c>
      <c r="G691" t="inlineStr">
        <is>
          <t>FINSPÅNG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20157-2023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45055</v>
      </c>
      <c r="E692" s="1" t="n">
        <v>46301</v>
      </c>
      <c r="F692" t="inlineStr">
        <is>
          <t>ÖSTERGÖTLANDS LÄN</t>
        </is>
      </c>
      <c r="G692" t="inlineStr">
        <is>
          <t>FINSPÅNG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36505-2026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46269</v>
      </c>
      <c r="E693" s="1" t="n">
        <v>46301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11974-2023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44995</v>
      </c>
      <c r="E694" s="1" t="n">
        <v>46301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31682-2026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46226</v>
      </c>
      <c r="E695" s="1" t="n">
        <v>46301</v>
      </c>
      <c r="F695" t="inlineStr">
        <is>
          <t>ÖSTERGÖTLANDS LÄN</t>
        </is>
      </c>
      <c r="G695" t="inlineStr">
        <is>
          <t>FINSPÅNG</t>
        </is>
      </c>
      <c r="I695" t="n">
        <v>6.1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31668-2026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46225</v>
      </c>
      <c r="E696" s="1" t="n">
        <v>46301</v>
      </c>
      <c r="F696" t="inlineStr">
        <is>
          <t>ÖSTERGÖTLANDS LÄN</t>
        </is>
      </c>
      <c r="G696" t="inlineStr">
        <is>
          <t>FINSPÅNG</t>
        </is>
      </c>
      <c r="I696" t="n">
        <v>10.5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31669-2026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46225</v>
      </c>
      <c r="E697" s="1" t="n">
        <v>46301</v>
      </c>
      <c r="F697" t="inlineStr">
        <is>
          <t>ÖSTERGÖTLANDS LÄN</t>
        </is>
      </c>
      <c r="G697" t="inlineStr">
        <is>
          <t>FINSPÅNG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36486-2026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46269</v>
      </c>
      <c r="E698" s="1" t="n">
        <v>46301</v>
      </c>
      <c r="F698" t="inlineStr">
        <is>
          <t>ÖSTERGÖTLANDS LÄN</t>
        </is>
      </c>
      <c r="G698" t="inlineStr">
        <is>
          <t>FINSPÅNG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36498-2026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46269</v>
      </c>
      <c r="E699" s="1" t="n">
        <v>46301</v>
      </c>
      <c r="F699" t="inlineStr">
        <is>
          <t>ÖSTERGÖTLANDS LÄN</t>
        </is>
      </c>
      <c r="G699" t="inlineStr">
        <is>
          <t>FINSPÅNG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36503-2026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46269</v>
      </c>
      <c r="E700" s="1" t="n">
        <v>46301</v>
      </c>
      <c r="F700" t="inlineStr">
        <is>
          <t>ÖSTERGÖTLANDS LÄN</t>
        </is>
      </c>
      <c r="G700" t="inlineStr">
        <is>
          <t>FINSPÅNG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28020-2023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45095</v>
      </c>
      <c r="E701" s="1" t="n">
        <v>46301</v>
      </c>
      <c r="F701" t="inlineStr">
        <is>
          <t>ÖSTERGÖTLANDS LÄN</t>
        </is>
      </c>
      <c r="G701" t="inlineStr">
        <is>
          <t>FINSPÅNG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18585-2024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45425</v>
      </c>
      <c r="E702" s="1" t="n">
        <v>46301</v>
      </c>
      <c r="F702" t="inlineStr">
        <is>
          <t>ÖSTERGÖTLANDS LÄN</t>
        </is>
      </c>
      <c r="G702" t="inlineStr">
        <is>
          <t>FINSPÅNG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57854-2022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44898</v>
      </c>
      <c r="E703" s="1" t="n">
        <v>46301</v>
      </c>
      <c r="F703" t="inlineStr">
        <is>
          <t>ÖSTERGÖTLANDS LÄN</t>
        </is>
      </c>
      <c r="G703" t="inlineStr">
        <is>
          <t>FINSPÅNG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42106-2023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45177</v>
      </c>
      <c r="E704" s="1" t="n">
        <v>46301</v>
      </c>
      <c r="F704" t="inlineStr">
        <is>
          <t>ÖSTERGÖTLANDS LÄN</t>
        </is>
      </c>
      <c r="G704" t="inlineStr">
        <is>
          <t>FINSPÅNG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24015-2024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45456</v>
      </c>
      <c r="E705" s="1" t="n">
        <v>46301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46232</v>
      </c>
      <c r="E706" s="1" t="n">
        <v>46301</v>
      </c>
      <c r="F706" t="inlineStr">
        <is>
          <t>ÖSTERGÖTLANDS LÄN</t>
        </is>
      </c>
      <c r="G706" t="inlineStr">
        <is>
          <t>FINSPÅNG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50189-2022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44865</v>
      </c>
      <c r="E707" s="1" t="n">
        <v>46301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9130-2023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44980</v>
      </c>
      <c r="E708" s="1" t="n">
        <v>46301</v>
      </c>
      <c r="F708" t="inlineStr">
        <is>
          <t>ÖSTERGÖTLANDS LÄN</t>
        </is>
      </c>
      <c r="G708" t="inlineStr">
        <is>
          <t>FINSPÅNG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6628-2023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44966</v>
      </c>
      <c r="E709" s="1" t="n">
        <v>46301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46233</v>
      </c>
      <c r="E710" s="1" t="n">
        <v>46301</v>
      </c>
      <c r="F710" t="inlineStr">
        <is>
          <t>ÖSTERGÖTLANDS LÄN</t>
        </is>
      </c>
      <c r="G710" t="inlineStr">
        <is>
          <t>FINSPÅNG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60749-2022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44914</v>
      </c>
      <c r="E711" s="1" t="n">
        <v>46301</v>
      </c>
      <c r="F711" t="inlineStr">
        <is>
          <t>ÖSTERGÖTLANDS LÄN</t>
        </is>
      </c>
      <c r="G711" t="inlineStr">
        <is>
          <t>FINSPÅNG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37788-2026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46279</v>
      </c>
      <c r="E712" s="1" t="n">
        <v>46301</v>
      </c>
      <c r="F712" t="inlineStr">
        <is>
          <t>ÖSTERGÖTLANDS LÄN</t>
        </is>
      </c>
      <c r="G712" t="inlineStr">
        <is>
          <t>FINSPÅNG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8317-2023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44974</v>
      </c>
      <c r="E713" s="1" t="n">
        <v>46301</v>
      </c>
      <c r="F713" t="inlineStr">
        <is>
          <t>ÖSTERGÖTLANDS LÄN</t>
        </is>
      </c>
      <c r="G713" t="inlineStr">
        <is>
          <t>FINSPÅNG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37804-2026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46279</v>
      </c>
      <c r="E714" s="1" t="n">
        <v>46301</v>
      </c>
      <c r="F714" t="inlineStr">
        <is>
          <t>ÖSTERGÖTLANDS LÄN</t>
        </is>
      </c>
      <c r="G714" t="inlineStr">
        <is>
          <t>FINSPÅNG</t>
        </is>
      </c>
      <c r="I714" t="n">
        <v>9.4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3568-2023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44950</v>
      </c>
      <c r="E715" s="1" t="n">
        <v>46301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50510-2024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45601</v>
      </c>
      <c r="E716" s="1" t="n">
        <v>46301</v>
      </c>
      <c r="F716" t="inlineStr">
        <is>
          <t>ÖSTERGÖTLANDS LÄN</t>
        </is>
      </c>
      <c r="G716" t="inlineStr">
        <is>
          <t>FINSPÅNG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4083-2024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45323</v>
      </c>
      <c r="E717" s="1" t="n">
        <v>46301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42779-2023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45181</v>
      </c>
      <c r="E718" s="1" t="n">
        <v>46301</v>
      </c>
      <c r="F718" t="inlineStr">
        <is>
          <t>ÖSTERGÖTLANDS LÄN</t>
        </is>
      </c>
      <c r="G718" t="inlineStr">
        <is>
          <t>FINSPÅNG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18445-2023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45042</v>
      </c>
      <c r="E719" s="1" t="n">
        <v>46301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37814-2026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46279</v>
      </c>
      <c r="E720" s="1" t="n">
        <v>46301</v>
      </c>
      <c r="F720" t="inlineStr">
        <is>
          <t>ÖSTERGÖTLANDS LÄN</t>
        </is>
      </c>
      <c r="G720" t="inlineStr">
        <is>
          <t>FINSPÅNG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59808-2023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45257</v>
      </c>
      <c r="E721" s="1" t="n">
        <v>46301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52731-2023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45225</v>
      </c>
      <c r="E722" s="1" t="n">
        <v>46301</v>
      </c>
      <c r="F722" t="inlineStr">
        <is>
          <t>ÖSTERGÖTLANDS LÄN</t>
        </is>
      </c>
      <c r="G722" t="inlineStr">
        <is>
          <t>FINSPÅNG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24458-2023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45082</v>
      </c>
      <c r="E723" s="1" t="n">
        <v>46301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6.6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36110-2023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45149</v>
      </c>
      <c r="E724" s="1" t="n">
        <v>46301</v>
      </c>
      <c r="F724" t="inlineStr">
        <is>
          <t>ÖSTERGÖTLANDS LÄN</t>
        </is>
      </c>
      <c r="G724" t="inlineStr">
        <is>
          <t>FINSPÅNG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38441-2026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46282</v>
      </c>
      <c r="E725" s="1" t="n">
        <v>46301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Sveaskog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38421-2026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46282</v>
      </c>
      <c r="E726" s="1" t="n">
        <v>46301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Sveaskog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38417-2026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46282</v>
      </c>
      <c r="E727" s="1" t="n">
        <v>46301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Sveaskog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38419-2026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46282</v>
      </c>
      <c r="E728" s="1" t="n">
        <v>46301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Sveaskog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38444-2026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46282</v>
      </c>
      <c r="E729" s="1" t="n">
        <v>46301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Sveaskog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38445-2026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46282</v>
      </c>
      <c r="E730" s="1" t="n">
        <v>46301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Sveaskog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38422-2026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46282</v>
      </c>
      <c r="E731" s="1" t="n">
        <v>46301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Sveaskog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38442-2026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46282</v>
      </c>
      <c r="E732" s="1" t="n">
        <v>46301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Sveaskog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11481-2023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44993</v>
      </c>
      <c r="E733" s="1" t="n">
        <v>46301</v>
      </c>
      <c r="F733" t="inlineStr">
        <is>
          <t>ÖSTERGÖTLANDS LÄN</t>
        </is>
      </c>
      <c r="G733" t="inlineStr">
        <is>
          <t>FINSPÅNG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10412-2023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44987</v>
      </c>
      <c r="E734" s="1" t="n">
        <v>46301</v>
      </c>
      <c r="F734" t="inlineStr">
        <is>
          <t>ÖSTERGÖTLANDS LÄN</t>
        </is>
      </c>
      <c r="G734" t="inlineStr">
        <is>
          <t>FINSPÅNG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38414-2026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46282</v>
      </c>
      <c r="E735" s="1" t="n">
        <v>46301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Sveaskog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58011-2023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45247</v>
      </c>
      <c r="E736" s="1" t="n">
        <v>46301</v>
      </c>
      <c r="F736" t="inlineStr">
        <is>
          <t>ÖSTERGÖTLANDS LÄN</t>
        </is>
      </c>
      <c r="G736" t="inlineStr">
        <is>
          <t>FINSPÅNG</t>
        </is>
      </c>
      <c r="I736" t="n">
        <v>5.9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18356-2024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45422</v>
      </c>
      <c r="E737" s="1" t="n">
        <v>46301</v>
      </c>
      <c r="F737" t="inlineStr">
        <is>
          <t>ÖSTERGÖTLANDS LÄN</t>
        </is>
      </c>
      <c r="G737" t="inlineStr">
        <is>
          <t>FINSPÅNG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38625-2026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46281</v>
      </c>
      <c r="E738" s="1" t="n">
        <v>46301</v>
      </c>
      <c r="F738" t="inlineStr">
        <is>
          <t>ÖSTERGÖTLANDS LÄN</t>
        </is>
      </c>
      <c r="G738" t="inlineStr">
        <is>
          <t>FINSPÅNG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49904-2023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45214</v>
      </c>
      <c r="E739" s="1" t="n">
        <v>46301</v>
      </c>
      <c r="F739" t="inlineStr">
        <is>
          <t>ÖSTERGÖTLANDS LÄN</t>
        </is>
      </c>
      <c r="G739" t="inlineStr">
        <is>
          <t>FINSPÅNG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18258-2024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45421</v>
      </c>
      <c r="E740" s="1" t="n">
        <v>46301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18171-2024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45420</v>
      </c>
      <c r="E741" s="1" t="n">
        <v>46301</v>
      </c>
      <c r="F741" t="inlineStr">
        <is>
          <t>ÖSTERGÖTLANDS LÄN</t>
        </is>
      </c>
      <c r="G741" t="inlineStr">
        <is>
          <t>FINSPÅNG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32973-2023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45125</v>
      </c>
      <c r="E742" s="1" t="n">
        <v>46301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Övriga Aktiebolag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16975-2023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45033</v>
      </c>
      <c r="E743" s="1" t="n">
        <v>46301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Naturvårdsverket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28559-2023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46301</v>
      </c>
      <c r="F744" t="inlineStr">
        <is>
          <t>ÖSTERGÖTLANDS LÄN</t>
        </is>
      </c>
      <c r="G744" t="inlineStr">
        <is>
          <t>FINSPÅNG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4753-2025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45688</v>
      </c>
      <c r="E745" s="1" t="n">
        <v>46301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15952-2023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45022</v>
      </c>
      <c r="E746" s="1" t="n">
        <v>46301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45744</v>
      </c>
      <c r="E747" s="1" t="n">
        <v>46301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62186-2023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45267</v>
      </c>
      <c r="E748" s="1" t="n">
        <v>46301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46301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31801-2023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45118</v>
      </c>
      <c r="E750" s="1" t="n">
        <v>46301</v>
      </c>
      <c r="F750" t="inlineStr">
        <is>
          <t>ÖSTERGÖTLANDS LÄN</t>
        </is>
      </c>
      <c r="G750" t="inlineStr">
        <is>
          <t>FINSPÅNG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38765-2026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46286</v>
      </c>
      <c r="E751" s="1" t="n">
        <v>46301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Övriga Aktiebolag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52730-2023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45225</v>
      </c>
      <c r="E752" s="1" t="n">
        <v>46301</v>
      </c>
      <c r="F752" t="inlineStr">
        <is>
          <t>ÖSTERGÖTLANDS LÄN</t>
        </is>
      </c>
      <c r="G752" t="inlineStr">
        <is>
          <t>FINSPÅNG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58141-2022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44900</v>
      </c>
      <c r="E753" s="1" t="n">
        <v>46301</v>
      </c>
      <c r="F753" t="inlineStr">
        <is>
          <t>ÖSTERGÖTLANDS LÄN</t>
        </is>
      </c>
      <c r="G753" t="inlineStr">
        <is>
          <t>FINSPÅNG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35970-2025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45863</v>
      </c>
      <c r="E754" s="1" t="n">
        <v>46301</v>
      </c>
      <c r="F754" t="inlineStr">
        <is>
          <t>ÖSTERGÖTLANDS LÄN</t>
        </is>
      </c>
      <c r="G754" t="inlineStr">
        <is>
          <t>FINSPÅNG</t>
        </is>
      </c>
      <c r="I754" t="n">
        <v>22.6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9418-2023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44981</v>
      </c>
      <c r="E755" s="1" t="n">
        <v>46301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62168-2022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44922</v>
      </c>
      <c r="E756" s="1" t="n">
        <v>46301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45311-2023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45191</v>
      </c>
      <c r="E757" s="1" t="n">
        <v>46301</v>
      </c>
      <c r="F757" t="inlineStr">
        <is>
          <t>ÖSTERGÖTLANDS LÄN</t>
        </is>
      </c>
      <c r="G757" t="inlineStr">
        <is>
          <t>FINSPÅNG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42176-2023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45178</v>
      </c>
      <c r="E758" s="1" t="n">
        <v>46301</v>
      </c>
      <c r="F758" t="inlineStr">
        <is>
          <t>ÖSTERGÖTLANDS LÄN</t>
        </is>
      </c>
      <c r="G758" t="inlineStr">
        <is>
          <t>FINSPÅNG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42111-2023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45177</v>
      </c>
      <c r="E759" s="1" t="n">
        <v>46301</v>
      </c>
      <c r="F759" t="inlineStr">
        <is>
          <t>ÖSTERGÖTLANDS LÄN</t>
        </is>
      </c>
      <c r="G759" t="inlineStr">
        <is>
          <t>FINSPÅNG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55956-2024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45623</v>
      </c>
      <c r="E760" s="1" t="n">
        <v>46301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59699-2024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45639</v>
      </c>
      <c r="E761" s="1" t="n">
        <v>46301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46317-2023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45197</v>
      </c>
      <c r="E762" s="1" t="n">
        <v>46301</v>
      </c>
      <c r="F762" t="inlineStr">
        <is>
          <t>ÖSTERGÖTLANDS LÄN</t>
        </is>
      </c>
      <c r="G762" t="inlineStr">
        <is>
          <t>FINSPÅNG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61359-2023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45264</v>
      </c>
      <c r="E763" s="1" t="n">
        <v>46301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45110</v>
      </c>
      <c r="E764" s="1" t="n">
        <v>46301</v>
      </c>
      <c r="F764" t="inlineStr">
        <is>
          <t>ÖSTERGÖTLANDS LÄN</t>
        </is>
      </c>
      <c r="G764" t="inlineStr">
        <is>
          <t>FINSPÅNG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14022-2023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45008</v>
      </c>
      <c r="E765" s="1" t="n">
        <v>46301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48767-2024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45593</v>
      </c>
      <c r="E766" s="1" t="n">
        <v>46301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44942</v>
      </c>
      <c r="E767" s="1" t="n">
        <v>46301</v>
      </c>
      <c r="F767" t="inlineStr">
        <is>
          <t>ÖSTERGÖTLANDS LÄN</t>
        </is>
      </c>
      <c r="G767" t="inlineStr">
        <is>
          <t>FINSPÅNG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9554-2022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44617</v>
      </c>
      <c r="E768" s="1" t="n">
        <v>46301</v>
      </c>
      <c r="F768" t="inlineStr">
        <is>
          <t>ÖSTERGÖTLANDS LÄN</t>
        </is>
      </c>
      <c r="G768" t="inlineStr">
        <is>
          <t>FINSPÅNG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1913-2023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44939</v>
      </c>
      <c r="E769" s="1" t="n">
        <v>46301</v>
      </c>
      <c r="F769" t="inlineStr">
        <is>
          <t>ÖSTERGÖTLANDS LÄN</t>
        </is>
      </c>
      <c r="G769" t="inlineStr">
        <is>
          <t>FINSPÅNG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47317-2023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45202</v>
      </c>
      <c r="E770" s="1" t="n">
        <v>46301</v>
      </c>
      <c r="F770" t="inlineStr">
        <is>
          <t>ÖSTERGÖTLANDS LÄN</t>
        </is>
      </c>
      <c r="G770" t="inlineStr">
        <is>
          <t>FINSPÅNG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3096-2023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44946</v>
      </c>
      <c r="E771" s="1" t="n">
        <v>46301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3107-2023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44946</v>
      </c>
      <c r="E772" s="1" t="n">
        <v>46301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24503-2023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45082</v>
      </c>
      <c r="E773" s="1" t="n">
        <v>46301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45299</v>
      </c>
      <c r="E774" s="1" t="n">
        <v>46301</v>
      </c>
      <c r="F774" t="inlineStr">
        <is>
          <t>ÖSTERGÖTLANDS LÄN</t>
        </is>
      </c>
      <c r="G774" t="inlineStr">
        <is>
          <t>FINSPÅNG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58313-2023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45250</v>
      </c>
      <c r="E775" s="1" t="n">
        <v>46301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48443-2023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45206</v>
      </c>
      <c r="E776" s="1" t="n">
        <v>46301</v>
      </c>
      <c r="F776" t="inlineStr">
        <is>
          <t>ÖSTERGÖTLANDS LÄN</t>
        </is>
      </c>
      <c r="G776" t="inlineStr">
        <is>
          <t>FINSPÅNG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6154-2023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44964</v>
      </c>
      <c r="E777" s="1" t="n">
        <v>46301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52007-2024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45607</v>
      </c>
      <c r="E778" s="1" t="n">
        <v>46301</v>
      </c>
      <c r="F778" t="inlineStr">
        <is>
          <t>ÖSTERGÖTLANDS LÄN</t>
        </is>
      </c>
      <c r="G778" t="inlineStr">
        <is>
          <t>FINSPÅNG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52008-2024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45607</v>
      </c>
      <c r="E779" s="1" t="n">
        <v>46301</v>
      </c>
      <c r="F779" t="inlineStr">
        <is>
          <t>ÖSTERGÖTLANDS LÄN</t>
        </is>
      </c>
      <c r="G779" t="inlineStr">
        <is>
          <t>FINSPÅNG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58991-2021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44490</v>
      </c>
      <c r="E780" s="1" t="n">
        <v>46301</v>
      </c>
      <c r="F780" t="inlineStr">
        <is>
          <t>ÖSTERGÖTLANDS LÄN</t>
        </is>
      </c>
      <c r="G780" t="inlineStr">
        <is>
          <t>FINSPÅNG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36592-2025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45870</v>
      </c>
      <c r="E781" s="1" t="n">
        <v>46301</v>
      </c>
      <c r="F781" t="inlineStr">
        <is>
          <t>ÖSTERGÖTLANDS LÄN</t>
        </is>
      </c>
      <c r="G781" t="inlineStr">
        <is>
          <t>FINSPÅNG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19609-2025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45770</v>
      </c>
      <c r="E782" s="1" t="n">
        <v>46301</v>
      </c>
      <c r="F782" t="inlineStr">
        <is>
          <t>ÖSTERGÖTLANDS LÄN</t>
        </is>
      </c>
      <c r="G782" t="inlineStr">
        <is>
          <t>FINSPÅNG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15900-2025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45749</v>
      </c>
      <c r="E783" s="1" t="n">
        <v>46301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4.6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59702-2024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45639</v>
      </c>
      <c r="E784" s="1" t="n">
        <v>46301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8438-2025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45709</v>
      </c>
      <c r="E785" s="1" t="n">
        <v>46301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42705-2024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45566</v>
      </c>
      <c r="E786" s="1" t="n">
        <v>46301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42711-2024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45566</v>
      </c>
      <c r="E787" s="1" t="n">
        <v>46301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14031-2025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45740</v>
      </c>
      <c r="E788" s="1" t="n">
        <v>46301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28558-2023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45103</v>
      </c>
      <c r="E789" s="1" t="n">
        <v>46301</v>
      </c>
      <c r="F789" t="inlineStr">
        <is>
          <t>ÖSTERGÖTLANDS LÄN</t>
        </is>
      </c>
      <c r="G789" t="inlineStr">
        <is>
          <t>FINSPÅNG</t>
        </is>
      </c>
      <c r="I789" t="n">
        <v>11.1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54299-2023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45232</v>
      </c>
      <c r="E790" s="1" t="n">
        <v>46301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52557-2024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45609</v>
      </c>
      <c r="E791" s="1" t="n">
        <v>46301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42678-2024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45566</v>
      </c>
      <c r="E792" s="1" t="n">
        <v>46301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42699-2024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45566</v>
      </c>
      <c r="E793" s="1" t="n">
        <v>46301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5.4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42682-2024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45566</v>
      </c>
      <c r="E794" s="1" t="n">
        <v>46301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13392-2025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45735</v>
      </c>
      <c r="E795" s="1" t="n">
        <v>46301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13457-2025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45736</v>
      </c>
      <c r="E796" s="1" t="n">
        <v>46301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35343-2024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45530</v>
      </c>
      <c r="E797" s="1" t="n">
        <v>46301</v>
      </c>
      <c r="F797" t="inlineStr">
        <is>
          <t>ÖSTERGÖTLANDS LÄN</t>
        </is>
      </c>
      <c r="G797" t="inlineStr">
        <is>
          <t>FINSPÅNG</t>
        </is>
      </c>
      <c r="I797" t="n">
        <v>7.2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40578-2026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46295</v>
      </c>
      <c r="E798" s="1" t="n">
        <v>46301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7.2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40580-2026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46295</v>
      </c>
      <c r="E799" s="1" t="n">
        <v>46301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Sveaskog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60249-2024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45642</v>
      </c>
      <c r="E800" s="1" t="n">
        <v>46301</v>
      </c>
      <c r="F800" t="inlineStr">
        <is>
          <t>ÖSTERGÖTLANDS LÄN</t>
        </is>
      </c>
      <c r="G800" t="inlineStr">
        <is>
          <t>FINSPÅNG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62155-2023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45267</v>
      </c>
      <c r="E801" s="1" t="n">
        <v>46301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35340-2024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45530</v>
      </c>
      <c r="E802" s="1" t="n">
        <v>46301</v>
      </c>
      <c r="F802" t="inlineStr">
        <is>
          <t>ÖSTERGÖTLANDS LÄN</t>
        </is>
      </c>
      <c r="G802" t="inlineStr">
        <is>
          <t>FINSPÅNG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11523-2025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45727</v>
      </c>
      <c r="E803" s="1" t="n">
        <v>46301</v>
      </c>
      <c r="F803" t="inlineStr">
        <is>
          <t>ÖSTERGÖTLANDS LÄN</t>
        </is>
      </c>
      <c r="G803" t="inlineStr">
        <is>
          <t>FINSPÅNG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11149-2024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45371</v>
      </c>
      <c r="E804" s="1" t="n">
        <v>46301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Kyrkan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24009-2025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45796</v>
      </c>
      <c r="E805" s="1" t="n">
        <v>46301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Naturvårdsverket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24021-2025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45796</v>
      </c>
      <c r="E806" s="1" t="n">
        <v>46301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Naturvårdsverket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3169-2024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45316</v>
      </c>
      <c r="E807" s="1" t="n">
        <v>46301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Övriga Aktiebolag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34555-2026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46255</v>
      </c>
      <c r="E808" s="1" t="n">
        <v>46301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Sveaskog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24310-2025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45797</v>
      </c>
      <c r="E809" s="1" t="n">
        <v>46301</v>
      </c>
      <c r="F809" t="inlineStr">
        <is>
          <t>ÖSTERGÖTLANDS LÄN</t>
        </is>
      </c>
      <c r="G809" t="inlineStr">
        <is>
          <t>FINSPÅNG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24328-2025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45797</v>
      </c>
      <c r="E810" s="1" t="n">
        <v>46301</v>
      </c>
      <c r="F810" t="inlineStr">
        <is>
          <t>ÖSTERGÖTLANDS LÄN</t>
        </is>
      </c>
      <c r="G810" t="inlineStr">
        <is>
          <t>FINSPÅNG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45797</v>
      </c>
      <c r="E811" s="1" t="n">
        <v>46301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7131-2025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46301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25306-2025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45800</v>
      </c>
      <c r="E813" s="1" t="n">
        <v>46301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Naturvårdsverket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25272-2025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46301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25342-2025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45800</v>
      </c>
      <c r="E815" s="1" t="n">
        <v>46301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Naturvårdsverket</t>
        </is>
      </c>
      <c r="I815" t="n">
        <v>8.199999999999999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25319-2025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46301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Naturvårdsverket</t>
        </is>
      </c>
      <c r="I816" t="n">
        <v>5.4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5129-2024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45644</v>
      </c>
      <c r="E817" s="1" t="n">
        <v>46301</v>
      </c>
      <c r="F817" t="inlineStr">
        <is>
          <t>ÖSTERGÖTLANDS LÄN</t>
        </is>
      </c>
      <c r="G817" t="inlineStr">
        <is>
          <t>FINSPÅNG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1605-2024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45428</v>
      </c>
      <c r="E818" s="1" t="n">
        <v>46301</v>
      </c>
      <c r="F818" t="inlineStr">
        <is>
          <t>ÖSTERGÖTLANDS LÄN</t>
        </is>
      </c>
      <c r="G818" t="inlineStr">
        <is>
          <t>FINSPÅNG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1637-2024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45429</v>
      </c>
      <c r="E819" s="1" t="n">
        <v>46301</v>
      </c>
      <c r="F819" t="inlineStr">
        <is>
          <t>ÖSTERGÖTLANDS LÄN</t>
        </is>
      </c>
      <c r="G819" t="inlineStr">
        <is>
          <t>FINSPÅNG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4163-2023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45250</v>
      </c>
      <c r="E820" s="1" t="n">
        <v>46301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Sveaskog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1759-2026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46188</v>
      </c>
      <c r="E821" s="1" t="n">
        <v>46301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Övriga Aktiebolag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2208-2026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46258</v>
      </c>
      <c r="E822" s="1" t="n">
        <v>46301</v>
      </c>
      <c r="F822" t="inlineStr">
        <is>
          <t>ÖSTERGÖTLANDS LÄN</t>
        </is>
      </c>
      <c r="G822" t="inlineStr">
        <is>
          <t>FINSPÅNG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2026-10-06T01:53:54Z</dcterms:created>
  <dcterms:modified xmlns:dcterms="http://purl.org/dc/terms/" xmlns:xsi="http://www.w3.org/2001/XMLSchema-instance" xsi:type="dcterms:W3CDTF">2026-10-06T01:53:55Z</dcterms:modified>
</cp:coreProperties>
</file>