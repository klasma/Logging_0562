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46293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46293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46293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46293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46293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46293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46293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46293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46293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46293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46293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46293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46293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46293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46293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46293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46293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46293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46293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46293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46293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46293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Vit vedfingersvamp</t>
        </is>
      </c>
      <c r="W56">
        <f>HYPERLINK("https://klasma.github.io/Logging_0562/artfynd/A 42366-2025 artfynd.xlsx", "A 42366-2025")</f>
        <v/>
      </c>
      <c r="X56">
        <f>HYPERLINK("https://klasma.github.io/Logging_0562/kartor/A 42366-2025 karta.png", "A 42366-2025")</f>
        <v/>
      </c>
      <c r="Y56">
        <f>HYPERLINK("https://klasma.github.io/Logging_0562/kartor_geotiff/A 42366-2025 georefererad karta.tif", "A 42366-2025")</f>
        <v/>
      </c>
      <c r="AA56">
        <f>HYPERLINK("https://klasma.github.io/Logging_0562/klagomål/A 42366-2025 FSC-klagomål.docx", "A 42366-2025")</f>
        <v/>
      </c>
      <c r="AB56">
        <f>HYPERLINK("https://klasma.github.io/Logging_0562/klagomålsmail/A 42366-2025 FSC-klagomål mail.docx", "A 42366-2025")</f>
        <v/>
      </c>
      <c r="AC56">
        <f>HYPERLINK("https://klasma.github.io/Logging_0562/tillsyn/A 42366-2025 tillsynsbegäran.docx", "A 42366-2025")</f>
        <v/>
      </c>
      <c r="AD56">
        <f>HYPERLINK("https://klasma.github.io/Logging_0562/tillsynsmail/A 42366-2025 tillsynsbegäran mail.docx", "A 42366-2025")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46293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7265-2026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46293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Övriga Aktiebolag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Havsörn</t>
        </is>
      </c>
      <c r="W58">
        <f>HYPERLINK("https://klasma.github.io/Logging_0562/artfynd/A 7265-2026 artfynd.xlsx", "A 7265-2026")</f>
        <v/>
      </c>
      <c r="X58">
        <f>HYPERLINK("https://klasma.github.io/Logging_0562/kartor/A 7265-2026 karta.png", "A 7265-2026")</f>
        <v/>
      </c>
      <c r="Y58">
        <f>HYPERLINK("https://klasma.github.io/Logging_0562/kartor_geotiff/A 7265-2026 georefererad karta.tif", "A 7265-2026")</f>
        <v/>
      </c>
      <c r="AA58">
        <f>HYPERLINK("https://klasma.github.io/Logging_0562/klagomål/A 7265-2026 FSC-klagomål.docx", "A 7265-2026")</f>
        <v/>
      </c>
      <c r="AB58">
        <f>HYPERLINK("https://klasma.github.io/Logging_0562/klagomålsmail/A 7265-2026 FSC-klagomål mail.docx", "A 7265-2026")</f>
        <v/>
      </c>
      <c r="AC58">
        <f>HYPERLINK("https://klasma.github.io/Logging_0562/tillsyn/A 7265-2026 tillsynsbegäran.docx", "A 7265-2026")</f>
        <v/>
      </c>
      <c r="AD58">
        <f>HYPERLINK("https://klasma.github.io/Logging_0562/tillsynsmail/A 7265-2026 tillsynsbegäran mail.docx", "A 7265-2026")</f>
        <v/>
      </c>
      <c r="AE58">
        <f>HYPERLINK("https://klasma.github.io/Logging_0562/fåglar/A 7265-2026 prioriterade fågelarter.docx", "A 7265-2026")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46293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46293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4644-2024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45328</v>
      </c>
      <c r="E61" s="1" t="n">
        <v>46293</v>
      </c>
      <c r="F61" t="inlineStr">
        <is>
          <t>ÖSTERGÖTLANDS LÄN</t>
        </is>
      </c>
      <c r="G61" t="inlineStr">
        <is>
          <t>FINSPÅNG</t>
        </is>
      </c>
      <c r="I61" t="n">
        <v>5.3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Kungsörn</t>
        </is>
      </c>
      <c r="W61">
        <f>HYPERLINK("https://klasma.github.io/Logging_0562/artfynd/A 4644-2024 artfynd.xlsx", "A 4644-2024")</f>
        <v/>
      </c>
      <c r="X61">
        <f>HYPERLINK("https://klasma.github.io/Logging_0562/kartor/A 4644-2024 karta.png", "A 4644-2024")</f>
        <v/>
      </c>
      <c r="Y61">
        <f>HYPERLINK("https://klasma.github.io/Logging_0562/kartor_geotiff/A 4644-2024 georefererad karta.tif", "A 4644-2024")</f>
        <v/>
      </c>
      <c r="AA61">
        <f>HYPERLINK("https://klasma.github.io/Logging_0562/klagomål/A 4644-2024 FSC-klagomål.docx", "A 4644-2024")</f>
        <v/>
      </c>
      <c r="AB61">
        <f>HYPERLINK("https://klasma.github.io/Logging_0562/klagomålsmail/A 4644-2024 FSC-klagomål mail.docx", "A 4644-2024")</f>
        <v/>
      </c>
      <c r="AC61">
        <f>HYPERLINK("https://klasma.github.io/Logging_0562/tillsyn/A 4644-2024 tillsynsbegäran.docx", "A 4644-2024")</f>
        <v/>
      </c>
      <c r="AD61">
        <f>HYPERLINK("https://klasma.github.io/Logging_0562/tillsynsmail/A 4644-2024 tillsynsbegäran mail.docx", "A 4644-2024")</f>
        <v/>
      </c>
      <c r="AE61">
        <f>HYPERLINK("https://klasma.github.io/Logging_0562/fåglar/A 4644-2024 prioriterade fågelarter.docx", "A 4644-2024")</f>
        <v/>
      </c>
    </row>
    <row r="62" ht="15" customHeight="1">
      <c r="A62" t="inlineStr">
        <is>
          <t>A 18915-2026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46293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HYPERLINK("https://klasma.github.io/Logging_0562/artfynd/A 18915-2026 artfynd.xlsx", "A 18915-2026")</f>
        <v/>
      </c>
      <c r="X62">
        <f>HYPERLINK("https://klasma.github.io/Logging_0562/kartor/A 18915-2026 karta.png", "A 18915-2026")</f>
        <v/>
      </c>
      <c r="Y62">
        <f>HYPERLINK("https://klasma.github.io/Logging_0562/kartor_geotiff/A 18915-2026 georefererad karta.tif", "A 18915-2026")</f>
        <v/>
      </c>
      <c r="AA62">
        <f>HYPERLINK("https://klasma.github.io/Logging_0562/klagomål/A 18915-2026 FSC-klagomål.docx", "A 18915-2026")</f>
        <v/>
      </c>
      <c r="AB62">
        <f>HYPERLINK("https://klasma.github.io/Logging_0562/klagomålsmail/A 18915-2026 FSC-klagomål mail.docx", "A 18915-2026")</f>
        <v/>
      </c>
      <c r="AC62">
        <f>HYPERLINK("https://klasma.github.io/Logging_0562/tillsyn/A 18915-2026 tillsynsbegäran.docx", "A 18915-2026")</f>
        <v/>
      </c>
      <c r="AD62">
        <f>HYPERLINK("https://klasma.github.io/Logging_0562/tillsynsmail/A 18915-2026 tillsynsbegäran mail.docx", "A 18915-2026")</f>
        <v/>
      </c>
      <c r="AE62">
        <f>HYPERLINK("https://klasma.github.io/Logging_0562/fåglar/A 18915-2026 prioriterade fågelarter.docx", "A 18915-2026")</f>
        <v/>
      </c>
    </row>
    <row r="63" ht="15" customHeight="1">
      <c r="A63" t="inlineStr">
        <is>
          <t>A 53673-2024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46293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HYPERLINK("https://klasma.github.io/Logging_0562/artfynd/A 53673-2024 artfynd.xlsx", "A 53673-2024")</f>
        <v/>
      </c>
      <c r="X63">
        <f>HYPERLINK("https://klasma.github.io/Logging_0562/kartor/A 53673-2024 karta.png", "A 53673-2024")</f>
        <v/>
      </c>
      <c r="Y63">
        <f>HYPERLINK("https://klasma.github.io/Logging_0562/kartor_geotiff/A 53673-2024 georefererad karta.tif", "A 53673-2024")</f>
        <v/>
      </c>
      <c r="Z63">
        <f>HYPERLINK("https://klasma.github.io/Logging_0562/knärot/A 53673-2024 karta knärot.png", "A 53673-2024")</f>
        <v/>
      </c>
      <c r="AA63">
        <f>HYPERLINK("https://klasma.github.io/Logging_0562/klagomål/A 53673-2024 FSC-klagomål.docx", "A 53673-2024")</f>
        <v/>
      </c>
      <c r="AB63">
        <f>HYPERLINK("https://klasma.github.io/Logging_0562/klagomålsmail/A 53673-2024 FSC-klagomål mail.docx", "A 53673-2024")</f>
        <v/>
      </c>
      <c r="AC63">
        <f>HYPERLINK("https://klasma.github.io/Logging_0562/tillsyn/A 53673-2024 tillsynsbegäran.docx", "A 53673-2024")</f>
        <v/>
      </c>
      <c r="AD63">
        <f>HYPERLINK("https://klasma.github.io/Logging_0562/tillsynsmail/A 53673-2024 tillsynsbegäran mail.docx", "A 53673-2024")</f>
        <v/>
      </c>
    </row>
    <row r="64" ht="15" customHeight="1">
      <c r="A64" t="inlineStr">
        <is>
          <t>A 3941-2026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46293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HYPERLINK("https://klasma.github.io/Logging_0562/artfynd/A 3941-2026 artfynd.xlsx", "A 3941-2026")</f>
        <v/>
      </c>
      <c r="X64">
        <f>HYPERLINK("https://klasma.github.io/Logging_0562/kartor/A 3941-2026 karta.png", "A 3941-2026")</f>
        <v/>
      </c>
      <c r="Y64">
        <f>HYPERLINK("https://klasma.github.io/Logging_0562/kartor_geotiff/A 3941-2026 georefererad karta.tif", "A 3941-2026")</f>
        <v/>
      </c>
      <c r="AA64">
        <f>HYPERLINK("https://klasma.github.io/Logging_0562/klagomål/A 3941-2026 FSC-klagomål.docx", "A 3941-2026")</f>
        <v/>
      </c>
      <c r="AB64">
        <f>HYPERLINK("https://klasma.github.io/Logging_0562/klagomålsmail/A 3941-2026 FSC-klagomål mail.docx", "A 3941-2026")</f>
        <v/>
      </c>
      <c r="AC64">
        <f>HYPERLINK("https://klasma.github.io/Logging_0562/tillsyn/A 3941-2026 tillsynsbegäran.docx", "A 3941-2026")</f>
        <v/>
      </c>
      <c r="AD64">
        <f>HYPERLINK("https://klasma.github.io/Logging_0562/tillsynsmail/A 3941-2026 tillsynsbegäran mail.docx", "A 3941-2026")</f>
        <v/>
      </c>
      <c r="AE64">
        <f>HYPERLINK("https://klasma.github.io/Logging_0562/fåglar/A 3941-2026 prioriterade fågelarter.docx", "A 3941-2026")</f>
        <v/>
      </c>
    </row>
    <row r="65" ht="15" customHeight="1">
      <c r="A65" t="inlineStr">
        <is>
          <t>A 22555-2024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46293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Hasselsnok</t>
        </is>
      </c>
      <c r="W65">
        <f>HYPERLINK("https://klasma.github.io/Logging_0562/artfynd/A 22555-2024 artfynd.xlsx", "A 22555-2024")</f>
        <v/>
      </c>
      <c r="X65">
        <f>HYPERLINK("https://klasma.github.io/Logging_0562/kartor/A 22555-2024 karta.png", "A 22555-2024")</f>
        <v/>
      </c>
      <c r="Y65">
        <f>HYPERLINK("https://klasma.github.io/Logging_0562/kartor_geotiff/A 22555-2024 georefererad karta.tif", "A 22555-2024")</f>
        <v/>
      </c>
      <c r="AA65">
        <f>HYPERLINK("https://klasma.github.io/Logging_0562/klagomål/A 22555-2024 FSC-klagomål.docx", "A 22555-2024")</f>
        <v/>
      </c>
      <c r="AB65">
        <f>HYPERLINK("https://klasma.github.io/Logging_0562/klagomålsmail/A 22555-2024 FSC-klagomål mail.docx", "A 22555-2024")</f>
        <v/>
      </c>
      <c r="AC65">
        <f>HYPERLINK("https://klasma.github.io/Logging_0562/tillsyn/A 22555-2024 tillsynsbegäran.docx", "A 22555-2024")</f>
        <v/>
      </c>
      <c r="AD65">
        <f>HYPERLINK("https://klasma.github.io/Logging_0562/tillsynsmail/A 22555-2024 tillsynsbegäran mail.docx", "A 22555-2024")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46293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46293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46293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6407-2023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46293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HYPERLINK("https://klasma.github.io/Logging_0562/artfynd/A 6407-2023 artfynd.xlsx", "A 6407-2023")</f>
        <v/>
      </c>
      <c r="X69">
        <f>HYPERLINK("https://klasma.github.io/Logging_0562/kartor/A 6407-2023 karta.png", "A 6407-2023")</f>
        <v/>
      </c>
      <c r="Y69">
        <f>HYPERLINK("https://klasma.github.io/Logging_0562/kartor_geotiff/A 6407-2023 georefererad karta.tif", "A 6407-2023")</f>
        <v/>
      </c>
      <c r="AA69">
        <f>HYPERLINK("https://klasma.github.io/Logging_0562/klagomål/A 6407-2023 FSC-klagomål.docx", "A 6407-2023")</f>
        <v/>
      </c>
      <c r="AB69">
        <f>HYPERLINK("https://klasma.github.io/Logging_0562/klagomålsmail/A 6407-2023 FSC-klagomål mail.docx", "A 6407-2023")</f>
        <v/>
      </c>
      <c r="AC69">
        <f>HYPERLINK("https://klasma.github.io/Logging_0562/tillsyn/A 6407-2023 tillsynsbegäran.docx", "A 6407-2023")</f>
        <v/>
      </c>
      <c r="AD69">
        <f>HYPERLINK("https://klasma.github.io/Logging_0562/tillsynsmail/A 6407-2023 tillsynsbegäran mail.docx", "A 6407-2023")</f>
        <v/>
      </c>
      <c r="AE69">
        <f>HYPERLINK("https://klasma.github.io/Logging_0562/fåglar/A 6407-2023 prioriterade fågelarter.docx", "A 6407-2023")</f>
        <v/>
      </c>
    </row>
    <row r="70" ht="15" customHeight="1">
      <c r="A70" t="inlineStr">
        <is>
          <t>A 22587-2026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46155</v>
      </c>
      <c r="E70" s="1" t="n">
        <v>46293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HYPERLINK("https://klasma.github.io/Logging_0562/artfynd/A 22587-2026 artfynd.xlsx", "A 22587-2026")</f>
        <v/>
      </c>
      <c r="X70">
        <f>HYPERLINK("https://klasma.github.io/Logging_0562/kartor/A 22587-2026 karta.png", "A 22587-2026")</f>
        <v/>
      </c>
      <c r="Y70">
        <f>HYPERLINK("https://klasma.github.io/Logging_0562/kartor_geotiff/A 22587-2026 georefererad karta.tif", "A 22587-2026")</f>
        <v/>
      </c>
      <c r="AA70">
        <f>HYPERLINK("https://klasma.github.io/Logging_0562/klagomål/A 22587-2026 FSC-klagomål.docx", "A 22587-2026")</f>
        <v/>
      </c>
      <c r="AB70">
        <f>HYPERLINK("https://klasma.github.io/Logging_0562/klagomålsmail/A 22587-2026 FSC-klagomål mail.docx", "A 22587-2026")</f>
        <v/>
      </c>
      <c r="AC70">
        <f>HYPERLINK("https://klasma.github.io/Logging_0562/tillsyn/A 22587-2026 tillsynsbegäran.docx", "A 22587-2026")</f>
        <v/>
      </c>
      <c r="AD70">
        <f>HYPERLINK("https://klasma.github.io/Logging_0562/tillsynsmail/A 22587-2026 tillsynsbegäran mail.docx", "A 22587-2026")</f>
        <v/>
      </c>
      <c r="AE70">
        <f>HYPERLINK("https://klasma.github.io/Logging_0562/fåglar/A 22587-2026 prioriterade fågelarter.docx", "A 22587-2026")</f>
        <v/>
      </c>
    </row>
    <row r="71" ht="15" customHeight="1">
      <c r="A71" t="inlineStr">
        <is>
          <t>A 34310-2025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45846</v>
      </c>
      <c r="E71" s="1" t="n">
        <v>46293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HYPERLINK("https://klasma.github.io/Logging_0562/artfynd/A 34310-2025 artfynd.xlsx", "A 34310-2025")</f>
        <v/>
      </c>
      <c r="X71">
        <f>HYPERLINK("https://klasma.github.io/Logging_0562/kartor/A 34310-2025 karta.png", "A 34310-2025")</f>
        <v/>
      </c>
      <c r="Y71">
        <f>HYPERLINK("https://klasma.github.io/Logging_0562/kartor_geotiff/A 34310-2025 georefererad karta.tif", "A 34310-2025")</f>
        <v/>
      </c>
      <c r="AA71">
        <f>HYPERLINK("https://klasma.github.io/Logging_0562/klagomål/A 34310-2025 FSC-klagomål.docx", "A 34310-2025")</f>
        <v/>
      </c>
      <c r="AB71">
        <f>HYPERLINK("https://klasma.github.io/Logging_0562/klagomålsmail/A 34310-2025 FSC-klagomål mail.docx", "A 34310-2025")</f>
        <v/>
      </c>
      <c r="AC71">
        <f>HYPERLINK("https://klasma.github.io/Logging_0562/tillsyn/A 34310-2025 tillsynsbegäran.docx", "A 34310-2025")</f>
        <v/>
      </c>
      <c r="AD71">
        <f>HYPERLINK("https://klasma.github.io/Logging_0562/tillsynsmail/A 34310-2025 tillsynsbegäran mail.docx", "A 34310-2025")</f>
        <v/>
      </c>
    </row>
    <row r="72" ht="15" customHeight="1">
      <c r="A72" t="inlineStr">
        <is>
          <t>A 34220-2025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45845</v>
      </c>
      <c r="E72" s="1" t="n">
        <v>46293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Tibast</t>
        </is>
      </c>
      <c r="W72">
        <f>HYPERLINK("https://klasma.github.io/Logging_0562/artfynd/A 34220-2025 artfynd.xlsx", "A 34220-2025")</f>
        <v/>
      </c>
      <c r="X72">
        <f>HYPERLINK("https://klasma.github.io/Logging_0562/kartor/A 34220-2025 karta.png", "A 34220-2025")</f>
        <v/>
      </c>
      <c r="Y72">
        <f>HYPERLINK("https://klasma.github.io/Logging_0562/kartor_geotiff/A 34220-2025 georefererad karta.tif", "A 34220-2025")</f>
        <v/>
      </c>
      <c r="AA72">
        <f>HYPERLINK("https://klasma.github.io/Logging_0562/klagomål/A 34220-2025 FSC-klagomål.docx", "A 34220-2025")</f>
        <v/>
      </c>
      <c r="AB72">
        <f>HYPERLINK("https://klasma.github.io/Logging_0562/klagomålsmail/A 34220-2025 FSC-klagomål mail.docx", "A 34220-2025")</f>
        <v/>
      </c>
      <c r="AC72">
        <f>HYPERLINK("https://klasma.github.io/Logging_0562/tillsyn/A 34220-2025 tillsynsbegäran.docx", "A 34220-2025")</f>
        <v/>
      </c>
      <c r="AD72">
        <f>HYPERLINK("https://klasma.github.io/Logging_0562/tillsynsmail/A 34220-2025 tillsynsbegäran mail.docx", "A 34220-2025")</f>
        <v/>
      </c>
    </row>
    <row r="73" ht="15" customHeight="1">
      <c r="A73" t="inlineStr">
        <is>
          <t>A 27456-2026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46293</v>
      </c>
      <c r="F73" t="inlineStr">
        <is>
          <t>ÖSTERGÖTLANDS LÄN</t>
        </is>
      </c>
      <c r="G73" t="inlineStr">
        <is>
          <t>FINSPÅNG</t>
        </is>
      </c>
      <c r="I73" t="n">
        <v>0.6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Tibast</t>
        </is>
      </c>
      <c r="W73">
        <f>HYPERLINK("https://klasma.github.io/Logging_0562/artfynd/A 27456-2026 artfynd.xlsx", "A 27456-2026")</f>
        <v/>
      </c>
      <c r="X73">
        <f>HYPERLINK("https://klasma.github.io/Logging_0562/kartor/A 27456-2026 karta.png", "A 27456-2026")</f>
        <v/>
      </c>
      <c r="Y73">
        <f>HYPERLINK("https://klasma.github.io/Logging_0562/kartor_geotiff/A 27456-2026 georefererad karta.tif", "A 27456-2026")</f>
        <v/>
      </c>
      <c r="AA73">
        <f>HYPERLINK("https://klasma.github.io/Logging_0562/klagomål/A 27456-2026 FSC-klagomål.docx", "A 27456-2026")</f>
        <v/>
      </c>
      <c r="AB73">
        <f>HYPERLINK("https://klasma.github.io/Logging_0562/klagomålsmail/A 27456-2026 FSC-klagomål mail.docx", "A 27456-2026")</f>
        <v/>
      </c>
      <c r="AC73">
        <f>HYPERLINK("https://klasma.github.io/Logging_0562/tillsyn/A 27456-2026 tillsynsbegäran.docx", "A 27456-2026")</f>
        <v/>
      </c>
      <c r="AD73">
        <f>HYPERLINK("https://klasma.github.io/Logging_0562/tillsynsmail/A 27456-2026 tillsynsbegäran mail.docx", "A 27456-2026")</f>
        <v/>
      </c>
    </row>
    <row r="74" ht="15" customHeight="1">
      <c r="A74" t="inlineStr">
        <is>
          <t>A 37748-2025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45880</v>
      </c>
      <c r="E74" s="1" t="n">
        <v>46293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37748-2025 artfynd.xlsx", "A 37748-2025")</f>
        <v/>
      </c>
      <c r="X74">
        <f>HYPERLINK("https://klasma.github.io/Logging_0562/kartor/A 37748-2025 karta.png", "A 37748-2025")</f>
        <v/>
      </c>
      <c r="Y74">
        <f>HYPERLINK("https://klasma.github.io/Logging_0562/kartor_geotiff/A 37748-2025 georefererad karta.tif", "A 37748-2025")</f>
        <v/>
      </c>
      <c r="AA74">
        <f>HYPERLINK("https://klasma.github.io/Logging_0562/klagomål/A 37748-2025 FSC-klagomål.docx", "A 37748-2025")</f>
        <v/>
      </c>
      <c r="AB74">
        <f>HYPERLINK("https://klasma.github.io/Logging_0562/klagomålsmail/A 37748-2025 FSC-klagomål mail.docx", "A 37748-2025")</f>
        <v/>
      </c>
      <c r="AC74">
        <f>HYPERLINK("https://klasma.github.io/Logging_0562/tillsyn/A 37748-2025 tillsynsbegäran.docx", "A 37748-2025")</f>
        <v/>
      </c>
      <c r="AD74">
        <f>HYPERLINK("https://klasma.github.io/Logging_0562/tillsynsmail/A 37748-2025 tillsynsbegäran mail.docx", "A 37748-2025")</f>
        <v/>
      </c>
    </row>
    <row r="75" ht="15" customHeight="1">
      <c r="A75" t="inlineStr">
        <is>
          <t>A 36128-2023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46293</v>
      </c>
      <c r="F75" t="inlineStr">
        <is>
          <t>ÖSTERGÖTLANDS LÄN</t>
        </is>
      </c>
      <c r="G75" t="inlineStr">
        <is>
          <t>FINSPÅNG</t>
        </is>
      </c>
      <c r="I75" t="n">
        <v>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Talltita</t>
        </is>
      </c>
      <c r="W75">
        <f>HYPERLINK("https://klasma.github.io/Logging_0562/artfynd/A 36128-2023 artfynd.xlsx", "A 36128-2023")</f>
        <v/>
      </c>
      <c r="X75">
        <f>HYPERLINK("https://klasma.github.io/Logging_0562/kartor/A 36128-2023 karta.png", "A 36128-2023")</f>
        <v/>
      </c>
      <c r="Y75">
        <f>HYPERLINK("https://klasma.github.io/Logging_0562/kartor_geotiff/A 36128-2023 georefererad karta.tif", "A 36128-2023")</f>
        <v/>
      </c>
      <c r="AA75">
        <f>HYPERLINK("https://klasma.github.io/Logging_0562/klagomål/A 36128-2023 FSC-klagomål.docx", "A 36128-2023")</f>
        <v/>
      </c>
      <c r="AB75">
        <f>HYPERLINK("https://klasma.github.io/Logging_0562/klagomålsmail/A 36128-2023 FSC-klagomål mail.docx", "A 36128-2023")</f>
        <v/>
      </c>
      <c r="AC75">
        <f>HYPERLINK("https://klasma.github.io/Logging_0562/tillsyn/A 36128-2023 tillsynsbegäran.docx", "A 36128-2023")</f>
        <v/>
      </c>
      <c r="AD75">
        <f>HYPERLINK("https://klasma.github.io/Logging_0562/tillsynsmail/A 36128-2023 tillsynsbegäran mail.docx", "A 36128-2023")</f>
        <v/>
      </c>
      <c r="AE75">
        <f>HYPERLINK("https://klasma.github.io/Logging_0562/fåglar/A 36128-2023 prioriterade fågelarter.docx", "A 36128-2023")</f>
        <v/>
      </c>
    </row>
    <row r="76" ht="15" customHeight="1">
      <c r="A76" t="inlineStr">
        <is>
          <t>A 34885-2026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46258</v>
      </c>
      <c r="E76" s="1" t="n">
        <v>46293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4.2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Havsörn</t>
        </is>
      </c>
      <c r="W76">
        <f>HYPERLINK("https://klasma.github.io/Logging_0562/artfynd/A 34885-2026 artfynd.xlsx", "A 34885-2026")</f>
        <v/>
      </c>
      <c r="X76">
        <f>HYPERLINK("https://klasma.github.io/Logging_0562/kartor/A 34885-2026 karta.png", "A 34885-2026")</f>
        <v/>
      </c>
      <c r="Y76">
        <f>HYPERLINK("https://klasma.github.io/Logging_0562/kartor_geotiff/A 34885-2026 georefererad karta.tif", "A 34885-2026")</f>
        <v/>
      </c>
      <c r="AA76">
        <f>HYPERLINK("https://klasma.github.io/Logging_0562/klagomål/A 34885-2026 FSC-klagomål.docx", "A 34885-2026")</f>
        <v/>
      </c>
      <c r="AB76">
        <f>HYPERLINK("https://klasma.github.io/Logging_0562/klagomålsmail/A 34885-2026 FSC-klagomål mail.docx", "A 34885-2026")</f>
        <v/>
      </c>
      <c r="AC76">
        <f>HYPERLINK("https://klasma.github.io/Logging_0562/tillsyn/A 34885-2026 tillsynsbegäran.docx", "A 34885-2026")</f>
        <v/>
      </c>
      <c r="AD76">
        <f>HYPERLINK("https://klasma.github.io/Logging_0562/tillsynsmail/A 34885-2026 tillsynsbegäran mail.docx", "A 34885-2026")</f>
        <v/>
      </c>
      <c r="AE76">
        <f>HYPERLINK("https://klasma.github.io/Logging_0562/fåglar/A 34885-2026 prioriterade fågelarter.docx", "A 34885-2026")</f>
        <v/>
      </c>
    </row>
    <row r="77" ht="15" customHeight="1">
      <c r="A77" t="inlineStr">
        <is>
          <t>A 34886-2026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46258</v>
      </c>
      <c r="E77" s="1" t="n">
        <v>46293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Mattlummer</t>
        </is>
      </c>
      <c r="W77">
        <f>HYPERLINK("https://klasma.github.io/Logging_0562/artfynd/A 34886-2026 artfynd.xlsx", "A 34886-2026")</f>
        <v/>
      </c>
      <c r="X77">
        <f>HYPERLINK("https://klasma.github.io/Logging_0562/kartor/A 34886-2026 karta.png", "A 34886-2026")</f>
        <v/>
      </c>
      <c r="Y77">
        <f>HYPERLINK("https://klasma.github.io/Logging_0562/kartor_geotiff/A 34886-2026 georefererad karta.tif", "A 34886-2026")</f>
        <v/>
      </c>
      <c r="AA77">
        <f>HYPERLINK("https://klasma.github.io/Logging_0562/klagomål/A 34886-2026 FSC-klagomål.docx", "A 34886-2026")</f>
        <v/>
      </c>
      <c r="AB77">
        <f>HYPERLINK("https://klasma.github.io/Logging_0562/klagomålsmail/A 34886-2026 FSC-klagomål mail.docx", "A 34886-2026")</f>
        <v/>
      </c>
      <c r="AC77">
        <f>HYPERLINK("https://klasma.github.io/Logging_0562/tillsyn/A 34886-2026 tillsynsbegäran.docx", "A 34886-2026")</f>
        <v/>
      </c>
      <c r="AD77">
        <f>HYPERLINK("https://klasma.github.io/Logging_0562/tillsynsmail/A 34886-2026 tillsynsbegäran mail.docx", "A 34886-2026")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46293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HYPERLINK("https://klasma.github.io/Logging_0562/artfynd/A 25942-2026 artfynd.xlsx", "A 25942-2026")</f>
        <v/>
      </c>
      <c r="X78">
        <f>HYPERLINK("https://klasma.github.io/Logging_0562/kartor/A 25942-2026 karta.png", "A 25942-2026")</f>
        <v/>
      </c>
      <c r="Y78">
        <f>HYPERLINK("https://klasma.github.io/Logging_0562/kartor_geotiff/A 25942-2026 georefererad karta.tif", "A 25942-2026")</f>
        <v/>
      </c>
      <c r="AA78">
        <f>HYPERLINK("https://klasma.github.io/Logging_0562/klagomål/A 25942-2026 FSC-klagomål.docx", "A 25942-2026")</f>
        <v/>
      </c>
      <c r="AB78">
        <f>HYPERLINK("https://klasma.github.io/Logging_0562/klagomålsmail/A 25942-2026 FSC-klagomål mail.docx", "A 25942-2026")</f>
        <v/>
      </c>
      <c r="AC78">
        <f>HYPERLINK("https://klasma.github.io/Logging_0562/tillsyn/A 25942-2026 tillsynsbegäran.docx", "A 25942-2026")</f>
        <v/>
      </c>
      <c r="AD78">
        <f>HYPERLINK("https://klasma.github.io/Logging_0562/tillsynsmail/A 25942-2026 tillsynsbegäran mail.docx", "A 25942-2026")</f>
        <v/>
      </c>
    </row>
    <row r="79" ht="15" customHeight="1">
      <c r="A79" t="inlineStr">
        <is>
          <t>A 53265-2023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46293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HYPERLINK("https://klasma.github.io/Logging_0562/artfynd/A 53265-2023 artfynd.xlsx", "A 53265-2023")</f>
        <v/>
      </c>
      <c r="X79">
        <f>HYPERLINK("https://klasma.github.io/Logging_0562/kartor/A 53265-2023 karta.png", "A 53265-2023")</f>
        <v/>
      </c>
      <c r="Y79">
        <f>HYPERLINK("https://klasma.github.io/Logging_0562/kartor_geotiff/A 53265-2023 georefererad karta.tif", "A 53265-2023")</f>
        <v/>
      </c>
      <c r="AA79">
        <f>HYPERLINK("https://klasma.github.io/Logging_0562/klagomål/A 53265-2023 FSC-klagomål.docx", "A 53265-2023")</f>
        <v/>
      </c>
      <c r="AB79">
        <f>HYPERLINK("https://klasma.github.io/Logging_0562/klagomålsmail/A 53265-2023 FSC-klagomål mail.docx", "A 53265-2023")</f>
        <v/>
      </c>
      <c r="AC79">
        <f>HYPERLINK("https://klasma.github.io/Logging_0562/tillsyn/A 53265-2023 tillsynsbegäran.docx", "A 53265-2023")</f>
        <v/>
      </c>
      <c r="AD79">
        <f>HYPERLINK("https://klasma.github.io/Logging_0562/tillsynsmail/A 53265-2023 tillsynsbegäran mail.docx", "A 53265-2023")</f>
        <v/>
      </c>
    </row>
    <row r="80" ht="15" customHeight="1">
      <c r="A80" t="inlineStr">
        <is>
          <t>A 1177-2024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46293</v>
      </c>
      <c r="F80" t="inlineStr">
        <is>
          <t>ÖSTERGÖTLANDS LÄN</t>
        </is>
      </c>
      <c r="G80" t="inlineStr">
        <is>
          <t>FINSPÅNG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HYPERLINK("https://klasma.github.io/Logging_0562/artfynd/A 1177-2024 artfynd.xlsx", "A 1177-2024")</f>
        <v/>
      </c>
      <c r="X80">
        <f>HYPERLINK("https://klasma.github.io/Logging_0562/kartor/A 1177-2024 karta.png", "A 1177-2024")</f>
        <v/>
      </c>
      <c r="Y80">
        <f>HYPERLINK("https://klasma.github.io/Logging_0562/kartor_geotiff/A 1177-2024 georefererad karta.tif", "A 1177-2024")</f>
        <v/>
      </c>
      <c r="Z80">
        <f>HYPERLINK("https://klasma.github.io/Logging_0562/knärot/A 1177-2024 karta knärot.png", "A 1177-2024")</f>
        <v/>
      </c>
      <c r="AA80">
        <f>HYPERLINK("https://klasma.github.io/Logging_0562/klagomål/A 1177-2024 FSC-klagomål.docx", "A 1177-2024")</f>
        <v/>
      </c>
      <c r="AB80">
        <f>HYPERLINK("https://klasma.github.io/Logging_0562/klagomålsmail/A 1177-2024 FSC-klagomål mail.docx", "A 1177-2024")</f>
        <v/>
      </c>
      <c r="AC80">
        <f>HYPERLINK("https://klasma.github.io/Logging_0562/tillsyn/A 1177-2024 tillsynsbegäran.docx", "A 1177-2024")</f>
        <v/>
      </c>
      <c r="AD80">
        <f>HYPERLINK("https://klasma.github.io/Logging_0562/tillsynsmail/A 1177-2024 tillsynsbegäran mail.docx", "A 1177-2024")</f>
        <v/>
      </c>
    </row>
    <row r="81" ht="15" customHeight="1">
      <c r="A81" t="inlineStr">
        <is>
          <t>A 40385-2024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45555</v>
      </c>
      <c r="E81" s="1" t="n">
        <v>46293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HYPERLINK("https://klasma.github.io/Logging_0562/artfynd/A 40385-2024 artfynd.xlsx", "A 40385-2024")</f>
        <v/>
      </c>
      <c r="X81">
        <f>HYPERLINK("https://klasma.github.io/Logging_0562/kartor/A 40385-2024 karta.png", "A 40385-2024")</f>
        <v/>
      </c>
      <c r="Y81">
        <f>HYPERLINK("https://klasma.github.io/Logging_0562/kartor_geotiff/A 40385-2024 georefererad karta.tif", "A 40385-2024")</f>
        <v/>
      </c>
      <c r="AA81">
        <f>HYPERLINK("https://klasma.github.io/Logging_0562/klagomål/A 40385-2024 FSC-klagomål.docx", "A 40385-2024")</f>
        <v/>
      </c>
      <c r="AB81">
        <f>HYPERLINK("https://klasma.github.io/Logging_0562/klagomålsmail/A 40385-2024 FSC-klagomål mail.docx", "A 40385-2024")</f>
        <v/>
      </c>
      <c r="AC81">
        <f>HYPERLINK("https://klasma.github.io/Logging_0562/tillsyn/A 40385-2024 tillsynsbegäran.docx", "A 40385-2024")</f>
        <v/>
      </c>
      <c r="AD81">
        <f>HYPERLINK("https://klasma.github.io/Logging_0562/tillsynsmail/A 40385-2024 tillsynsbegäran mail.docx", "A 40385-2024")</f>
        <v/>
      </c>
      <c r="AE81">
        <f>HYPERLINK("https://klasma.github.io/Logging_0562/fåglar/A 40385-2024 prioriterade fågelarter.docx", "A 40385-2024")</f>
        <v/>
      </c>
    </row>
    <row r="82" ht="15" customHeight="1">
      <c r="A82" t="inlineStr">
        <is>
          <t>A 61695-2021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44501</v>
      </c>
      <c r="E82" s="1" t="n">
        <v>46293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Kornknutmossa</t>
        </is>
      </c>
      <c r="W82">
        <f>HYPERLINK("https://klasma.github.io/Logging_0562/artfynd/A 61695-2021 artfynd.xlsx", "A 61695-2021")</f>
        <v/>
      </c>
      <c r="X82">
        <f>HYPERLINK("https://klasma.github.io/Logging_0562/kartor/A 61695-2021 karta.png", "A 61695-2021")</f>
        <v/>
      </c>
      <c r="Y82">
        <f>HYPERLINK("https://klasma.github.io/Logging_0562/kartor_geotiff/A 61695-2021 georefererad karta.tif", "A 61695-2021")</f>
        <v/>
      </c>
      <c r="AA82">
        <f>HYPERLINK("https://klasma.github.io/Logging_0562/klagomål/A 61695-2021 FSC-klagomål.docx", "A 61695-2021")</f>
        <v/>
      </c>
      <c r="AB82">
        <f>HYPERLINK("https://klasma.github.io/Logging_0562/klagomålsmail/A 61695-2021 FSC-klagomål mail.docx", "A 61695-2021")</f>
        <v/>
      </c>
      <c r="AC82">
        <f>HYPERLINK("https://klasma.github.io/Logging_0562/tillsyn/A 61695-2021 tillsynsbegäran.docx", "A 61695-2021")</f>
        <v/>
      </c>
      <c r="AD82">
        <f>HYPERLINK("https://klasma.github.io/Logging_0562/tillsynsmail/A 61695-2021 tillsynsbegäran mail.docx", "A 61695-2021")</f>
        <v/>
      </c>
    </row>
    <row r="83" ht="15" customHeight="1">
      <c r="A83" t="inlineStr">
        <is>
          <t>A 663-2023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44930</v>
      </c>
      <c r="E83" s="1" t="n">
        <v>46293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663-2023 artfynd.xlsx", "A 663-2023")</f>
        <v/>
      </c>
      <c r="X83">
        <f>HYPERLINK("https://klasma.github.io/Logging_0562/kartor/A 663-2023 karta.png", "A 663-2023")</f>
        <v/>
      </c>
      <c r="Y83">
        <f>HYPERLINK("https://klasma.github.io/Logging_0562/kartor_geotiff/A 663-2023 georefererad karta.tif", "A 663-2023")</f>
        <v/>
      </c>
      <c r="AA83">
        <f>HYPERLINK("https://klasma.github.io/Logging_0562/klagomål/A 663-2023 FSC-klagomål.docx", "A 663-2023")</f>
        <v/>
      </c>
      <c r="AB83">
        <f>HYPERLINK("https://klasma.github.io/Logging_0562/klagomålsmail/A 663-2023 FSC-klagomål mail.docx", "A 663-2023")</f>
        <v/>
      </c>
      <c r="AC83">
        <f>HYPERLINK("https://klasma.github.io/Logging_0562/tillsyn/A 663-2023 tillsynsbegäran.docx", "A 663-2023")</f>
        <v/>
      </c>
      <c r="AD83">
        <f>HYPERLINK("https://klasma.github.io/Logging_0562/tillsynsmail/A 663-2023 tillsynsbegäran mail.docx", "A 663-2023")</f>
        <v/>
      </c>
    </row>
    <row r="84" ht="15" customHeight="1">
      <c r="A84" t="inlineStr">
        <is>
          <t>A 59061-2024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46293</v>
      </c>
      <c r="F84" t="inlineStr">
        <is>
          <t>ÖSTERGÖTLANDS LÄN</t>
        </is>
      </c>
      <c r="G84" t="inlineStr">
        <is>
          <t>FINSPÅNG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Ängsnycklar</t>
        </is>
      </c>
      <c r="W84">
        <f>HYPERLINK("https://klasma.github.io/Logging_0562/artfynd/A 59061-2024 artfynd.xlsx", "A 59061-2024")</f>
        <v/>
      </c>
      <c r="X84">
        <f>HYPERLINK("https://klasma.github.io/Logging_0562/kartor/A 59061-2024 karta.png", "A 59061-2024")</f>
        <v/>
      </c>
      <c r="Y84">
        <f>HYPERLINK("https://klasma.github.io/Logging_0562/kartor_geotiff/A 59061-2024 georefererad karta.tif", "A 59061-2024")</f>
        <v/>
      </c>
      <c r="AA84">
        <f>HYPERLINK("https://klasma.github.io/Logging_0562/klagomål/A 59061-2024 FSC-klagomål.docx", "A 59061-2024")</f>
        <v/>
      </c>
      <c r="AB84">
        <f>HYPERLINK("https://klasma.github.io/Logging_0562/klagomålsmail/A 59061-2024 FSC-klagomål mail.docx", "A 59061-2024")</f>
        <v/>
      </c>
      <c r="AC84">
        <f>HYPERLINK("https://klasma.github.io/Logging_0562/tillsyn/A 59061-2024 tillsynsbegäran.docx", "A 59061-2024")</f>
        <v/>
      </c>
      <c r="AD84">
        <f>HYPERLINK("https://klasma.github.io/Logging_0562/tillsynsmail/A 59061-2024 tillsynsbegäran mail.docx", "A 59061-2024")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46293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46293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46293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46293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46293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46293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46293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46293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46293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46293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46293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44864</v>
      </c>
      <c r="E97" s="1" t="n">
        <v>46293</v>
      </c>
      <c r="F97" t="inlineStr">
        <is>
          <t>ÖSTERGÖTLANDS LÄN</t>
        </is>
      </c>
      <c r="G97" t="inlineStr">
        <is>
          <t>FINSPÅNG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46293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46293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46293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46293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46293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46293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46293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46293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46293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46293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46293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46293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46293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46293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46293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46293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46293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46293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46293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46293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46293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46293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46293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46293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46293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46293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46293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46293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46293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46293</v>
      </c>
      <c r="F128" t="inlineStr">
        <is>
          <t>ÖSTERGÖTLANDS LÄN</t>
        </is>
      </c>
      <c r="G128" t="inlineStr">
        <is>
          <t>FINSPÅNG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46293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46293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46293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46293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46293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46293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46293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46293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46293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46293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46293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46293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46293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46293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46293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46293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53741-2021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46293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46293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46293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46293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46293</v>
      </c>
      <c r="F149" t="inlineStr">
        <is>
          <t>ÖSTERGÖTLANDS LÄN</t>
        </is>
      </c>
      <c r="G149" t="inlineStr">
        <is>
          <t>FINSPÅNG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46293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46293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46293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46293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46293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46293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46293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46293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46293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46293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46293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46293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46293</v>
      </c>
      <c r="F162" t="inlineStr">
        <is>
          <t>ÖSTERGÖTLANDS LÄN</t>
        </is>
      </c>
      <c r="G162" t="inlineStr">
        <is>
          <t>FINSPÅNG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46293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44630</v>
      </c>
      <c r="E164" s="1" t="n">
        <v>46293</v>
      </c>
      <c r="F164" t="inlineStr">
        <is>
          <t>ÖSTERGÖTLANDS LÄN</t>
        </is>
      </c>
      <c r="G164" t="inlineStr">
        <is>
          <t>FINSPÅNG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46293</v>
      </c>
      <c r="F165" t="inlineStr">
        <is>
          <t>ÖSTERGÖTLANDS LÄN</t>
        </is>
      </c>
      <c r="G165" t="inlineStr">
        <is>
          <t>FINSPÅNG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46293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46293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46293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46293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46293</v>
      </c>
      <c r="F170" t="inlineStr">
        <is>
          <t>ÖSTERGÖTLANDS LÄN</t>
        </is>
      </c>
      <c r="G170" t="inlineStr">
        <is>
          <t>FINSPÅNG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46293</v>
      </c>
      <c r="F171" t="inlineStr">
        <is>
          <t>ÖSTERGÖTLANDS LÄN</t>
        </is>
      </c>
      <c r="G171" t="inlineStr">
        <is>
          <t>FINSPÅNG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46293</v>
      </c>
      <c r="F172" t="inlineStr">
        <is>
          <t>ÖSTERGÖTLANDS LÄN</t>
        </is>
      </c>
      <c r="G172" t="inlineStr">
        <is>
          <t>FINSPÅNG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46293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46293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46293</v>
      </c>
      <c r="F175" t="inlineStr">
        <is>
          <t>ÖSTERGÖTLANDS LÄN</t>
        </is>
      </c>
      <c r="G175" t="inlineStr">
        <is>
          <t>FINSPÅNG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44713</v>
      </c>
      <c r="E176" s="1" t="n">
        <v>46293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46293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44468</v>
      </c>
      <c r="E178" s="1" t="n">
        <v>46293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56883-2021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44481</v>
      </c>
      <c r="E179" s="1" t="n">
        <v>46293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69994-2021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46293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46293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46293</v>
      </c>
      <c r="F182" t="inlineStr">
        <is>
          <t>ÖSTERGÖTLANDS LÄN</t>
        </is>
      </c>
      <c r="G182" t="inlineStr">
        <is>
          <t>FINSPÅNG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46293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44564</v>
      </c>
      <c r="E184" s="1" t="n">
        <v>46293</v>
      </c>
      <c r="F184" t="inlineStr">
        <is>
          <t>ÖSTERGÖTLANDS LÄN</t>
        </is>
      </c>
      <c r="G184" t="inlineStr">
        <is>
          <t>FINSPÅNG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44642</v>
      </c>
      <c r="E185" s="1" t="n">
        <v>46293</v>
      </c>
      <c r="F185" t="inlineStr">
        <is>
          <t>ÖSTERGÖTLANDS LÄN</t>
        </is>
      </c>
      <c r="G185" t="inlineStr">
        <is>
          <t>FINSPÅNG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46293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46293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44754</v>
      </c>
      <c r="E188" s="1" t="n">
        <v>46293</v>
      </c>
      <c r="F188" t="inlineStr">
        <is>
          <t>ÖSTERGÖTLANDS LÄN</t>
        </is>
      </c>
      <c r="G188" t="inlineStr">
        <is>
          <t>FINSPÅNG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45042</v>
      </c>
      <c r="E189" s="1" t="n">
        <v>46293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46293</v>
      </c>
      <c r="F190" t="inlineStr">
        <is>
          <t>ÖSTERGÖTLANDS LÄN</t>
        </is>
      </c>
      <c r="G190" t="inlineStr">
        <is>
          <t>FINSPÅNG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44778</v>
      </c>
      <c r="E191" s="1" t="n">
        <v>46293</v>
      </c>
      <c r="F191" t="inlineStr">
        <is>
          <t>ÖSTERGÖTLANDS LÄN</t>
        </is>
      </c>
      <c r="G191" t="inlineStr">
        <is>
          <t>FINSPÅNG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44802</v>
      </c>
      <c r="E192" s="1" t="n">
        <v>46293</v>
      </c>
      <c r="F192" t="inlineStr">
        <is>
          <t>ÖSTERGÖTLANDS LÄN</t>
        </is>
      </c>
      <c r="G192" t="inlineStr">
        <is>
          <t>FINSPÅNG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43221-2022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44833</v>
      </c>
      <c r="E193" s="1" t="n">
        <v>46293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Övriga Aktiebolag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46293</v>
      </c>
      <c r="F194" t="inlineStr">
        <is>
          <t>ÖSTERGÖTLANDS LÄN</t>
        </is>
      </c>
      <c r="G194" t="inlineStr">
        <is>
          <t>FINSPÅNG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36406-2024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45535</v>
      </c>
      <c r="E195" s="1" t="n">
        <v>46293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44770</v>
      </c>
      <c r="E196" s="1" t="n">
        <v>46293</v>
      </c>
      <c r="F196" t="inlineStr">
        <is>
          <t>ÖSTERGÖTLANDS LÄN</t>
        </is>
      </c>
      <c r="G196" t="inlineStr">
        <is>
          <t>FINSPÅNG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45374</v>
      </c>
      <c r="E197" s="1" t="n">
        <v>46293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Kyrkan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46293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46293</v>
      </c>
      <c r="F199" t="inlineStr">
        <is>
          <t>ÖSTERGÖTLANDS LÄN</t>
        </is>
      </c>
      <c r="G199" t="inlineStr">
        <is>
          <t>FINSPÅNG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45618</v>
      </c>
      <c r="E200" s="1" t="n">
        <v>46293</v>
      </c>
      <c r="F200" t="inlineStr">
        <is>
          <t>ÖSTERGÖTLANDS LÄN</t>
        </is>
      </c>
      <c r="G200" t="inlineStr">
        <is>
          <t>FINSPÅNG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46293</v>
      </c>
      <c r="F201" t="inlineStr">
        <is>
          <t>ÖSTERGÖTLANDS LÄN</t>
        </is>
      </c>
      <c r="G201" t="inlineStr">
        <is>
          <t>FINSPÅNG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46293</v>
      </c>
      <c r="F202" t="inlineStr">
        <is>
          <t>ÖSTERGÖTLANDS LÄN</t>
        </is>
      </c>
      <c r="G202" t="inlineStr">
        <is>
          <t>FINSPÅNG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46293</v>
      </c>
      <c r="F203" t="inlineStr">
        <is>
          <t>ÖSTERGÖTLANDS LÄN</t>
        </is>
      </c>
      <c r="G203" t="inlineStr">
        <is>
          <t>FINSPÅNG</t>
        </is>
      </c>
      <c r="I203" t="n">
        <v>16.6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46293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45357</v>
      </c>
      <c r="E206" s="1" t="n">
        <v>46293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46293</v>
      </c>
      <c r="F207" t="inlineStr">
        <is>
          <t>ÖSTERGÖTLANDS LÄN</t>
        </is>
      </c>
      <c r="G207" t="inlineStr">
        <is>
          <t>FINSPÅNG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46293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Naturvårdsverket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46293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Naturvårdsverket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46293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46293</v>
      </c>
      <c r="F211" t="inlineStr">
        <is>
          <t>ÖSTERGÖTLANDS LÄN</t>
        </is>
      </c>
      <c r="G211" t="inlineStr">
        <is>
          <t>FINSPÅNG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46293</v>
      </c>
      <c r="F212" t="inlineStr">
        <is>
          <t>ÖSTERGÖTLANDS LÄN</t>
        </is>
      </c>
      <c r="G212" t="inlineStr">
        <is>
          <t>FINSPÅNG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45447</v>
      </c>
      <c r="E213" s="1" t="n">
        <v>46293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46293</v>
      </c>
      <c r="F214" t="inlineStr">
        <is>
          <t>ÖSTERGÖTLANDS LÄN</t>
        </is>
      </c>
      <c r="G214" t="inlineStr">
        <is>
          <t>FINSPÅNG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10184-2023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44986</v>
      </c>
      <c r="E215" s="1" t="n">
        <v>46293</v>
      </c>
      <c r="F215" t="inlineStr">
        <is>
          <t>ÖSTERGÖTLANDS LÄN</t>
        </is>
      </c>
      <c r="G215" t="inlineStr">
        <is>
          <t>FINSPÅNG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45442</v>
      </c>
      <c r="E216" s="1" t="n">
        <v>46293</v>
      </c>
      <c r="F216" t="inlineStr">
        <is>
          <t>ÖSTERGÖTLANDS LÄN</t>
        </is>
      </c>
      <c r="G216" t="inlineStr">
        <is>
          <t>FINSPÅNG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46293</v>
      </c>
      <c r="F217" t="inlineStr">
        <is>
          <t>ÖSTERGÖTLANDS LÄN</t>
        </is>
      </c>
      <c r="G217" t="inlineStr">
        <is>
          <t>FINSPÅNG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46293</v>
      </c>
      <c r="F218" t="inlineStr">
        <is>
          <t>ÖSTERGÖTLANDS LÄN</t>
        </is>
      </c>
      <c r="G218" t="inlineStr">
        <is>
          <t>FINSPÅNG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46293</v>
      </c>
      <c r="F219" t="inlineStr">
        <is>
          <t>ÖSTERGÖTLANDS LÄN</t>
        </is>
      </c>
      <c r="G219" t="inlineStr">
        <is>
          <t>FINSPÅNG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46293</v>
      </c>
      <c r="F220" t="inlineStr">
        <is>
          <t>ÖSTERGÖTLANDS LÄN</t>
        </is>
      </c>
      <c r="G220" t="inlineStr">
        <is>
          <t>FINSPÅNG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46293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46293</v>
      </c>
      <c r="F222" t="inlineStr">
        <is>
          <t>ÖSTERGÖTLANDS LÄN</t>
        </is>
      </c>
      <c r="G222" t="inlineStr">
        <is>
          <t>FINSPÅNG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46293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44891</v>
      </c>
      <c r="E224" s="1" t="n">
        <v>46293</v>
      </c>
      <c r="F224" t="inlineStr">
        <is>
          <t>ÖSTERGÖTLANDS LÄN</t>
        </is>
      </c>
      <c r="G224" t="inlineStr">
        <is>
          <t>FINSPÅNG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45551</v>
      </c>
      <c r="E225" s="1" t="n">
        <v>46293</v>
      </c>
      <c r="F225" t="inlineStr">
        <is>
          <t>ÖSTERGÖTLANDS LÄN</t>
        </is>
      </c>
      <c r="G225" t="inlineStr">
        <is>
          <t>FINSPÅNG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46293</v>
      </c>
      <c r="F226" t="inlineStr">
        <is>
          <t>ÖSTERGÖTLANDS LÄN</t>
        </is>
      </c>
      <c r="G226" t="inlineStr">
        <is>
          <t>FINSPÅNG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45095</v>
      </c>
      <c r="E227" s="1" t="n">
        <v>46293</v>
      </c>
      <c r="F227" t="inlineStr">
        <is>
          <t>ÖSTERGÖTLANDS LÄN</t>
        </is>
      </c>
      <c r="G227" t="inlineStr">
        <is>
          <t>FINSPÅNG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46293</v>
      </c>
      <c r="F228" t="inlineStr">
        <is>
          <t>ÖSTERGÖTLANDS LÄN</t>
        </is>
      </c>
      <c r="G228" t="inlineStr">
        <is>
          <t>FINSPÅNG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45796</v>
      </c>
      <c r="E229" s="1" t="n">
        <v>46293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Naturvårdsverket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45796</v>
      </c>
      <c r="E230" s="1" t="n">
        <v>46293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Naturvårdsverket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45853</v>
      </c>
      <c r="E231" s="1" t="n">
        <v>46293</v>
      </c>
      <c r="F231" t="inlineStr">
        <is>
          <t>ÖSTERGÖTLANDS LÄN</t>
        </is>
      </c>
      <c r="G231" t="inlineStr">
        <is>
          <t>FINSPÅNG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46293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46293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44860</v>
      </c>
      <c r="E234" s="1" t="n">
        <v>46293</v>
      </c>
      <c r="F234" t="inlineStr">
        <is>
          <t>ÖSTERGÖTLANDS LÄN</t>
        </is>
      </c>
      <c r="G234" t="inlineStr">
        <is>
          <t>FINSPÅNG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46293</v>
      </c>
      <c r="F235" t="inlineStr">
        <is>
          <t>ÖSTERGÖTLANDS LÄN</t>
        </is>
      </c>
      <c r="G235" t="inlineStr">
        <is>
          <t>FINSPÅNG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46293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46293</v>
      </c>
      <c r="F237" t="inlineStr">
        <is>
          <t>ÖSTERGÖTLANDS LÄN</t>
        </is>
      </c>
      <c r="G237" t="inlineStr">
        <is>
          <t>FINSPÅNG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55812-2021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44476</v>
      </c>
      <c r="E238" s="1" t="n">
        <v>46293</v>
      </c>
      <c r="F238" t="inlineStr">
        <is>
          <t>ÖSTERGÖTLANDS LÄN</t>
        </is>
      </c>
      <c r="G238" t="inlineStr">
        <is>
          <t>FINSPÅNG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46293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Övriga Aktiebolag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24310-2025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45797</v>
      </c>
      <c r="E240" s="1" t="n">
        <v>46293</v>
      </c>
      <c r="F240" t="inlineStr">
        <is>
          <t>ÖSTERGÖTLANDS LÄN</t>
        </is>
      </c>
      <c r="G240" t="inlineStr">
        <is>
          <t>FINSPÅNG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24328-2025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45797</v>
      </c>
      <c r="E241" s="1" t="n">
        <v>46293</v>
      </c>
      <c r="F241" t="inlineStr">
        <is>
          <t>ÖSTERGÖTLANDS LÄN</t>
        </is>
      </c>
      <c r="G241" t="inlineStr">
        <is>
          <t>FINSPÅNG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46293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46293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Övriga Aktiebolag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46293</v>
      </c>
      <c r="F244" t="inlineStr">
        <is>
          <t>ÖSTERGÖTLANDS LÄN</t>
        </is>
      </c>
      <c r="G244" t="inlineStr">
        <is>
          <t>FINSPÅNG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46293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46293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46293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46293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46293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46293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46293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45800</v>
      </c>
      <c r="E252" s="1" t="n">
        <v>46293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Naturvårdsverket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46293</v>
      </c>
      <c r="F253" t="inlineStr">
        <is>
          <t>ÖSTERGÖTLANDS LÄN</t>
        </is>
      </c>
      <c r="G253" t="inlineStr">
        <is>
          <t>FINSPÅNG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46293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46293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45428</v>
      </c>
      <c r="E256" s="1" t="n">
        <v>46293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46293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46293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45407-2022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44844</v>
      </c>
      <c r="E259" s="1" t="n">
        <v>46293</v>
      </c>
      <c r="F259" t="inlineStr">
        <is>
          <t>ÖSTERGÖTLANDS LÄN</t>
        </is>
      </c>
      <c r="G259" t="inlineStr">
        <is>
          <t>FINSPÅNG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44844</v>
      </c>
      <c r="E260" s="1" t="n">
        <v>46293</v>
      </c>
      <c r="F260" t="inlineStr">
        <is>
          <t>ÖSTERGÖTLANDS LÄN</t>
        </is>
      </c>
      <c r="G260" t="inlineStr">
        <is>
          <t>FINSPÅNG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50542-2022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46293</v>
      </c>
      <c r="F261" t="inlineStr">
        <is>
          <t>ÖSTERGÖTLANDS LÄN</t>
        </is>
      </c>
      <c r="G261" t="inlineStr">
        <is>
          <t>FINSPÅNG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44840</v>
      </c>
      <c r="E262" s="1" t="n">
        <v>46293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45891</v>
      </c>
      <c r="E263" s="1" t="n">
        <v>46293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46293</v>
      </c>
      <c r="F264" t="inlineStr">
        <is>
          <t>ÖSTERGÖTLANDS LÄN</t>
        </is>
      </c>
      <c r="G264" t="inlineStr">
        <is>
          <t>FINSPÅNG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46293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Allmännings- och besparingsskogar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44656</v>
      </c>
      <c r="E266" s="1" t="n">
        <v>46293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46293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46293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46040</v>
      </c>
      <c r="E269" s="1" t="n">
        <v>46293</v>
      </c>
      <c r="F269" t="inlineStr">
        <is>
          <t>ÖSTERGÖTLANDS LÄN</t>
        </is>
      </c>
      <c r="G269" t="inlineStr">
        <is>
          <t>FINSPÅNG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46293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Naturvårdsverket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46293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40472-2025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46293</v>
      </c>
      <c r="F272" t="inlineStr">
        <is>
          <t>ÖSTERGÖTLANDS LÄN</t>
        </is>
      </c>
      <c r="G272" t="inlineStr">
        <is>
          <t>FINSPÅNG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46293</v>
      </c>
      <c r="F273" t="inlineStr">
        <is>
          <t>ÖSTERGÖTLANDS LÄN</t>
        </is>
      </c>
      <c r="G273" t="inlineStr">
        <is>
          <t>FINSPÅNG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46293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46293</v>
      </c>
      <c r="F275" t="inlineStr">
        <is>
          <t>ÖSTERGÖTLANDS LÄN</t>
        </is>
      </c>
      <c r="G275" t="inlineStr">
        <is>
          <t>FINSPÅNG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46293</v>
      </c>
      <c r="F276" t="inlineStr">
        <is>
          <t>ÖSTERGÖTLANDS LÄN</t>
        </is>
      </c>
      <c r="G276" t="inlineStr">
        <is>
          <t>FINSPÅNG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46293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46293</v>
      </c>
      <c r="F278" t="inlineStr">
        <is>
          <t>ÖSTERGÖTLANDS LÄN</t>
        </is>
      </c>
      <c r="G278" t="inlineStr">
        <is>
          <t>FINSPÅNG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46293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46048</v>
      </c>
      <c r="E280" s="1" t="n">
        <v>46293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46293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46293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45642</v>
      </c>
      <c r="E283" s="1" t="n">
        <v>46293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45903</v>
      </c>
      <c r="E284" s="1" t="n">
        <v>46293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46293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46293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46293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46293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46293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46293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46293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46293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Naturvårdsverket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45903</v>
      </c>
      <c r="E293" s="1" t="n">
        <v>46293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46293</v>
      </c>
      <c r="F294" t="inlineStr">
        <is>
          <t>ÖSTERGÖTLANDS LÄN</t>
        </is>
      </c>
      <c r="G294" t="inlineStr">
        <is>
          <t>FINSPÅNG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46293</v>
      </c>
      <c r="F295" t="inlineStr">
        <is>
          <t>ÖSTERGÖTLANDS LÄN</t>
        </is>
      </c>
      <c r="G295" t="inlineStr">
        <is>
          <t>FINSPÅNG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46293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46293</v>
      </c>
      <c r="F297" t="inlineStr">
        <is>
          <t>ÖSTERGÖTLANDS LÄN</t>
        </is>
      </c>
      <c r="G297" t="inlineStr">
        <is>
          <t>FINSPÅNG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46293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46293</v>
      </c>
      <c r="F299" t="inlineStr">
        <is>
          <t>ÖSTERGÖTLANDS LÄN</t>
        </is>
      </c>
      <c r="G299" t="inlineStr">
        <is>
          <t>FINSPÅNG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46293</v>
      </c>
      <c r="F300" t="inlineStr">
        <is>
          <t>ÖSTERGÖTLANDS LÄN</t>
        </is>
      </c>
      <c r="G300" t="inlineStr">
        <is>
          <t>FINSPÅNG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46293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46293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46293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46293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46293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46293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46060</v>
      </c>
      <c r="E307" s="1" t="n">
        <v>46293</v>
      </c>
      <c r="F307" t="inlineStr">
        <is>
          <t>ÖSTERGÖTLANDS LÄN</t>
        </is>
      </c>
      <c r="G307" t="inlineStr">
        <is>
          <t>FINSPÅNG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46293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Övriga Aktiebolag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46293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Sveaskog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46293</v>
      </c>
      <c r="F310" t="inlineStr">
        <is>
          <t>ÖSTERGÖTLANDS LÄN</t>
        </is>
      </c>
      <c r="G310" t="inlineStr">
        <is>
          <t>FINSPÅNG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46293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46293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46293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46293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Sveaskog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46063</v>
      </c>
      <c r="E315" s="1" t="n">
        <v>46293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46293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46064</v>
      </c>
      <c r="E317" s="1" t="n">
        <v>46293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Sveaskog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46293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46293</v>
      </c>
      <c r="F319" t="inlineStr">
        <is>
          <t>ÖSTERGÖTLANDS LÄN</t>
        </is>
      </c>
      <c r="G319" t="inlineStr">
        <is>
          <t>FINSPÅNG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46065</v>
      </c>
      <c r="E320" s="1" t="n">
        <v>46293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59468-2021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44491</v>
      </c>
      <c r="E321" s="1" t="n">
        <v>46293</v>
      </c>
      <c r="F321" t="inlineStr">
        <is>
          <t>ÖSTERGÖTLANDS LÄN</t>
        </is>
      </c>
      <c r="G321" t="inlineStr">
        <is>
          <t>FINSPÅNG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46293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46293</v>
      </c>
      <c r="F323" t="inlineStr">
        <is>
          <t>ÖSTERGÖTLANDS LÄN</t>
        </is>
      </c>
      <c r="G323" t="inlineStr">
        <is>
          <t>FINSPÅNG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46293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46293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44677</v>
      </c>
      <c r="E326" s="1" t="n">
        <v>46293</v>
      </c>
      <c r="F326" t="inlineStr">
        <is>
          <t>ÖSTERGÖTLANDS LÄN</t>
        </is>
      </c>
      <c r="G326" t="inlineStr">
        <is>
          <t>FINSPÅNG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46293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46293</v>
      </c>
      <c r="F328" t="inlineStr">
        <is>
          <t>ÖSTERGÖTLANDS LÄN</t>
        </is>
      </c>
      <c r="G328" t="inlineStr">
        <is>
          <t>FINSPÅNG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46293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46293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46078</v>
      </c>
      <c r="E331" s="1" t="n">
        <v>46293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46293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46293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46293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45555</v>
      </c>
      <c r="E335" s="1" t="n">
        <v>46293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46293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46293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47567-2025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45931</v>
      </c>
      <c r="E338" s="1" t="n">
        <v>46293</v>
      </c>
      <c r="F338" t="inlineStr">
        <is>
          <t>ÖSTERGÖTLANDS LÄN</t>
        </is>
      </c>
      <c r="G338" t="inlineStr">
        <is>
          <t>FINSPÅNG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46080</v>
      </c>
      <c r="E339" s="1" t="n">
        <v>46293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46293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11807-2026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46293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46293</v>
      </c>
      <c r="F342" t="inlineStr">
        <is>
          <t>ÖSTERGÖTLANDS LÄN</t>
        </is>
      </c>
      <c r="G342" t="inlineStr">
        <is>
          <t>FINSPÅNG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45229</v>
      </c>
      <c r="E343" s="1" t="n">
        <v>46293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11814-2026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46293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46293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11813-2026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46293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45935</v>
      </c>
      <c r="E347" s="1" t="n">
        <v>46293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Övriga Aktiebolag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46293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45441</v>
      </c>
      <c r="E349" s="1" t="n">
        <v>46293</v>
      </c>
      <c r="F349" t="inlineStr">
        <is>
          <t>ÖSTERGÖTLANDS LÄN</t>
        </is>
      </c>
      <c r="G349" t="inlineStr">
        <is>
          <t>FINSPÅNG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46293</v>
      </c>
      <c r="F350" t="inlineStr">
        <is>
          <t>ÖSTERGÖTLANDS LÄN</t>
        </is>
      </c>
      <c r="G350" t="inlineStr">
        <is>
          <t>FINSPÅNG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46293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45179</v>
      </c>
      <c r="E352" s="1" t="n">
        <v>46293</v>
      </c>
      <c r="F352" t="inlineStr">
        <is>
          <t>ÖSTERGÖTLANDS LÄN</t>
        </is>
      </c>
      <c r="G352" t="inlineStr">
        <is>
          <t>FINSPÅNG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42205-2023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45179</v>
      </c>
      <c r="E353" s="1" t="n">
        <v>46293</v>
      </c>
      <c r="F353" t="inlineStr">
        <is>
          <t>ÖSTERGÖTLANDS LÄN</t>
        </is>
      </c>
      <c r="G353" t="inlineStr">
        <is>
          <t>FINSPÅNG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46293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44734</v>
      </c>
      <c r="E355" s="1" t="n">
        <v>46293</v>
      </c>
      <c r="F355" t="inlineStr">
        <is>
          <t>ÖSTERGÖTLANDS LÄN</t>
        </is>
      </c>
      <c r="G355" t="inlineStr">
        <is>
          <t>FINSPÅNG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44732</v>
      </c>
      <c r="E356" s="1" t="n">
        <v>46293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46293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46293</v>
      </c>
      <c r="F358" t="inlineStr">
        <is>
          <t>ÖSTERGÖTLANDS LÄN</t>
        </is>
      </c>
      <c r="G358" t="inlineStr">
        <is>
          <t>FINSPÅNG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44918</v>
      </c>
      <c r="E359" s="1" t="n">
        <v>46293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46293</v>
      </c>
      <c r="F360" t="inlineStr">
        <is>
          <t>ÖSTERGÖTLANDS LÄN</t>
        </is>
      </c>
      <c r="G360" t="inlineStr">
        <is>
          <t>FINSPÅNG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45705</v>
      </c>
      <c r="E361" s="1" t="n">
        <v>46293</v>
      </c>
      <c r="F361" t="inlineStr">
        <is>
          <t>ÖSTERGÖTLANDS LÄN</t>
        </is>
      </c>
      <c r="G361" t="inlineStr">
        <is>
          <t>FINSPÅNG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46293</v>
      </c>
      <c r="F362" t="inlineStr">
        <is>
          <t>ÖSTERGÖTLANDS LÄN</t>
        </is>
      </c>
      <c r="G362" t="inlineStr">
        <is>
          <t>FINSPÅNG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50395-2025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45944</v>
      </c>
      <c r="E363" s="1" t="n">
        <v>46293</v>
      </c>
      <c r="F363" t="inlineStr">
        <is>
          <t>ÖSTERGÖTLANDS LÄN</t>
        </is>
      </c>
      <c r="G363" t="inlineStr">
        <is>
          <t>FINSPÅNG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46293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45006</v>
      </c>
      <c r="E365" s="1" t="n">
        <v>46293</v>
      </c>
      <c r="F365" t="inlineStr">
        <is>
          <t>ÖSTERGÖTLANDS LÄN</t>
        </is>
      </c>
      <c r="G365" t="inlineStr">
        <is>
          <t>FINSPÅNG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46293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46099</v>
      </c>
      <c r="E367" s="1" t="n">
        <v>46293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Sveaskog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44614</v>
      </c>
      <c r="E368" s="1" t="n">
        <v>46293</v>
      </c>
      <c r="F368" t="inlineStr">
        <is>
          <t>ÖSTERGÖTLANDS LÄN</t>
        </is>
      </c>
      <c r="G368" t="inlineStr">
        <is>
          <t>FINSPÅNG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45426</v>
      </c>
      <c r="E369" s="1" t="n">
        <v>46293</v>
      </c>
      <c r="F369" t="inlineStr">
        <is>
          <t>ÖSTERGÖTLANDS LÄN</t>
        </is>
      </c>
      <c r="G369" t="inlineStr">
        <is>
          <t>FINSPÅNG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17557-2022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44679</v>
      </c>
      <c r="E370" s="1" t="n">
        <v>46293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Övriga Aktiebolag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46293</v>
      </c>
      <c r="F371" t="inlineStr">
        <is>
          <t>ÖSTERGÖTLANDS LÄN</t>
        </is>
      </c>
      <c r="G371" t="inlineStr">
        <is>
          <t>FINSPÅNG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53123-2021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44467</v>
      </c>
      <c r="E372" s="1" t="n">
        <v>46293</v>
      </c>
      <c r="F372" t="inlineStr">
        <is>
          <t>ÖSTERGÖTLANDS LÄN</t>
        </is>
      </c>
      <c r="G372" t="inlineStr">
        <is>
          <t>FINSPÅNG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45950</v>
      </c>
      <c r="E373" s="1" t="n">
        <v>46293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14454-2022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44653</v>
      </c>
      <c r="E374" s="1" t="n">
        <v>46293</v>
      </c>
      <c r="F374" t="inlineStr">
        <is>
          <t>ÖSTERGÖTLANDS LÄN</t>
        </is>
      </c>
      <c r="G374" t="inlineStr">
        <is>
          <t>FINSPÅNG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46293</v>
      </c>
      <c r="F375" t="inlineStr">
        <is>
          <t>ÖSTERGÖTLANDS LÄN</t>
        </is>
      </c>
      <c r="G375" t="inlineStr">
        <is>
          <t>FINSPÅNG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17578-2024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46293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45070</v>
      </c>
      <c r="E377" s="1" t="n">
        <v>46293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46293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46293</v>
      </c>
      <c r="F379" t="inlineStr">
        <is>
          <t>ÖSTERGÖTLANDS LÄN</t>
        </is>
      </c>
      <c r="G379" t="inlineStr">
        <is>
          <t>FINSPÅNG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64103-2023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45279</v>
      </c>
      <c r="E380" s="1" t="n">
        <v>46293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45421</v>
      </c>
      <c r="E381" s="1" t="n">
        <v>46293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46111</v>
      </c>
      <c r="E382" s="1" t="n">
        <v>46293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7269-2024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45344</v>
      </c>
      <c r="E383" s="1" t="n">
        <v>46293</v>
      </c>
      <c r="F383" t="inlineStr">
        <is>
          <t>ÖSTERGÖTLANDS LÄN</t>
        </is>
      </c>
      <c r="G383" t="inlineStr">
        <is>
          <t>FINSPÅNG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45257</v>
      </c>
      <c r="E384" s="1" t="n">
        <v>46293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46293</v>
      </c>
      <c r="F385" t="inlineStr">
        <is>
          <t>ÖSTERGÖTLANDS LÄN</t>
        </is>
      </c>
      <c r="G385" t="inlineStr">
        <is>
          <t>FINSPÅNG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45955</v>
      </c>
      <c r="E386" s="1" t="n">
        <v>46293</v>
      </c>
      <c r="F386" t="inlineStr">
        <is>
          <t>ÖSTERGÖTLANDS LÄN</t>
        </is>
      </c>
      <c r="G386" t="inlineStr">
        <is>
          <t>FINSPÅNG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46293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46293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46114</v>
      </c>
      <c r="E389" s="1" t="n">
        <v>46293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46293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45812</v>
      </c>
      <c r="E391" s="1" t="n">
        <v>46293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45301</v>
      </c>
      <c r="E392" s="1" t="n">
        <v>46293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45095</v>
      </c>
      <c r="E393" s="1" t="n">
        <v>46293</v>
      </c>
      <c r="F393" t="inlineStr">
        <is>
          <t>ÖSTERGÖTLANDS LÄN</t>
        </is>
      </c>
      <c r="G393" t="inlineStr">
        <is>
          <t>FINSPÅNG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46293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46293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45086</v>
      </c>
      <c r="E396" s="1" t="n">
        <v>46293</v>
      </c>
      <c r="F396" t="inlineStr">
        <is>
          <t>ÖSTERGÖTLANDS LÄN</t>
        </is>
      </c>
      <c r="G396" t="inlineStr">
        <is>
          <t>FINSPÅNG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46293</v>
      </c>
      <c r="F397" t="inlineStr">
        <is>
          <t>ÖSTERGÖTLANDS LÄN</t>
        </is>
      </c>
      <c r="G397" t="inlineStr">
        <is>
          <t>FINSPÅNG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46122</v>
      </c>
      <c r="E398" s="1" t="n">
        <v>46293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45812</v>
      </c>
      <c r="E399" s="1" t="n">
        <v>46293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46293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46293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46293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Övriga Aktiebolag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46293</v>
      </c>
      <c r="F403" t="inlineStr">
        <is>
          <t>ÖSTERGÖTLANDS LÄN</t>
        </is>
      </c>
      <c r="G403" t="inlineStr">
        <is>
          <t>FINSPÅNG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45969</v>
      </c>
      <c r="E404" s="1" t="n">
        <v>46293</v>
      </c>
      <c r="F404" t="inlineStr">
        <is>
          <t>ÖSTERGÖTLANDS LÄN</t>
        </is>
      </c>
      <c r="G404" t="inlineStr">
        <is>
          <t>FINSPÅNG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55431-2025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46293</v>
      </c>
      <c r="F405" t="inlineStr">
        <is>
          <t>ÖSTERGÖTLANDS LÄN</t>
        </is>
      </c>
      <c r="G405" t="inlineStr">
        <is>
          <t>FINSPÅNG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45639</v>
      </c>
      <c r="E406" s="1" t="n">
        <v>46293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46293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46129</v>
      </c>
      <c r="E408" s="1" t="n">
        <v>46293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45665</v>
      </c>
      <c r="E409" s="1" t="n">
        <v>46293</v>
      </c>
      <c r="F409" t="inlineStr">
        <is>
          <t>ÖSTERGÖTLANDS LÄN</t>
        </is>
      </c>
      <c r="G409" t="inlineStr">
        <is>
          <t>FINSPÅNG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45009</v>
      </c>
      <c r="E410" s="1" t="n">
        <v>46293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46293</v>
      </c>
      <c r="F411" t="inlineStr">
        <is>
          <t>ÖSTERGÖTLANDS LÄN</t>
        </is>
      </c>
      <c r="G411" t="inlineStr">
        <is>
          <t>FINSPÅNG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18725-2026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46128</v>
      </c>
      <c r="E412" s="1" t="n">
        <v>46293</v>
      </c>
      <c r="F412" t="inlineStr">
        <is>
          <t>ÖSTERGÖTLANDS LÄN</t>
        </is>
      </c>
      <c r="G412" t="inlineStr">
        <is>
          <t>FINSPÅNG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45516</v>
      </c>
      <c r="E413" s="1" t="n">
        <v>46293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Kommuner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45142</v>
      </c>
      <c r="E414" s="1" t="n">
        <v>46293</v>
      </c>
      <c r="F414" t="inlineStr">
        <is>
          <t>ÖSTERGÖTLANDS LÄN</t>
        </is>
      </c>
      <c r="G414" t="inlineStr">
        <is>
          <t>FINSPÅNG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45616</v>
      </c>
      <c r="E415" s="1" t="n">
        <v>46293</v>
      </c>
      <c r="F415" t="inlineStr">
        <is>
          <t>ÖSTERGÖTLANDS LÄN</t>
        </is>
      </c>
      <c r="G415" t="inlineStr">
        <is>
          <t>FINSPÅNG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45616</v>
      </c>
      <c r="E416" s="1" t="n">
        <v>46293</v>
      </c>
      <c r="F416" t="inlineStr">
        <is>
          <t>ÖSTERGÖTLANDS LÄN</t>
        </is>
      </c>
      <c r="G416" t="inlineStr">
        <is>
          <t>FINSPÅNG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46293</v>
      </c>
      <c r="F417" t="inlineStr">
        <is>
          <t>ÖSTERGÖTLANDS LÄN</t>
        </is>
      </c>
      <c r="G417" t="inlineStr">
        <is>
          <t>FINSPÅNG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46293</v>
      </c>
      <c r="F418" t="inlineStr">
        <is>
          <t>ÖSTERGÖTLANDS LÄN</t>
        </is>
      </c>
      <c r="G418" t="inlineStr">
        <is>
          <t>FINSPÅNG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48691-2024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46293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Övriga Aktiebolag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45086</v>
      </c>
      <c r="E420" s="1" t="n">
        <v>46293</v>
      </c>
      <c r="F420" t="inlineStr">
        <is>
          <t>ÖSTERGÖTLANDS LÄN</t>
        </is>
      </c>
      <c r="G420" t="inlineStr">
        <is>
          <t>FINSPÅNG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46293</v>
      </c>
      <c r="F421" t="inlineStr">
        <is>
          <t>ÖSTERGÖTLANDS LÄN</t>
        </is>
      </c>
      <c r="G421" t="inlineStr">
        <is>
          <t>FINSPÅNG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46293</v>
      </c>
      <c r="F422" t="inlineStr">
        <is>
          <t>ÖSTERGÖTLANDS LÄN</t>
        </is>
      </c>
      <c r="G422" t="inlineStr">
        <is>
          <t>FINSPÅNG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46293</v>
      </c>
      <c r="F423" t="inlineStr">
        <is>
          <t>ÖSTERGÖTLANDS LÄN</t>
        </is>
      </c>
      <c r="G423" t="inlineStr">
        <is>
          <t>FINSPÅNG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45692</v>
      </c>
      <c r="E424" s="1" t="n">
        <v>46293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45983</v>
      </c>
      <c r="E425" s="1" t="n">
        <v>46293</v>
      </c>
      <c r="F425" t="inlineStr">
        <is>
          <t>ÖSTERGÖTLANDS LÄN</t>
        </is>
      </c>
      <c r="G425" t="inlineStr">
        <is>
          <t>FINSPÅNG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58796-2025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46293</v>
      </c>
      <c r="F426" t="inlineStr">
        <is>
          <t>ÖSTERGÖTLANDS LÄN</t>
        </is>
      </c>
      <c r="G426" t="inlineStr">
        <is>
          <t>FINSPÅNG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46293</v>
      </c>
      <c r="F427" t="inlineStr">
        <is>
          <t>ÖSTERGÖTLANDS LÄN</t>
        </is>
      </c>
      <c r="G427" t="inlineStr">
        <is>
          <t>FINSPÅNG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14142-2025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46293</v>
      </c>
      <c r="F428" t="inlineStr">
        <is>
          <t>ÖSTERGÖTLANDS LÄN</t>
        </is>
      </c>
      <c r="G428" t="inlineStr">
        <is>
          <t>FINSPÅNG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44774</v>
      </c>
      <c r="E429" s="1" t="n">
        <v>46293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45095</v>
      </c>
      <c r="E430" s="1" t="n">
        <v>46293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46293</v>
      </c>
      <c r="F431" t="inlineStr">
        <is>
          <t>ÖSTERGÖTLANDS LÄN</t>
        </is>
      </c>
      <c r="G431" t="inlineStr">
        <is>
          <t>FINSPÅNG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45709</v>
      </c>
      <c r="E432" s="1" t="n">
        <v>46293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45728</v>
      </c>
      <c r="E433" s="1" t="n">
        <v>46293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46293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45706</v>
      </c>
      <c r="E435" s="1" t="n">
        <v>46293</v>
      </c>
      <c r="F435" t="inlineStr">
        <is>
          <t>ÖSTERGÖTLANDS LÄN</t>
        </is>
      </c>
      <c r="G435" t="inlineStr">
        <is>
          <t>FINSPÅNG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45853</v>
      </c>
      <c r="E436" s="1" t="n">
        <v>46293</v>
      </c>
      <c r="F436" t="inlineStr">
        <is>
          <t>ÖSTERGÖTLANDS LÄN</t>
        </is>
      </c>
      <c r="G436" t="inlineStr">
        <is>
          <t>FINSPÅNG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45783</v>
      </c>
      <c r="E437" s="1" t="n">
        <v>46293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45615</v>
      </c>
      <c r="E438" s="1" t="n">
        <v>46293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44973</v>
      </c>
      <c r="E439" s="1" t="n">
        <v>46293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46293</v>
      </c>
      <c r="F440" t="inlineStr">
        <is>
          <t>ÖSTERGÖTLANDS LÄN</t>
        </is>
      </c>
      <c r="G440" t="inlineStr">
        <is>
          <t>FINSPÅNG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46293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46293</v>
      </c>
      <c r="F442" t="inlineStr">
        <is>
          <t>ÖSTERGÖTLANDS LÄN</t>
        </is>
      </c>
      <c r="G442" t="inlineStr">
        <is>
          <t>FINSPÅNG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45713</v>
      </c>
      <c r="E443" s="1" t="n">
        <v>46293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45700</v>
      </c>
      <c r="E444" s="1" t="n">
        <v>46293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46293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46293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45147</v>
      </c>
      <c r="E447" s="1" t="n">
        <v>46293</v>
      </c>
      <c r="F447" t="inlineStr">
        <is>
          <t>ÖSTERGÖTLANDS LÄN</t>
        </is>
      </c>
      <c r="G447" t="inlineStr">
        <is>
          <t>FINSPÅNG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44759</v>
      </c>
      <c r="E448" s="1" t="n">
        <v>46293</v>
      </c>
      <c r="F448" t="inlineStr">
        <is>
          <t>ÖSTERGÖTLANDS LÄN</t>
        </is>
      </c>
      <c r="G448" t="inlineStr">
        <is>
          <t>FINSPÅNG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44840</v>
      </c>
      <c r="E449" s="1" t="n">
        <v>46293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46293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46293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46293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46293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46002</v>
      </c>
      <c r="E454" s="1" t="n">
        <v>46293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61712-2025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46002</v>
      </c>
      <c r="E455" s="1" t="n">
        <v>46293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46293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46293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55612-2021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44476</v>
      </c>
      <c r="E458" s="1" t="n">
        <v>46293</v>
      </c>
      <c r="F458" t="inlineStr">
        <is>
          <t>ÖSTERGÖTLANDS LÄN</t>
        </is>
      </c>
      <c r="G458" t="inlineStr">
        <is>
          <t>FINSPÅNG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46293</v>
      </c>
      <c r="F459" t="inlineStr">
        <is>
          <t>ÖSTERGÖTLANDS LÄN</t>
        </is>
      </c>
      <c r="G459" t="inlineStr">
        <is>
          <t>FINSPÅNG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46293</v>
      </c>
      <c r="F460" t="inlineStr">
        <is>
          <t>ÖSTERGÖTLANDS LÄN</t>
        </is>
      </c>
      <c r="G460" t="inlineStr">
        <is>
          <t>FINSPÅNG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54609-2021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44473</v>
      </c>
      <c r="E461" s="1" t="n">
        <v>46293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45516</v>
      </c>
      <c r="E462" s="1" t="n">
        <v>46293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40194-2022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44820</v>
      </c>
      <c r="E463" s="1" t="n">
        <v>46293</v>
      </c>
      <c r="F463" t="inlineStr">
        <is>
          <t>ÖSTERGÖTLANDS LÄN</t>
        </is>
      </c>
      <c r="G463" t="inlineStr">
        <is>
          <t>FINSPÅNG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28428-2025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46293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28491-2025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45819</v>
      </c>
      <c r="E465" s="1" t="n">
        <v>46293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18306-2023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45041</v>
      </c>
      <c r="E466" s="1" t="n">
        <v>46293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Naturvårdsverket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46293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46293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45688</v>
      </c>
      <c r="E469" s="1" t="n">
        <v>46293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45560</v>
      </c>
      <c r="E470" s="1" t="n">
        <v>46293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10083-2025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46293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44834</v>
      </c>
      <c r="E472" s="1" t="n">
        <v>46293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49677-2022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44862</v>
      </c>
      <c r="E473" s="1" t="n">
        <v>46293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9.6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7788-2023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44973</v>
      </c>
      <c r="E474" s="1" t="n">
        <v>46293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53821-2022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44880</v>
      </c>
      <c r="E475" s="1" t="n">
        <v>46293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45710</v>
      </c>
      <c r="E476" s="1" t="n">
        <v>46293</v>
      </c>
      <c r="F476" t="inlineStr">
        <is>
          <t>ÖSTERGÖTLANDS LÄN</t>
        </is>
      </c>
      <c r="G476" t="inlineStr">
        <is>
          <t>FINSPÅNG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45314-2023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45191</v>
      </c>
      <c r="E477" s="1" t="n">
        <v>46293</v>
      </c>
      <c r="F477" t="inlineStr">
        <is>
          <t>ÖSTERGÖTLANDS LÄN</t>
        </is>
      </c>
      <c r="G477" t="inlineStr">
        <is>
          <t>FINSPÅNG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46293</v>
      </c>
      <c r="F478" t="inlineStr">
        <is>
          <t>ÖSTERGÖTLANDS LÄN</t>
        </is>
      </c>
      <c r="G478" t="inlineStr">
        <is>
          <t>FINSPÅNG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46293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46293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46293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45770</v>
      </c>
      <c r="E482" s="1" t="n">
        <v>46293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46293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54727-2023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45236</v>
      </c>
      <c r="E484" s="1" t="n">
        <v>46293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45236</v>
      </c>
      <c r="E485" s="1" t="n">
        <v>46293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54923-2022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44886</v>
      </c>
      <c r="E486" s="1" t="n">
        <v>46293</v>
      </c>
      <c r="F486" t="inlineStr">
        <is>
          <t>ÖSTERGÖTLANDS LÄN</t>
        </is>
      </c>
      <c r="G486" t="inlineStr">
        <is>
          <t>FINSPÅNG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46293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46293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18494-2023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45042</v>
      </c>
      <c r="E489" s="1" t="n">
        <v>46293</v>
      </c>
      <c r="F489" t="inlineStr">
        <is>
          <t>ÖSTERGÖTLANDS LÄN</t>
        </is>
      </c>
      <c r="G489" t="inlineStr">
        <is>
          <t>FINSPÅNG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11839-2025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45728</v>
      </c>
      <c r="E490" s="1" t="n">
        <v>46293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46293</v>
      </c>
      <c r="F491" t="inlineStr">
        <is>
          <t>ÖSTERGÖTLANDS LÄN</t>
        </is>
      </c>
      <c r="G491" t="inlineStr">
        <is>
          <t>FINSPÅNG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46293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12814-2022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44642</v>
      </c>
      <c r="E493" s="1" t="n">
        <v>46293</v>
      </c>
      <c r="F493" t="inlineStr">
        <is>
          <t>ÖSTERGÖTLANDS LÄN</t>
        </is>
      </c>
      <c r="G493" t="inlineStr">
        <is>
          <t>FINSPÅNG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70505-2021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44536</v>
      </c>
      <c r="E494" s="1" t="n">
        <v>46293</v>
      </c>
      <c r="F494" t="inlineStr">
        <is>
          <t>ÖSTERGÖTLANDS LÄN</t>
        </is>
      </c>
      <c r="G494" t="inlineStr">
        <is>
          <t>FINSPÅNG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46293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55052-2023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45237</v>
      </c>
      <c r="E496" s="1" t="n">
        <v>46293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Kyrkan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45076</v>
      </c>
      <c r="E497" s="1" t="n">
        <v>46293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46293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46293</v>
      </c>
      <c r="F499" t="inlineStr">
        <is>
          <t>ÖSTERGÖTLANDS LÄN</t>
        </is>
      </c>
      <c r="G499" t="inlineStr">
        <is>
          <t>FINSPÅNG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44944</v>
      </c>
      <c r="E500" s="1" t="n">
        <v>46293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44595</v>
      </c>
      <c r="E501" s="1" t="n">
        <v>46293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Övriga Aktiebolag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54404-2023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45233</v>
      </c>
      <c r="E502" s="1" t="n">
        <v>46293</v>
      </c>
      <c r="F502" t="inlineStr">
        <is>
          <t>ÖSTERGÖTLANDS LÄN</t>
        </is>
      </c>
      <c r="G502" t="inlineStr">
        <is>
          <t>FINSPÅNG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46293</v>
      </c>
      <c r="F503" t="inlineStr">
        <is>
          <t>ÖSTERGÖTLANDS LÄN</t>
        </is>
      </c>
      <c r="G503" t="inlineStr">
        <is>
          <t>FINSPÅNG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46293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45095</v>
      </c>
      <c r="E505" s="1" t="n">
        <v>46293</v>
      </c>
      <c r="F505" t="inlineStr">
        <is>
          <t>ÖSTERGÖTLANDS LÄN</t>
        </is>
      </c>
      <c r="G505" t="inlineStr">
        <is>
          <t>FINSPÅNG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45082</v>
      </c>
      <c r="E506" s="1" t="n">
        <v>46293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46293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45013</v>
      </c>
      <c r="E508" s="1" t="n">
        <v>46293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45086</v>
      </c>
      <c r="E509" s="1" t="n">
        <v>46293</v>
      </c>
      <c r="F509" t="inlineStr">
        <is>
          <t>ÖSTERGÖTLANDS LÄN</t>
        </is>
      </c>
      <c r="G509" t="inlineStr">
        <is>
          <t>FINSPÅNG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44589</v>
      </c>
      <c r="E510" s="1" t="n">
        <v>46293</v>
      </c>
      <c r="F510" t="inlineStr">
        <is>
          <t>ÖSTERGÖTLANDS LÄN</t>
        </is>
      </c>
      <c r="G510" t="inlineStr">
        <is>
          <t>FINSPÅNG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57678-2025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45980</v>
      </c>
      <c r="E511" s="1" t="n">
        <v>46293</v>
      </c>
      <c r="F511" t="inlineStr">
        <is>
          <t>ÖSTERGÖTLANDS LÄN</t>
        </is>
      </c>
      <c r="G511" t="inlineStr">
        <is>
          <t>FINSPÅNG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45184</v>
      </c>
      <c r="E512" s="1" t="n">
        <v>46293</v>
      </c>
      <c r="F512" t="inlineStr">
        <is>
          <t>ÖSTERGÖTLANDS LÄN</t>
        </is>
      </c>
      <c r="G512" t="inlineStr">
        <is>
          <t>FINSPÅNG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16229-2024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45407</v>
      </c>
      <c r="E513" s="1" t="n">
        <v>46293</v>
      </c>
      <c r="F513" t="inlineStr">
        <is>
          <t>ÖSTERGÖTLANDS LÄN</t>
        </is>
      </c>
      <c r="G513" t="inlineStr">
        <is>
          <t>FINSPÅNG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32246-2025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46293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34119-2025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45845</v>
      </c>
      <c r="E515" s="1" t="n">
        <v>46293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58142-2022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46293</v>
      </c>
      <c r="F516" t="inlineStr">
        <is>
          <t>ÖSTERGÖTLANDS LÄN</t>
        </is>
      </c>
      <c r="G516" t="inlineStr">
        <is>
          <t>FINSPÅNG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46293</v>
      </c>
      <c r="F517" t="inlineStr">
        <is>
          <t>ÖSTERGÖTLANDS LÄN</t>
        </is>
      </c>
      <c r="G517" t="inlineStr">
        <is>
          <t>FINSPÅNG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45357</v>
      </c>
      <c r="E518" s="1" t="n">
        <v>46293</v>
      </c>
      <c r="F518" t="inlineStr">
        <is>
          <t>ÖSTERGÖTLANDS LÄN</t>
        </is>
      </c>
      <c r="G518" t="inlineStr">
        <is>
          <t>FINSPÅNG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44887</v>
      </c>
      <c r="E519" s="1" t="n">
        <v>46293</v>
      </c>
      <c r="F519" t="inlineStr">
        <is>
          <t>ÖSTERGÖTLANDS LÄN</t>
        </is>
      </c>
      <c r="G519" t="inlineStr">
        <is>
          <t>FINSPÅNG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60547-2023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45259</v>
      </c>
      <c r="E520" s="1" t="n">
        <v>46293</v>
      </c>
      <c r="F520" t="inlineStr">
        <is>
          <t>ÖSTERGÖTLANDS LÄN</t>
        </is>
      </c>
      <c r="G520" t="inlineStr">
        <is>
          <t>FINSPÅNG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46077</v>
      </c>
      <c r="E521" s="1" t="n">
        <v>46293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Kyrkan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63585-2023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45275</v>
      </c>
      <c r="E522" s="1" t="n">
        <v>46293</v>
      </c>
      <c r="F522" t="inlineStr">
        <is>
          <t>ÖSTERGÖTLANDS LÄN</t>
        </is>
      </c>
      <c r="G522" t="inlineStr">
        <is>
          <t>FINSPÅNG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45463</v>
      </c>
      <c r="E523" s="1" t="n">
        <v>46293</v>
      </c>
      <c r="F523" t="inlineStr">
        <is>
          <t>ÖSTERGÖTLANDS LÄN</t>
        </is>
      </c>
      <c r="G523" t="inlineStr">
        <is>
          <t>FINSPÅNG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46293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46293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45103</v>
      </c>
      <c r="E526" s="1" t="n">
        <v>46293</v>
      </c>
      <c r="F526" t="inlineStr">
        <is>
          <t>ÖSTERGÖTLANDS LÄN</t>
        </is>
      </c>
      <c r="G526" t="inlineStr">
        <is>
          <t>FINSPÅNG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45840</v>
      </c>
      <c r="E527" s="1" t="n">
        <v>46293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31130-2023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46293</v>
      </c>
      <c r="F528" t="inlineStr">
        <is>
          <t>ÖSTERGÖTLANDS LÄN</t>
        </is>
      </c>
      <c r="G528" t="inlineStr">
        <is>
          <t>FINSPÅNG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46293</v>
      </c>
      <c r="F529" t="inlineStr">
        <is>
          <t>ÖSTERGÖTLANDS LÄN</t>
        </is>
      </c>
      <c r="G529" t="inlineStr">
        <is>
          <t>FINSPÅNG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44966</v>
      </c>
      <c r="E530" s="1" t="n">
        <v>46293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45845</v>
      </c>
      <c r="E531" s="1" t="n">
        <v>46293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45293</v>
      </c>
      <c r="E532" s="1" t="n">
        <v>46293</v>
      </c>
      <c r="F532" t="inlineStr">
        <is>
          <t>ÖSTERGÖTLANDS LÄN</t>
        </is>
      </c>
      <c r="G532" t="inlineStr">
        <is>
          <t>FINSPÅNG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45391</v>
      </c>
      <c r="E533" s="1" t="n">
        <v>46293</v>
      </c>
      <c r="F533" t="inlineStr">
        <is>
          <t>ÖSTERGÖTLANDS LÄN</t>
        </is>
      </c>
      <c r="G533" t="inlineStr">
        <is>
          <t>FINSPÅNG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58367-2023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46293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45776</v>
      </c>
      <c r="E535" s="1" t="n">
        <v>46293</v>
      </c>
      <c r="F535" t="inlineStr">
        <is>
          <t>ÖSTERGÖTLANDS LÄN</t>
        </is>
      </c>
      <c r="G535" t="inlineStr">
        <is>
          <t>FINSPÅNG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46293</v>
      </c>
      <c r="F536" t="inlineStr">
        <is>
          <t>ÖSTERGÖTLANDS LÄN</t>
        </is>
      </c>
      <c r="G536" t="inlineStr">
        <is>
          <t>FINSPÅNG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35279-2025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45853</v>
      </c>
      <c r="E537" s="1" t="n">
        <v>46293</v>
      </c>
      <c r="F537" t="inlineStr">
        <is>
          <t>ÖSTERGÖTLANDS LÄN</t>
        </is>
      </c>
      <c r="G537" t="inlineStr">
        <is>
          <t>FINSPÅNG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7743-2023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44973</v>
      </c>
      <c r="E538" s="1" t="n">
        <v>46293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45854</v>
      </c>
      <c r="E539" s="1" t="n">
        <v>46293</v>
      </c>
      <c r="F539" t="inlineStr">
        <is>
          <t>ÖSTERGÖTLANDS LÄN</t>
        </is>
      </c>
      <c r="G539" t="inlineStr">
        <is>
          <t>FINSPÅNG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44922</v>
      </c>
      <c r="E540" s="1" t="n">
        <v>46293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46293</v>
      </c>
      <c r="F541" t="inlineStr">
        <is>
          <t>ÖSTERGÖTLANDS LÄN</t>
        </is>
      </c>
      <c r="G541" t="inlineStr">
        <is>
          <t>FINSPÅNG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45855</v>
      </c>
      <c r="E542" s="1" t="n">
        <v>46293</v>
      </c>
      <c r="F542" t="inlineStr">
        <is>
          <t>ÖSTERGÖTLANDS LÄN</t>
        </is>
      </c>
      <c r="G542" t="inlineStr">
        <is>
          <t>FINSPÅNG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35374-2025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45854</v>
      </c>
      <c r="E543" s="1" t="n">
        <v>46293</v>
      </c>
      <c r="F543" t="inlineStr">
        <is>
          <t>ÖSTERGÖTLANDS LÄN</t>
        </is>
      </c>
      <c r="G543" t="inlineStr">
        <is>
          <t>FINSPÅNG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45341</v>
      </c>
      <c r="E544" s="1" t="n">
        <v>46293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Övriga Aktiebolag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33997-2024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46293</v>
      </c>
      <c r="F545" t="inlineStr">
        <is>
          <t>ÖSTERGÖTLANDS LÄN</t>
        </is>
      </c>
      <c r="G545" t="inlineStr">
        <is>
          <t>FINSPÅNG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45293</v>
      </c>
      <c r="E546" s="1" t="n">
        <v>46293</v>
      </c>
      <c r="F546" t="inlineStr">
        <is>
          <t>ÖSTERGÖTLANDS LÄN</t>
        </is>
      </c>
      <c r="G546" t="inlineStr">
        <is>
          <t>FINSPÅNG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45391</v>
      </c>
      <c r="E547" s="1" t="n">
        <v>46293</v>
      </c>
      <c r="F547" t="inlineStr">
        <is>
          <t>ÖSTERGÖTLANDS LÄN</t>
        </is>
      </c>
      <c r="G547" t="inlineStr">
        <is>
          <t>FINSPÅNG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17321-2022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44678</v>
      </c>
      <c r="E548" s="1" t="n">
        <v>46293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45002</v>
      </c>
      <c r="E549" s="1" t="n">
        <v>46293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Kyrkan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45831</v>
      </c>
      <c r="E550" s="1" t="n">
        <v>46293</v>
      </c>
      <c r="F550" t="inlineStr">
        <is>
          <t>ÖSTERGÖTLANDS LÄN</t>
        </is>
      </c>
      <c r="G550" t="inlineStr">
        <is>
          <t>FINSPÅNG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46293</v>
      </c>
      <c r="F551" t="inlineStr">
        <is>
          <t>ÖSTERGÖTLANDS LÄN</t>
        </is>
      </c>
      <c r="G551" t="inlineStr">
        <is>
          <t>FINSPÅNG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46176</v>
      </c>
      <c r="E552" s="1" t="n">
        <v>46293</v>
      </c>
      <c r="F552" t="inlineStr">
        <is>
          <t>ÖSTERGÖTLANDS LÄN</t>
        </is>
      </c>
      <c r="G552" t="inlineStr">
        <is>
          <t>FINSPÅNG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46293</v>
      </c>
      <c r="F553" t="inlineStr">
        <is>
          <t>ÖSTERGÖTLANDS LÄN</t>
        </is>
      </c>
      <c r="G553" t="inlineStr">
        <is>
          <t>FINSPÅNG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44993</v>
      </c>
      <c r="E554" s="1" t="n">
        <v>46293</v>
      </c>
      <c r="F554" t="inlineStr">
        <is>
          <t>ÖSTERGÖTLANDS LÄN</t>
        </is>
      </c>
      <c r="G554" t="inlineStr">
        <is>
          <t>FINSPÅNG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45133</v>
      </c>
      <c r="E555" s="1" t="n">
        <v>46293</v>
      </c>
      <c r="F555" t="inlineStr">
        <is>
          <t>ÖSTERGÖTLANDS LÄN</t>
        </is>
      </c>
      <c r="G555" t="inlineStr">
        <is>
          <t>FINSPÅNG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73655-2021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44551</v>
      </c>
      <c r="E556" s="1" t="n">
        <v>46293</v>
      </c>
      <c r="F556" t="inlineStr">
        <is>
          <t>ÖSTERGÖTLANDS LÄN</t>
        </is>
      </c>
      <c r="G556" t="inlineStr">
        <is>
          <t>FINSPÅNG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46293</v>
      </c>
      <c r="F557" t="inlineStr">
        <is>
          <t>ÖSTERGÖTLANDS LÄN</t>
        </is>
      </c>
      <c r="G557" t="inlineStr">
        <is>
          <t>FINSPÅNG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24833-2026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46293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Sveaskog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22603-2024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45447</v>
      </c>
      <c r="E559" s="1" t="n">
        <v>46293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46293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Kyrkan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24835-2026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46293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46293</v>
      </c>
      <c r="F562" t="inlineStr">
        <is>
          <t>ÖSTERGÖTLANDS LÄN</t>
        </is>
      </c>
      <c r="G562" t="inlineStr">
        <is>
          <t>FINSPÅNG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44937</v>
      </c>
      <c r="E563" s="1" t="n">
        <v>46293</v>
      </c>
      <c r="F563" t="inlineStr">
        <is>
          <t>ÖSTERGÖTLANDS LÄN</t>
        </is>
      </c>
      <c r="G563" t="inlineStr">
        <is>
          <t>FINSPÅNG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45314</v>
      </c>
      <c r="E564" s="1" t="n">
        <v>46293</v>
      </c>
      <c r="F564" t="inlineStr">
        <is>
          <t>ÖSTERGÖTLANDS LÄN</t>
        </is>
      </c>
      <c r="G564" t="inlineStr">
        <is>
          <t>FINSPÅNG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45870</v>
      </c>
      <c r="E565" s="1" t="n">
        <v>46293</v>
      </c>
      <c r="F565" t="inlineStr">
        <is>
          <t>ÖSTERGÖTLANDS LÄN</t>
        </is>
      </c>
      <c r="G565" t="inlineStr">
        <is>
          <t>FINSPÅNG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44981</v>
      </c>
      <c r="E566" s="1" t="n">
        <v>46293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46293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45820</v>
      </c>
      <c r="E568" s="1" t="n">
        <v>46293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36592-2025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45870</v>
      </c>
      <c r="E569" s="1" t="n">
        <v>46293</v>
      </c>
      <c r="F569" t="inlineStr">
        <is>
          <t>ÖSTERGÖTLANDS LÄN</t>
        </is>
      </c>
      <c r="G569" t="inlineStr">
        <is>
          <t>FINSPÅNG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46293</v>
      </c>
      <c r="F570" t="inlineStr">
        <is>
          <t>ÖSTERGÖTLANDS LÄN</t>
        </is>
      </c>
      <c r="G570" t="inlineStr">
        <is>
          <t>FINSPÅNG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46293</v>
      </c>
      <c r="F571" t="inlineStr">
        <is>
          <t>ÖSTERGÖTLANDS LÄN</t>
        </is>
      </c>
      <c r="G571" t="inlineStr">
        <is>
          <t>FINSPÅNG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45041</v>
      </c>
      <c r="E572" s="1" t="n">
        <v>46293</v>
      </c>
      <c r="F572" t="inlineStr">
        <is>
          <t>ÖSTERGÖTLANDS LÄN</t>
        </is>
      </c>
      <c r="G572" t="inlineStr">
        <is>
          <t>FINSPÅNG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45063</v>
      </c>
      <c r="E573" s="1" t="n">
        <v>46293</v>
      </c>
      <c r="F573" t="inlineStr">
        <is>
          <t>ÖSTERGÖTLANDS LÄN</t>
        </is>
      </c>
      <c r="G573" t="inlineStr">
        <is>
          <t>FINSPÅNG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46293</v>
      </c>
      <c r="F574" t="inlineStr">
        <is>
          <t>ÖSTERGÖTLANDS LÄN</t>
        </is>
      </c>
      <c r="G574" t="inlineStr">
        <is>
          <t>FINSPÅNG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46293</v>
      </c>
      <c r="F575" t="inlineStr">
        <is>
          <t>ÖSTERGÖTLANDS LÄN</t>
        </is>
      </c>
      <c r="G575" t="inlineStr">
        <is>
          <t>FINSPÅNG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50670-2024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45601</v>
      </c>
      <c r="E576" s="1" t="n">
        <v>46293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17994-2023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45040</v>
      </c>
      <c r="E577" s="1" t="n">
        <v>46293</v>
      </c>
      <c r="F577" t="inlineStr">
        <is>
          <t>ÖSTERGÖTLANDS LÄN</t>
        </is>
      </c>
      <c r="G577" t="inlineStr">
        <is>
          <t>FINSPÅNG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15614-2023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45020</v>
      </c>
      <c r="E578" s="1" t="n">
        <v>46293</v>
      </c>
      <c r="F578" t="inlineStr">
        <is>
          <t>ÖSTERGÖTLANDS LÄN</t>
        </is>
      </c>
      <c r="G578" t="inlineStr">
        <is>
          <t>FINSPÅNG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48652-2024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45593</v>
      </c>
      <c r="E579" s="1" t="n">
        <v>46293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Övriga Aktiebolag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21907-2023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46293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46293</v>
      </c>
      <c r="F581" t="inlineStr">
        <is>
          <t>ÖSTERGÖTLANDS LÄN</t>
        </is>
      </c>
      <c r="G581" t="inlineStr">
        <is>
          <t>FINSPÅNG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36192-2023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46293</v>
      </c>
      <c r="F582" t="inlineStr">
        <is>
          <t>ÖSTERGÖTLANDS LÄN</t>
        </is>
      </c>
      <c r="G582" t="inlineStr">
        <is>
          <t>FINSPÅNG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26905-2026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46185</v>
      </c>
      <c r="E583" s="1" t="n">
        <v>46293</v>
      </c>
      <c r="F583" t="inlineStr">
        <is>
          <t>ÖSTERGÖTLANDS LÄN</t>
        </is>
      </c>
      <c r="G583" t="inlineStr">
        <is>
          <t>FINSPÅNG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46293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45302</v>
      </c>
      <c r="E585" s="1" t="n">
        <v>46293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44622</v>
      </c>
      <c r="E586" s="1" t="n">
        <v>46293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27369-2026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46188</v>
      </c>
      <c r="E587" s="1" t="n">
        <v>46293</v>
      </c>
      <c r="F587" t="inlineStr">
        <is>
          <t>ÖSTERGÖTLANDS LÄN</t>
        </is>
      </c>
      <c r="G587" t="inlineStr">
        <is>
          <t>FINSPÅNG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44564</v>
      </c>
      <c r="E588" s="1" t="n">
        <v>46293</v>
      </c>
      <c r="F588" t="inlineStr">
        <is>
          <t>ÖSTERGÖTLANDS LÄN</t>
        </is>
      </c>
      <c r="G588" t="inlineStr">
        <is>
          <t>FINSPÅNG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44958</v>
      </c>
      <c r="E589" s="1" t="n">
        <v>46293</v>
      </c>
      <c r="F589" t="inlineStr">
        <is>
          <t>ÖSTERGÖTLANDS LÄN</t>
        </is>
      </c>
      <c r="G589" t="inlineStr">
        <is>
          <t>FINSPÅNG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45095</v>
      </c>
      <c r="E590" s="1" t="n">
        <v>46293</v>
      </c>
      <c r="F590" t="inlineStr">
        <is>
          <t>ÖSTERGÖTLANDS LÄN</t>
        </is>
      </c>
      <c r="G590" t="inlineStr">
        <is>
          <t>FINSPÅNG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65742-2021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44516</v>
      </c>
      <c r="E591" s="1" t="n">
        <v>46293</v>
      </c>
      <c r="F591" t="inlineStr">
        <is>
          <t>ÖSTERGÖTLANDS LÄN</t>
        </is>
      </c>
      <c r="G591" t="inlineStr">
        <is>
          <t>FINSPÅNG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18134-2023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45040</v>
      </c>
      <c r="E592" s="1" t="n">
        <v>46293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45615</v>
      </c>
      <c r="E593" s="1" t="n">
        <v>46293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45709</v>
      </c>
      <c r="E594" s="1" t="n">
        <v>46293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46293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40065-2024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45554</v>
      </c>
      <c r="E596" s="1" t="n">
        <v>46293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45880</v>
      </c>
      <c r="E597" s="1" t="n">
        <v>46293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28386-2026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46293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Kommuner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45880</v>
      </c>
      <c r="E599" s="1" t="n">
        <v>46293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39415-2024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45551</v>
      </c>
      <c r="E600" s="1" t="n">
        <v>46293</v>
      </c>
      <c r="F600" t="inlineStr">
        <is>
          <t>ÖSTERGÖTLANDS LÄN</t>
        </is>
      </c>
      <c r="G600" t="inlineStr">
        <is>
          <t>FINSPÅNG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34309-2025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45846</v>
      </c>
      <c r="E601" s="1" t="n">
        <v>46293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46293</v>
      </c>
      <c r="F602" t="inlineStr">
        <is>
          <t>ÖSTERGÖTLANDS LÄN</t>
        </is>
      </c>
      <c r="G602" t="inlineStr">
        <is>
          <t>FINSPÅNG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10215-2022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44622</v>
      </c>
      <c r="E603" s="1" t="n">
        <v>46293</v>
      </c>
      <c r="F603" t="inlineStr">
        <is>
          <t>ÖSTERGÖTLANDS LÄN</t>
        </is>
      </c>
      <c r="G603" t="inlineStr">
        <is>
          <t>FINSPÅNG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46293</v>
      </c>
      <c r="F604" t="inlineStr">
        <is>
          <t>ÖSTERGÖTLANDS LÄN</t>
        </is>
      </c>
      <c r="G604" t="inlineStr">
        <is>
          <t>FINSPÅNG</t>
        </is>
      </c>
      <c r="I604" t="n">
        <v>13.3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45077</v>
      </c>
      <c r="E605" s="1" t="n">
        <v>46293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45881</v>
      </c>
      <c r="E606" s="1" t="n">
        <v>46293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Naturvårdsverket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48466-2023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45206</v>
      </c>
      <c r="E607" s="1" t="n">
        <v>46293</v>
      </c>
      <c r="F607" t="inlineStr">
        <is>
          <t>ÖSTERGÖTLANDS LÄN</t>
        </is>
      </c>
      <c r="G607" t="inlineStr">
        <is>
          <t>FINSPÅNG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38231-2025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45883</v>
      </c>
      <c r="E608" s="1" t="n">
        <v>46293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46293</v>
      </c>
      <c r="F609" t="inlineStr">
        <is>
          <t>ÖSTERGÖTLANDS LÄN</t>
        </is>
      </c>
      <c r="G609" t="inlineStr">
        <is>
          <t>FINSPÅNG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24012-2024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45456</v>
      </c>
      <c r="E610" s="1" t="n">
        <v>46293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73260-2021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44550</v>
      </c>
      <c r="E611" s="1" t="n">
        <v>46293</v>
      </c>
      <c r="F611" t="inlineStr">
        <is>
          <t>ÖSTERGÖTLANDS LÄN</t>
        </is>
      </c>
      <c r="G611" t="inlineStr">
        <is>
          <t>FINSPÅNG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41328-2023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45174</v>
      </c>
      <c r="E612" s="1" t="n">
        <v>46293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Kyrkan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63321-2021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44508</v>
      </c>
      <c r="E613" s="1" t="n">
        <v>46293</v>
      </c>
      <c r="F613" t="inlineStr">
        <is>
          <t>ÖSTERGÖTLANDS LÄN</t>
        </is>
      </c>
      <c r="G613" t="inlineStr">
        <is>
          <t>FINSPÅNG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46293</v>
      </c>
      <c r="F614" t="inlineStr">
        <is>
          <t>ÖSTERGÖTLANDS LÄN</t>
        </is>
      </c>
      <c r="G614" t="inlineStr">
        <is>
          <t>FINSPÅNG</t>
        </is>
      </c>
      <c r="I614" t="n">
        <v>18.6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61114-2024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46293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34758-2022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44795</v>
      </c>
      <c r="E616" s="1" t="n">
        <v>46293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Övriga Aktiebolag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46293</v>
      </c>
      <c r="F617" t="inlineStr">
        <is>
          <t>ÖSTERGÖTLANDS LÄN</t>
        </is>
      </c>
      <c r="G617" t="inlineStr">
        <is>
          <t>FINSPÅNG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45715</v>
      </c>
      <c r="E618" s="1" t="n">
        <v>46293</v>
      </c>
      <c r="F618" t="inlineStr">
        <is>
          <t>ÖSTERGÖTLANDS LÄN</t>
        </is>
      </c>
      <c r="G618" t="inlineStr">
        <is>
          <t>FINSPÅNG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11730-2022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44634</v>
      </c>
      <c r="E619" s="1" t="n">
        <v>46293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46209</v>
      </c>
      <c r="E620" s="1" t="n">
        <v>46293</v>
      </c>
      <c r="F620" t="inlineStr">
        <is>
          <t>ÖSTERGÖTLANDS LÄN</t>
        </is>
      </c>
      <c r="G620" t="inlineStr">
        <is>
          <t>FINSPÅNG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31152-2026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46209</v>
      </c>
      <c r="E621" s="1" t="n">
        <v>46293</v>
      </c>
      <c r="F621" t="inlineStr">
        <is>
          <t>ÖSTERGÖTLANDS LÄN</t>
        </is>
      </c>
      <c r="G621" t="inlineStr">
        <is>
          <t>FINSPÅNG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46293</v>
      </c>
      <c r="F622" t="inlineStr">
        <is>
          <t>ÖSTERGÖTLANDS LÄN</t>
        </is>
      </c>
      <c r="G622" t="inlineStr">
        <is>
          <t>FINSPÅNG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18349-2025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45762</v>
      </c>
      <c r="E623" s="1" t="n">
        <v>46293</v>
      </c>
      <c r="F623" t="inlineStr">
        <is>
          <t>ÖSTERGÖTLANDS LÄN</t>
        </is>
      </c>
      <c r="G623" t="inlineStr">
        <is>
          <t>FINSPÅNG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46212</v>
      </c>
      <c r="E624" s="1" t="n">
        <v>46293</v>
      </c>
      <c r="F624" t="inlineStr">
        <is>
          <t>ÖSTERGÖTLANDS LÄN</t>
        </is>
      </c>
      <c r="G624" t="inlineStr">
        <is>
          <t>FINSPÅNG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35570-2023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45147</v>
      </c>
      <c r="E625" s="1" t="n">
        <v>46293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46293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48790-2023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45209</v>
      </c>
      <c r="E627" s="1" t="n">
        <v>46293</v>
      </c>
      <c r="F627" t="inlineStr">
        <is>
          <t>ÖSTERGÖTLANDS LÄN</t>
        </is>
      </c>
      <c r="G627" t="inlineStr">
        <is>
          <t>FINSPÅNG</t>
        </is>
      </c>
      <c r="I627" t="n">
        <v>14.6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48793-2023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45209</v>
      </c>
      <c r="E628" s="1" t="n">
        <v>46293</v>
      </c>
      <c r="F628" t="inlineStr">
        <is>
          <t>ÖSTERGÖTLANDS LÄN</t>
        </is>
      </c>
      <c r="G628" t="inlineStr">
        <is>
          <t>FINSPÅNG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45243</v>
      </c>
      <c r="E629" s="1" t="n">
        <v>46293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34883-2026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46258</v>
      </c>
      <c r="E630" s="1" t="n">
        <v>46293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Övriga Aktiebolag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34884-2026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46258</v>
      </c>
      <c r="E631" s="1" t="n">
        <v>46293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Övriga Aktiebolag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45660</v>
      </c>
      <c r="E632" s="1" t="n">
        <v>46293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Övriga Aktiebolag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28722-2023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45103</v>
      </c>
      <c r="E633" s="1" t="n">
        <v>46293</v>
      </c>
      <c r="F633" t="inlineStr">
        <is>
          <t>ÖSTERGÖTLANDS LÄN</t>
        </is>
      </c>
      <c r="G633" t="inlineStr">
        <is>
          <t>FINSPÅNG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59287-2023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45253</v>
      </c>
      <c r="E634" s="1" t="n">
        <v>46293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15824-2022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44664</v>
      </c>
      <c r="E635" s="1" t="n">
        <v>46293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63482-2023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45274</v>
      </c>
      <c r="E636" s="1" t="n">
        <v>46293</v>
      </c>
      <c r="F636" t="inlineStr">
        <is>
          <t>ÖSTERGÖTLANDS LÄN</t>
        </is>
      </c>
      <c r="G636" t="inlineStr">
        <is>
          <t>FINSPÅNG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46293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30920-2022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44767</v>
      </c>
      <c r="E638" s="1" t="n">
        <v>46293</v>
      </c>
      <c r="F638" t="inlineStr">
        <is>
          <t>ÖSTERGÖTLANDS LÄN</t>
        </is>
      </c>
      <c r="G638" t="inlineStr">
        <is>
          <t>FINSPÅNG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10252-2025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45720</v>
      </c>
      <c r="E639" s="1" t="n">
        <v>46293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44735</v>
      </c>
      <c r="E640" s="1" t="n">
        <v>46293</v>
      </c>
      <c r="F640" t="inlineStr">
        <is>
          <t>ÖSTERGÖTLANDS LÄN</t>
        </is>
      </c>
      <c r="G640" t="inlineStr">
        <is>
          <t>FINSPÅNG</t>
        </is>
      </c>
      <c r="I640" t="n">
        <v>10.1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46218</v>
      </c>
      <c r="E641" s="1" t="n">
        <v>46293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46219</v>
      </c>
      <c r="E642" s="1" t="n">
        <v>46293</v>
      </c>
      <c r="F642" t="inlineStr">
        <is>
          <t>ÖSTERGÖTLANDS LÄN</t>
        </is>
      </c>
      <c r="G642" t="inlineStr">
        <is>
          <t>FINSPÅNG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25195-2022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44729</v>
      </c>
      <c r="E643" s="1" t="n">
        <v>46293</v>
      </c>
      <c r="F643" t="inlineStr">
        <is>
          <t>ÖSTERGÖTLANDS LÄN</t>
        </is>
      </c>
      <c r="G643" t="inlineStr">
        <is>
          <t>FINSPÅNG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36191-2023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45149</v>
      </c>
      <c r="E644" s="1" t="n">
        <v>46293</v>
      </c>
      <c r="F644" t="inlineStr">
        <is>
          <t>ÖSTERGÖTLANDS LÄN</t>
        </is>
      </c>
      <c r="G644" t="inlineStr">
        <is>
          <t>FINSPÅNG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59799-2023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46293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45314</v>
      </c>
      <c r="E646" s="1" t="n">
        <v>46293</v>
      </c>
      <c r="F646" t="inlineStr">
        <is>
          <t>ÖSTERGÖTLANDS LÄN</t>
        </is>
      </c>
      <c r="G646" t="inlineStr">
        <is>
          <t>FINSPÅNG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44672</v>
      </c>
      <c r="E647" s="1" t="n">
        <v>46293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45308</v>
      </c>
      <c r="E648" s="1" t="n">
        <v>46293</v>
      </c>
      <c r="F648" t="inlineStr">
        <is>
          <t>ÖSTERGÖTLANDS LÄN</t>
        </is>
      </c>
      <c r="G648" t="inlineStr">
        <is>
          <t>FINSPÅNG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40319-2022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44823</v>
      </c>
      <c r="E649" s="1" t="n">
        <v>46293</v>
      </c>
      <c r="F649" t="inlineStr">
        <is>
          <t>ÖSTERGÖTLANDS LÄN</t>
        </is>
      </c>
      <c r="G649" t="inlineStr">
        <is>
          <t>FINSPÅNG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45623</v>
      </c>
      <c r="E650" s="1" t="n">
        <v>46293</v>
      </c>
      <c r="F650" t="inlineStr">
        <is>
          <t>ÖSTERGÖTLANDS LÄN</t>
        </is>
      </c>
      <c r="G650" t="inlineStr">
        <is>
          <t>FINSPÅNG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38613-2022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44813</v>
      </c>
      <c r="E651" s="1" t="n">
        <v>46293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43051-2022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44833</v>
      </c>
      <c r="E652" s="1" t="n">
        <v>46293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26195-2024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45468</v>
      </c>
      <c r="E653" s="1" t="n">
        <v>46293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46293</v>
      </c>
      <c r="F654" t="inlineStr">
        <is>
          <t>ÖSTERGÖTLANDS LÄN</t>
        </is>
      </c>
      <c r="G654" t="inlineStr">
        <is>
          <t>FINSPÅNG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45309</v>
      </c>
      <c r="E655" s="1" t="n">
        <v>46293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45309</v>
      </c>
      <c r="E656" s="1" t="n">
        <v>46293</v>
      </c>
      <c r="F656" t="inlineStr">
        <is>
          <t>ÖSTERGÖTLANDS LÄN</t>
        </is>
      </c>
      <c r="G656" t="inlineStr">
        <is>
          <t>FINSPÅNG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45309</v>
      </c>
      <c r="E657" s="1" t="n">
        <v>46293</v>
      </c>
      <c r="F657" t="inlineStr">
        <is>
          <t>ÖSTERGÖTLANDS LÄN</t>
        </is>
      </c>
      <c r="G657" t="inlineStr">
        <is>
          <t>FINSPÅNG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59838-2023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45257</v>
      </c>
      <c r="E658" s="1" t="n">
        <v>46293</v>
      </c>
      <c r="F658" t="inlineStr">
        <is>
          <t>ÖSTERGÖTLANDS LÄN</t>
        </is>
      </c>
      <c r="G658" t="inlineStr">
        <is>
          <t>FINSPÅNG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45302</v>
      </c>
      <c r="E659" s="1" t="n">
        <v>46293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44966</v>
      </c>
      <c r="E660" s="1" t="n">
        <v>46293</v>
      </c>
      <c r="F660" t="inlineStr">
        <is>
          <t>ÖSTERGÖTLANDS LÄN</t>
        </is>
      </c>
      <c r="G660" t="inlineStr">
        <is>
          <t>FINSPÅNG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36267-2026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46268</v>
      </c>
      <c r="E661" s="1" t="n">
        <v>46293</v>
      </c>
      <c r="F661" t="inlineStr">
        <is>
          <t>ÖSTERGÖTLANDS LÄN</t>
        </is>
      </c>
      <c r="G661" t="inlineStr">
        <is>
          <t>FINSPÅNG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46293</v>
      </c>
      <c r="F662" t="inlineStr">
        <is>
          <t>ÖSTERGÖTLANDS LÄN</t>
        </is>
      </c>
      <c r="G662" t="inlineStr">
        <is>
          <t>FINSPÅNG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46269</v>
      </c>
      <c r="E663" s="1" t="n">
        <v>46293</v>
      </c>
      <c r="F663" t="inlineStr">
        <is>
          <t>ÖSTERGÖTLANDS LÄN</t>
        </is>
      </c>
      <c r="G663" t="inlineStr">
        <is>
          <t>FINSPÅNG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30922-2022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44767</v>
      </c>
      <c r="E664" s="1" t="n">
        <v>46293</v>
      </c>
      <c r="F664" t="inlineStr">
        <is>
          <t>ÖSTERGÖTLANDS LÄN</t>
        </is>
      </c>
      <c r="G664" t="inlineStr">
        <is>
          <t>FINSPÅNG</t>
        </is>
      </c>
      <c r="I664" t="n">
        <v>10.6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46269</v>
      </c>
      <c r="E665" s="1" t="n">
        <v>46293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46226</v>
      </c>
      <c r="E666" s="1" t="n">
        <v>46293</v>
      </c>
      <c r="F666" t="inlineStr">
        <is>
          <t>ÖSTERGÖTLANDS LÄN</t>
        </is>
      </c>
      <c r="G666" t="inlineStr">
        <is>
          <t>FINSPÅNG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46225</v>
      </c>
      <c r="E667" s="1" t="n">
        <v>46293</v>
      </c>
      <c r="F667" t="inlineStr">
        <is>
          <t>ÖSTERGÖTLANDS LÄN</t>
        </is>
      </c>
      <c r="G667" t="inlineStr">
        <is>
          <t>FINSPÅNG</t>
        </is>
      </c>
      <c r="I667" t="n">
        <v>10.5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46293</v>
      </c>
      <c r="F668" t="inlineStr">
        <is>
          <t>ÖSTERGÖTLANDS LÄN</t>
        </is>
      </c>
      <c r="G668" t="inlineStr">
        <is>
          <t>FINSPÅNG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46293</v>
      </c>
      <c r="F669" t="inlineStr">
        <is>
          <t>ÖSTERGÖTLANDS LÄN</t>
        </is>
      </c>
      <c r="G669" t="inlineStr">
        <is>
          <t>FINSPÅNG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46269</v>
      </c>
      <c r="E670" s="1" t="n">
        <v>46293</v>
      </c>
      <c r="F670" t="inlineStr">
        <is>
          <t>ÖSTERGÖTLANDS LÄN</t>
        </is>
      </c>
      <c r="G670" t="inlineStr">
        <is>
          <t>FINSPÅNG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46293</v>
      </c>
      <c r="F671" t="inlineStr">
        <is>
          <t>ÖSTERGÖTLANDS LÄN</t>
        </is>
      </c>
      <c r="G671" t="inlineStr">
        <is>
          <t>FINSPÅNG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39205-2022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44817</v>
      </c>
      <c r="E672" s="1" t="n">
        <v>46293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17992-2023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45040</v>
      </c>
      <c r="E673" s="1" t="n">
        <v>46293</v>
      </c>
      <c r="F673" t="inlineStr">
        <is>
          <t>ÖSTERGÖTLANDS LÄN</t>
        </is>
      </c>
      <c r="G673" t="inlineStr">
        <is>
          <t>FINSPÅNG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44595</v>
      </c>
      <c r="E674" s="1" t="n">
        <v>46293</v>
      </c>
      <c r="F674" t="inlineStr">
        <is>
          <t>ÖSTERGÖTLANDS LÄN</t>
        </is>
      </c>
      <c r="G674" t="inlineStr">
        <is>
          <t>FINSPÅNG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14110-2023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45009</v>
      </c>
      <c r="E675" s="1" t="n">
        <v>46293</v>
      </c>
      <c r="F675" t="inlineStr">
        <is>
          <t>ÖSTERGÖTLANDS LÄN</t>
        </is>
      </c>
      <c r="G675" t="inlineStr">
        <is>
          <t>FINSPÅNG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46232</v>
      </c>
      <c r="E676" s="1" t="n">
        <v>46293</v>
      </c>
      <c r="F676" t="inlineStr">
        <is>
          <t>ÖSTERGÖTLANDS LÄN</t>
        </is>
      </c>
      <c r="G676" t="inlineStr">
        <is>
          <t>FINSPÅNG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24804-2023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45084</v>
      </c>
      <c r="E677" s="1" t="n">
        <v>46293</v>
      </c>
      <c r="F677" t="inlineStr">
        <is>
          <t>ÖSTERGÖTLANDS LÄN</t>
        </is>
      </c>
      <c r="G677" t="inlineStr">
        <is>
          <t>FINSPÅNG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33027-2022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44782</v>
      </c>
      <c r="E678" s="1" t="n">
        <v>46293</v>
      </c>
      <c r="F678" t="inlineStr">
        <is>
          <t>ÖSTERGÖTLANDS LÄN</t>
        </is>
      </c>
      <c r="G678" t="inlineStr">
        <is>
          <t>FINSPÅNG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46293</v>
      </c>
      <c r="F679" t="inlineStr">
        <is>
          <t>ÖSTERGÖTLANDS LÄN</t>
        </is>
      </c>
      <c r="G679" t="inlineStr">
        <is>
          <t>FINSPÅNG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22714-2022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44714</v>
      </c>
      <c r="E680" s="1" t="n">
        <v>46293</v>
      </c>
      <c r="F680" t="inlineStr">
        <is>
          <t>ÖSTERGÖTLANDS LÄN</t>
        </is>
      </c>
      <c r="G680" t="inlineStr">
        <is>
          <t>FINSPÅNG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45299</v>
      </c>
      <c r="E681" s="1" t="n">
        <v>46293</v>
      </c>
      <c r="F681" t="inlineStr">
        <is>
          <t>ÖSTERGÖTLANDS LÄN</t>
        </is>
      </c>
      <c r="G681" t="inlineStr">
        <is>
          <t>FINSPÅNG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46293</v>
      </c>
      <c r="F682" t="inlineStr">
        <is>
          <t>ÖSTERGÖTLANDS LÄN</t>
        </is>
      </c>
      <c r="G682" t="inlineStr">
        <is>
          <t>FINSPÅNG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37804-2026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46279</v>
      </c>
      <c r="E683" s="1" t="n">
        <v>46293</v>
      </c>
      <c r="F683" t="inlineStr">
        <is>
          <t>ÖSTERGÖTLANDS LÄN</t>
        </is>
      </c>
      <c r="G683" t="inlineStr">
        <is>
          <t>FINSPÅNG</t>
        </is>
      </c>
      <c r="I683" t="n">
        <v>9.4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44749</v>
      </c>
      <c r="E684" s="1" t="n">
        <v>46293</v>
      </c>
      <c r="F684" t="inlineStr">
        <is>
          <t>ÖSTERGÖTLANDS LÄN</t>
        </is>
      </c>
      <c r="G684" t="inlineStr">
        <is>
          <t>FINSPÅNG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46293</v>
      </c>
      <c r="F685" t="inlineStr">
        <is>
          <t>ÖSTERGÖTLANDS LÄN</t>
        </is>
      </c>
      <c r="G685" t="inlineStr">
        <is>
          <t>FINSPÅNG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44861</v>
      </c>
      <c r="E686" s="1" t="n">
        <v>46293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Naturvårdsverket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44987</v>
      </c>
      <c r="E687" s="1" t="n">
        <v>46293</v>
      </c>
      <c r="F687" t="inlineStr">
        <is>
          <t>ÖSTERGÖTLANDS LÄN</t>
        </is>
      </c>
      <c r="G687" t="inlineStr">
        <is>
          <t>FINSPÅNG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53610-2022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44879</v>
      </c>
      <c r="E688" s="1" t="n">
        <v>46293</v>
      </c>
      <c r="F688" t="inlineStr">
        <is>
          <t>ÖSTERGÖTLANDS LÄN</t>
        </is>
      </c>
      <c r="G688" t="inlineStr">
        <is>
          <t>FINSPÅNG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51610-2022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44871</v>
      </c>
      <c r="E689" s="1" t="n">
        <v>46293</v>
      </c>
      <c r="F689" t="inlineStr">
        <is>
          <t>ÖSTERGÖTLANDS LÄN</t>
        </is>
      </c>
      <c r="G689" t="inlineStr">
        <is>
          <t>FINSPÅNG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68122-2021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44526</v>
      </c>
      <c r="E690" s="1" t="n">
        <v>46293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38441-2026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46282</v>
      </c>
      <c r="E691" s="1" t="n">
        <v>46293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Sveaskog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46293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46293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46293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61012-2022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44914</v>
      </c>
      <c r="E695" s="1" t="n">
        <v>46293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46293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46293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46282</v>
      </c>
      <c r="E698" s="1" t="n">
        <v>46293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7.2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46282</v>
      </c>
      <c r="E699" s="1" t="n">
        <v>46293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39114-2024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45548</v>
      </c>
      <c r="E700" s="1" t="n">
        <v>46293</v>
      </c>
      <c r="F700" t="inlineStr">
        <is>
          <t>ÖSTERGÖTLANDS LÄN</t>
        </is>
      </c>
      <c r="G700" t="inlineStr">
        <is>
          <t>FINSPÅNG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38414-2026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46282</v>
      </c>
      <c r="E701" s="1" t="n">
        <v>46293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18488-2025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45763</v>
      </c>
      <c r="E702" s="1" t="n">
        <v>46293</v>
      </c>
      <c r="F702" t="inlineStr">
        <is>
          <t>ÖSTERGÖTLANDS LÄN</t>
        </is>
      </c>
      <c r="G702" t="inlineStr">
        <is>
          <t>FINSPÅNG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38625-2026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46281</v>
      </c>
      <c r="E703" s="1" t="n">
        <v>46293</v>
      </c>
      <c r="F703" t="inlineStr">
        <is>
          <t>ÖSTERGÖTLANDS LÄN</t>
        </is>
      </c>
      <c r="G703" t="inlineStr">
        <is>
          <t>FINSPÅNG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62421-2021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44503</v>
      </c>
      <c r="E704" s="1" t="n">
        <v>46293</v>
      </c>
      <c r="F704" t="inlineStr">
        <is>
          <t>ÖSTERGÖTLANDS LÄN</t>
        </is>
      </c>
      <c r="G704" t="inlineStr">
        <is>
          <t>FINSPÅNG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59062-2024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45636</v>
      </c>
      <c r="E705" s="1" t="n">
        <v>46293</v>
      </c>
      <c r="F705" t="inlineStr">
        <is>
          <t>ÖSTERGÖTLANDS LÄN</t>
        </is>
      </c>
      <c r="G705" t="inlineStr">
        <is>
          <t>FINSPÅNG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7445-2022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44607</v>
      </c>
      <c r="E706" s="1" t="n">
        <v>46293</v>
      </c>
      <c r="F706" t="inlineStr">
        <is>
          <t>ÖSTERGÖTLANDS LÄN</t>
        </is>
      </c>
      <c r="G706" t="inlineStr">
        <is>
          <t>FINSPÅNG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44953</v>
      </c>
      <c r="E707" s="1" t="n">
        <v>46293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39356-2022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44817</v>
      </c>
      <c r="E708" s="1" t="n">
        <v>46293</v>
      </c>
      <c r="F708" t="inlineStr">
        <is>
          <t>ÖSTERGÖTLANDS LÄN</t>
        </is>
      </c>
      <c r="G708" t="inlineStr">
        <is>
          <t>FINSPÅNG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38765-2026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46293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34001-2024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45523</v>
      </c>
      <c r="E710" s="1" t="n">
        <v>46293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35970-2025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45863</v>
      </c>
      <c r="E711" s="1" t="n">
        <v>46293</v>
      </c>
      <c r="F711" t="inlineStr">
        <is>
          <t>ÖSTERGÖTLANDS LÄN</t>
        </is>
      </c>
      <c r="G711" t="inlineStr">
        <is>
          <t>FINSPÅNG</t>
        </is>
      </c>
      <c r="I711" t="n">
        <v>22.6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50811-2022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44867</v>
      </c>
      <c r="E712" s="1" t="n">
        <v>46293</v>
      </c>
      <c r="F712" t="inlineStr">
        <is>
          <t>ÖSTERGÖTLANDS LÄN</t>
        </is>
      </c>
      <c r="G712" t="inlineStr">
        <is>
          <t>FINSPÅNG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25356-2022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44732</v>
      </c>
      <c r="E713" s="1" t="n">
        <v>46293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46293</v>
      </c>
      <c r="F714" t="inlineStr">
        <is>
          <t>ÖSTERGÖTLANDS LÄN</t>
        </is>
      </c>
      <c r="G714" t="inlineStr">
        <is>
          <t>FINSPÅNG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44949</v>
      </c>
      <c r="E715" s="1" t="n">
        <v>46293</v>
      </c>
      <c r="F715" t="inlineStr">
        <is>
          <t>ÖSTERGÖTLANDS LÄN</t>
        </is>
      </c>
      <c r="G715" t="inlineStr">
        <is>
          <t>FINSPÅNG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44949</v>
      </c>
      <c r="E716" s="1" t="n">
        <v>46293</v>
      </c>
      <c r="F716" t="inlineStr">
        <is>
          <t>ÖSTERGÖTLANDS LÄN</t>
        </is>
      </c>
      <c r="G716" t="inlineStr">
        <is>
          <t>FINSPÅNG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44960</v>
      </c>
      <c r="E717" s="1" t="n">
        <v>46293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44966</v>
      </c>
      <c r="E718" s="1" t="n">
        <v>46293</v>
      </c>
      <c r="F718" t="inlineStr">
        <is>
          <t>ÖSTERGÖTLANDS LÄN</t>
        </is>
      </c>
      <c r="G718" t="inlineStr">
        <is>
          <t>FINSPÅNG</t>
        </is>
      </c>
      <c r="I718" t="n">
        <v>8.5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15473-2022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44662</v>
      </c>
      <c r="E719" s="1" t="n">
        <v>46293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40410-2024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45555</v>
      </c>
      <c r="E720" s="1" t="n">
        <v>46293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61994-2022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44918</v>
      </c>
      <c r="E721" s="1" t="n">
        <v>46293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55624-2024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46293</v>
      </c>
      <c r="F722" t="inlineStr">
        <is>
          <t>ÖSTERGÖTLANDS LÄN</t>
        </is>
      </c>
      <c r="G722" t="inlineStr">
        <is>
          <t>FINSPÅNG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611-2023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44930</v>
      </c>
      <c r="E723" s="1" t="n">
        <v>46293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60173-2023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45258</v>
      </c>
      <c r="E724" s="1" t="n">
        <v>46293</v>
      </c>
      <c r="F724" t="inlineStr">
        <is>
          <t>ÖSTERGÖTLANDS LÄN</t>
        </is>
      </c>
      <c r="G724" t="inlineStr">
        <is>
          <t>FINSPÅNG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45379</v>
      </c>
      <c r="E725" s="1" t="n">
        <v>46293</v>
      </c>
      <c r="F725" t="inlineStr">
        <is>
          <t>ÖSTERGÖTLANDS LÄN</t>
        </is>
      </c>
      <c r="G725" t="inlineStr">
        <is>
          <t>FINSPÅNG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60619-2023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46293</v>
      </c>
      <c r="F726" t="inlineStr">
        <is>
          <t>ÖSTERGÖTLANDS LÄN</t>
        </is>
      </c>
      <c r="G726" t="inlineStr">
        <is>
          <t>FINSPÅNG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15674-2023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45021</v>
      </c>
      <c r="E727" s="1" t="n">
        <v>46293</v>
      </c>
      <c r="F727" t="inlineStr">
        <is>
          <t>ÖSTERGÖTLANDS LÄN</t>
        </is>
      </c>
      <c r="G727" t="inlineStr">
        <is>
          <t>FINSPÅNG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39740-2023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45167</v>
      </c>
      <c r="E728" s="1" t="n">
        <v>46293</v>
      </c>
      <c r="F728" t="inlineStr">
        <is>
          <t>ÖSTERGÖTLANDS LÄN</t>
        </is>
      </c>
      <c r="G728" t="inlineStr">
        <is>
          <t>FINSPÅNG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14061-2023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45008</v>
      </c>
      <c r="E729" s="1" t="n">
        <v>46293</v>
      </c>
      <c r="F729" t="inlineStr">
        <is>
          <t>ÖSTERGÖTLANDS LÄN</t>
        </is>
      </c>
      <c r="G729" t="inlineStr">
        <is>
          <t>FINSPÅNG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9339-2022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44616</v>
      </c>
      <c r="E730" s="1" t="n">
        <v>46293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73260-2021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44550</v>
      </c>
      <c r="E731" s="1" t="n">
        <v>46293</v>
      </c>
      <c r="F731" t="inlineStr">
        <is>
          <t>ÖSTERGÖTLANDS LÄN</t>
        </is>
      </c>
      <c r="G731" t="inlineStr">
        <is>
          <t>FINSPÅNG</t>
        </is>
      </c>
      <c r="I731" t="n">
        <v>10.3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53572-2023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45230</v>
      </c>
      <c r="E732" s="1" t="n">
        <v>46293</v>
      </c>
      <c r="F732" t="inlineStr">
        <is>
          <t>ÖSTERGÖTLANDS LÄN</t>
        </is>
      </c>
      <c r="G732" t="inlineStr">
        <is>
          <t>FINSPÅNG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14565-2023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45013</v>
      </c>
      <c r="E733" s="1" t="n">
        <v>46293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40069-2024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45554</v>
      </c>
      <c r="E734" s="1" t="n">
        <v>46293</v>
      </c>
      <c r="F734" t="inlineStr">
        <is>
          <t>ÖSTERGÖTLANDS LÄN</t>
        </is>
      </c>
      <c r="G734" t="inlineStr">
        <is>
          <t>FINSPÅNG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27487-2023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45095</v>
      </c>
      <c r="E735" s="1" t="n">
        <v>46293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Övriga Aktiebolag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45055</v>
      </c>
      <c r="E736" s="1" t="n">
        <v>46293</v>
      </c>
      <c r="F736" t="inlineStr">
        <is>
          <t>ÖSTERGÖTLANDS LÄN</t>
        </is>
      </c>
      <c r="G736" t="inlineStr">
        <is>
          <t>FINSPÅNG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11974-2023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44995</v>
      </c>
      <c r="E737" s="1" t="n">
        <v>46293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45095</v>
      </c>
      <c r="E738" s="1" t="n">
        <v>46293</v>
      </c>
      <c r="F738" t="inlineStr">
        <is>
          <t>ÖSTERGÖTLANDS LÄN</t>
        </is>
      </c>
      <c r="G738" t="inlineStr">
        <is>
          <t>FINSPÅNG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18585-2024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45425</v>
      </c>
      <c r="E739" s="1" t="n">
        <v>46293</v>
      </c>
      <c r="F739" t="inlineStr">
        <is>
          <t>ÖSTERGÖTLANDS LÄN</t>
        </is>
      </c>
      <c r="G739" t="inlineStr">
        <is>
          <t>FINSPÅNG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57854-2022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44898</v>
      </c>
      <c r="E740" s="1" t="n">
        <v>46293</v>
      </c>
      <c r="F740" t="inlineStr">
        <is>
          <t>ÖSTERGÖTLANDS LÄN</t>
        </is>
      </c>
      <c r="G740" t="inlineStr">
        <is>
          <t>FINSPÅNG</t>
        </is>
      </c>
      <c r="I740" t="n">
        <v>0.2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42106-2023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45177</v>
      </c>
      <c r="E741" s="1" t="n">
        <v>46293</v>
      </c>
      <c r="F741" t="inlineStr">
        <is>
          <t>ÖSTERGÖTLANDS LÄN</t>
        </is>
      </c>
      <c r="G741" t="inlineStr">
        <is>
          <t>FINSPÅNG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24015-2024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45456</v>
      </c>
      <c r="E742" s="1" t="n">
        <v>46293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50189-2022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44865</v>
      </c>
      <c r="E743" s="1" t="n">
        <v>46293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9130-2023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44980</v>
      </c>
      <c r="E744" s="1" t="n">
        <v>46293</v>
      </c>
      <c r="F744" t="inlineStr">
        <is>
          <t>ÖSTERGÖTLANDS LÄN</t>
        </is>
      </c>
      <c r="G744" t="inlineStr">
        <is>
          <t>FINSPÅNG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46293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60749-2022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44914</v>
      </c>
      <c r="E746" s="1" t="n">
        <v>46293</v>
      </c>
      <c r="F746" t="inlineStr">
        <is>
          <t>ÖSTERGÖTLANDS LÄN</t>
        </is>
      </c>
      <c r="G746" t="inlineStr">
        <is>
          <t>FINSPÅNG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8317-2023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44974</v>
      </c>
      <c r="E747" s="1" t="n">
        <v>46293</v>
      </c>
      <c r="F747" t="inlineStr">
        <is>
          <t>ÖSTERGÖTLANDS LÄN</t>
        </is>
      </c>
      <c r="G747" t="inlineStr">
        <is>
          <t>FINSPÅNG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44950</v>
      </c>
      <c r="E748" s="1" t="n">
        <v>46293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50510-2024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45601</v>
      </c>
      <c r="E749" s="1" t="n">
        <v>46293</v>
      </c>
      <c r="F749" t="inlineStr">
        <is>
          <t>ÖSTERGÖTLANDS LÄN</t>
        </is>
      </c>
      <c r="G749" t="inlineStr">
        <is>
          <t>FINSPÅNG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4083-2024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45323</v>
      </c>
      <c r="E750" s="1" t="n">
        <v>46293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42779-2023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45181</v>
      </c>
      <c r="E751" s="1" t="n">
        <v>46293</v>
      </c>
      <c r="F751" t="inlineStr">
        <is>
          <t>ÖSTERGÖTLANDS LÄN</t>
        </is>
      </c>
      <c r="G751" t="inlineStr">
        <is>
          <t>FINSPÅNG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18445-2023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45042</v>
      </c>
      <c r="E752" s="1" t="n">
        <v>46293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59808-2023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45257</v>
      </c>
      <c r="E753" s="1" t="n">
        <v>46293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52731-2023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45225</v>
      </c>
      <c r="E754" s="1" t="n">
        <v>46293</v>
      </c>
      <c r="F754" t="inlineStr">
        <is>
          <t>ÖSTERGÖTLANDS LÄN</t>
        </is>
      </c>
      <c r="G754" t="inlineStr">
        <is>
          <t>FINSPÅNG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45082</v>
      </c>
      <c r="E755" s="1" t="n">
        <v>46293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6.6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36110-2023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45149</v>
      </c>
      <c r="E756" s="1" t="n">
        <v>46293</v>
      </c>
      <c r="F756" t="inlineStr">
        <is>
          <t>ÖSTERGÖTLANDS LÄN</t>
        </is>
      </c>
      <c r="G756" t="inlineStr">
        <is>
          <t>FINSPÅNG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11481-2023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44993</v>
      </c>
      <c r="E757" s="1" t="n">
        <v>46293</v>
      </c>
      <c r="F757" t="inlineStr">
        <is>
          <t>ÖSTERGÖTLANDS LÄN</t>
        </is>
      </c>
      <c r="G757" t="inlineStr">
        <is>
          <t>FINSPÅNG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10412-2023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44987</v>
      </c>
      <c r="E758" s="1" t="n">
        <v>46293</v>
      </c>
      <c r="F758" t="inlineStr">
        <is>
          <t>ÖSTERGÖTLANDS LÄN</t>
        </is>
      </c>
      <c r="G758" t="inlineStr">
        <is>
          <t>FINSPÅNG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58011-2023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45247</v>
      </c>
      <c r="E759" s="1" t="n">
        <v>46293</v>
      </c>
      <c r="F759" t="inlineStr">
        <is>
          <t>ÖSTERGÖTLANDS LÄN</t>
        </is>
      </c>
      <c r="G759" t="inlineStr">
        <is>
          <t>FINSPÅNG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18356-2024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45422</v>
      </c>
      <c r="E760" s="1" t="n">
        <v>46293</v>
      </c>
      <c r="F760" t="inlineStr">
        <is>
          <t>ÖSTERGÖTLANDS LÄN</t>
        </is>
      </c>
      <c r="G760" t="inlineStr">
        <is>
          <t>FINSPÅNG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49904-2023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45214</v>
      </c>
      <c r="E761" s="1" t="n">
        <v>46293</v>
      </c>
      <c r="F761" t="inlineStr">
        <is>
          <t>ÖSTERGÖTLANDS LÄN</t>
        </is>
      </c>
      <c r="G761" t="inlineStr">
        <is>
          <t>FINSPÅNG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18258-2024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45421</v>
      </c>
      <c r="E762" s="1" t="n">
        <v>46293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18171-2024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45420</v>
      </c>
      <c r="E763" s="1" t="n">
        <v>46293</v>
      </c>
      <c r="F763" t="inlineStr">
        <is>
          <t>ÖSTERGÖTLANDS LÄN</t>
        </is>
      </c>
      <c r="G763" t="inlineStr">
        <is>
          <t>FINSPÅNG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32973-2023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45125</v>
      </c>
      <c r="E764" s="1" t="n">
        <v>46293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Övriga Aktiebolag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16975-2023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45033</v>
      </c>
      <c r="E765" s="1" t="n">
        <v>46293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Naturvårdsverket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28559-2023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45103</v>
      </c>
      <c r="E766" s="1" t="n">
        <v>46293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45688</v>
      </c>
      <c r="E767" s="1" t="n">
        <v>46293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15952-2023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45022</v>
      </c>
      <c r="E768" s="1" t="n">
        <v>46293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15129-2025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45744</v>
      </c>
      <c r="E769" s="1" t="n">
        <v>46293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Naturvårdsverket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62186-2023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46293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47224-2023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45202</v>
      </c>
      <c r="E771" s="1" t="n">
        <v>46293</v>
      </c>
      <c r="F771" t="inlineStr">
        <is>
          <t>ÖSTERGÖTLANDS LÄN</t>
        </is>
      </c>
      <c r="G771" t="inlineStr">
        <is>
          <t>FINSPÅNG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31801-2023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45118</v>
      </c>
      <c r="E772" s="1" t="n">
        <v>46293</v>
      </c>
      <c r="F772" t="inlineStr">
        <is>
          <t>ÖSTERGÖTLANDS LÄN</t>
        </is>
      </c>
      <c r="G772" t="inlineStr">
        <is>
          <t>FINSPÅNG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52730-2023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45225</v>
      </c>
      <c r="E773" s="1" t="n">
        <v>46293</v>
      </c>
      <c r="F773" t="inlineStr">
        <is>
          <t>ÖSTERGÖTLANDS LÄN</t>
        </is>
      </c>
      <c r="G773" t="inlineStr">
        <is>
          <t>FINSPÅNG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58141-2022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44900</v>
      </c>
      <c r="E774" s="1" t="n">
        <v>46293</v>
      </c>
      <c r="F774" t="inlineStr">
        <is>
          <t>ÖSTERGÖTLANDS LÄN</t>
        </is>
      </c>
      <c r="G774" t="inlineStr">
        <is>
          <t>FINSPÅNG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44981</v>
      </c>
      <c r="E775" s="1" t="n">
        <v>46293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62168-2022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44922</v>
      </c>
      <c r="E776" s="1" t="n">
        <v>46293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45311-2023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45191</v>
      </c>
      <c r="E777" s="1" t="n">
        <v>46293</v>
      </c>
      <c r="F777" t="inlineStr">
        <is>
          <t>ÖSTERGÖTLANDS LÄN</t>
        </is>
      </c>
      <c r="G777" t="inlineStr">
        <is>
          <t>FINSPÅNG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42176-2023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45178</v>
      </c>
      <c r="E778" s="1" t="n">
        <v>46293</v>
      </c>
      <c r="F778" t="inlineStr">
        <is>
          <t>ÖSTERGÖTLANDS LÄN</t>
        </is>
      </c>
      <c r="G778" t="inlineStr">
        <is>
          <t>FINSPÅNG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45177</v>
      </c>
      <c r="E779" s="1" t="n">
        <v>46293</v>
      </c>
      <c r="F779" t="inlineStr">
        <is>
          <t>ÖSTERGÖTLANDS LÄN</t>
        </is>
      </c>
      <c r="G779" t="inlineStr">
        <is>
          <t>FINSPÅNG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55956-2024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45623</v>
      </c>
      <c r="E780" s="1" t="n">
        <v>46293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59699-2024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46293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46317-2023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46293</v>
      </c>
      <c r="F782" t="inlineStr">
        <is>
          <t>ÖSTERGÖTLANDS LÄN</t>
        </is>
      </c>
      <c r="G782" t="inlineStr">
        <is>
          <t>FINSPÅNG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61359-2023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45264</v>
      </c>
      <c r="E783" s="1" t="n">
        <v>46293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32431-2023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45110</v>
      </c>
      <c r="E784" s="1" t="n">
        <v>46293</v>
      </c>
      <c r="F784" t="inlineStr">
        <is>
          <t>ÖSTERGÖTLANDS LÄN</t>
        </is>
      </c>
      <c r="G784" t="inlineStr">
        <is>
          <t>FINSPÅNG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14022-2023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45008</v>
      </c>
      <c r="E785" s="1" t="n">
        <v>46293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48767-2024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45593</v>
      </c>
      <c r="E786" s="1" t="n">
        <v>46293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44942</v>
      </c>
      <c r="E787" s="1" t="n">
        <v>46293</v>
      </c>
      <c r="F787" t="inlineStr">
        <is>
          <t>ÖSTERGÖTLANDS LÄN</t>
        </is>
      </c>
      <c r="G787" t="inlineStr">
        <is>
          <t>FINSPÅNG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9554-2022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44617</v>
      </c>
      <c r="E788" s="1" t="n">
        <v>46293</v>
      </c>
      <c r="F788" t="inlineStr">
        <is>
          <t>ÖSTERGÖTLANDS LÄN</t>
        </is>
      </c>
      <c r="G788" t="inlineStr">
        <is>
          <t>FINSPÅNG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44939</v>
      </c>
      <c r="E789" s="1" t="n">
        <v>46293</v>
      </c>
      <c r="F789" t="inlineStr">
        <is>
          <t>ÖSTERGÖTLANDS LÄN</t>
        </is>
      </c>
      <c r="G789" t="inlineStr">
        <is>
          <t>FINSPÅNG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47317-2023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45202</v>
      </c>
      <c r="E790" s="1" t="n">
        <v>46293</v>
      </c>
      <c r="F790" t="inlineStr">
        <is>
          <t>ÖSTERGÖTLANDS LÄN</t>
        </is>
      </c>
      <c r="G790" t="inlineStr">
        <is>
          <t>FINSPÅNG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44946</v>
      </c>
      <c r="E791" s="1" t="n">
        <v>46293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44946</v>
      </c>
      <c r="E792" s="1" t="n">
        <v>46293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24503-2023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45082</v>
      </c>
      <c r="E793" s="1" t="n">
        <v>46293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46293</v>
      </c>
      <c r="F794" t="inlineStr">
        <is>
          <t>ÖSTERGÖTLANDS LÄN</t>
        </is>
      </c>
      <c r="G794" t="inlineStr">
        <is>
          <t>FINSPÅNG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10258-2025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46293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58313-2023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45250</v>
      </c>
      <c r="E796" s="1" t="n">
        <v>46293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48443-2023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45206</v>
      </c>
      <c r="E797" s="1" t="n">
        <v>46293</v>
      </c>
      <c r="F797" t="inlineStr">
        <is>
          <t>ÖSTERGÖTLANDS LÄN</t>
        </is>
      </c>
      <c r="G797" t="inlineStr">
        <is>
          <t>FINSPÅNG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6154-2023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44964</v>
      </c>
      <c r="E798" s="1" t="n">
        <v>46293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52007-2024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46293</v>
      </c>
      <c r="F799" t="inlineStr">
        <is>
          <t>ÖSTERGÖTLANDS LÄN</t>
        </is>
      </c>
      <c r="G799" t="inlineStr">
        <is>
          <t>FINSPÅNG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52008-2024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45607</v>
      </c>
      <c r="E800" s="1" t="n">
        <v>46293</v>
      </c>
      <c r="F800" t="inlineStr">
        <is>
          <t>ÖSTERGÖTLANDS LÄN</t>
        </is>
      </c>
      <c r="G800" t="inlineStr">
        <is>
          <t>FINSPÅNG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58991-2021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44490</v>
      </c>
      <c r="E801" s="1" t="n">
        <v>46293</v>
      </c>
      <c r="F801" t="inlineStr">
        <is>
          <t>ÖSTERGÖTLANDS LÄN</t>
        </is>
      </c>
      <c r="G801" t="inlineStr">
        <is>
          <t>FINSPÅNG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19609-2025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45770</v>
      </c>
      <c r="E802" s="1" t="n">
        <v>46293</v>
      </c>
      <c r="F802" t="inlineStr">
        <is>
          <t>ÖSTERGÖTLANDS LÄN</t>
        </is>
      </c>
      <c r="G802" t="inlineStr">
        <is>
          <t>FINSPÅNG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15900-2025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45749</v>
      </c>
      <c r="E803" s="1" t="n">
        <v>46293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59702-2024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45639</v>
      </c>
      <c r="E804" s="1" t="n">
        <v>46293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8438-2025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45709</v>
      </c>
      <c r="E805" s="1" t="n">
        <v>46293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42705-2024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46293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42711-2024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46293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14031-2025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46293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28558-2023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45103</v>
      </c>
      <c r="E809" s="1" t="n">
        <v>46293</v>
      </c>
      <c r="F809" t="inlineStr">
        <is>
          <t>ÖSTERGÖTLANDS LÄN</t>
        </is>
      </c>
      <c r="G809" t="inlineStr">
        <is>
          <t>FINSPÅNG</t>
        </is>
      </c>
      <c r="I809" t="n">
        <v>11.1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54299-2023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45232</v>
      </c>
      <c r="E810" s="1" t="n">
        <v>46293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52557-2024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45609</v>
      </c>
      <c r="E811" s="1" t="n">
        <v>46293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42678-2024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45566</v>
      </c>
      <c r="E812" s="1" t="n">
        <v>46293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42699-2024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45566</v>
      </c>
      <c r="E813" s="1" t="n">
        <v>46293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42682-2024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45566</v>
      </c>
      <c r="E814" s="1" t="n">
        <v>46293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13392-2025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45735</v>
      </c>
      <c r="E815" s="1" t="n">
        <v>46293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13457-2025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45736</v>
      </c>
      <c r="E816" s="1" t="n">
        <v>46293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35343-2024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45530</v>
      </c>
      <c r="E817" s="1" t="n">
        <v>46293</v>
      </c>
      <c r="F817" t="inlineStr">
        <is>
          <t>ÖSTERGÖTLANDS LÄN</t>
        </is>
      </c>
      <c r="G817" t="inlineStr">
        <is>
          <t>FINSPÅNG</t>
        </is>
      </c>
      <c r="I817" t="n">
        <v>7.2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60249-2024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45642</v>
      </c>
      <c r="E818" s="1" t="n">
        <v>46293</v>
      </c>
      <c r="F818" t="inlineStr">
        <is>
          <t>ÖSTERGÖTLANDS LÄN</t>
        </is>
      </c>
      <c r="G818" t="inlineStr">
        <is>
          <t>FINSPÅNG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62155-2023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45267</v>
      </c>
      <c r="E819" s="1" t="n">
        <v>46293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35340-2024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46293</v>
      </c>
      <c r="F820" t="inlineStr">
        <is>
          <t>ÖSTERGÖTLANDS LÄN</t>
        </is>
      </c>
      <c r="G820" t="inlineStr">
        <is>
          <t>FINSPÅNG</t>
        </is>
      </c>
      <c r="I820" t="n">
        <v>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11523-2025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45727</v>
      </c>
      <c r="E821" s="1" t="n">
        <v>46293</v>
      </c>
      <c r="F821" t="inlineStr">
        <is>
          <t>ÖSTERGÖTLANDS LÄN</t>
        </is>
      </c>
      <c r="G821" t="inlineStr">
        <is>
          <t>FINSPÅNG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11149-2024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45371</v>
      </c>
      <c r="E822" s="1" t="n">
        <v>46293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Kyrkan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5129-2024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45644</v>
      </c>
      <c r="E823" s="1" t="n">
        <v>46293</v>
      </c>
      <c r="F823" t="inlineStr">
        <is>
          <t>ÖSTERGÖTLANDS LÄN</t>
        </is>
      </c>
      <c r="G823" t="inlineStr">
        <is>
          <t>FINSPÅNG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1605-2024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45428</v>
      </c>
      <c r="E824" s="1" t="n">
        <v>46293</v>
      </c>
      <c r="F824" t="inlineStr">
        <is>
          <t>ÖSTERGÖTLANDS LÄN</t>
        </is>
      </c>
      <c r="G824" t="inlineStr">
        <is>
          <t>FINSPÅNG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1637-2024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45429</v>
      </c>
      <c r="E825" s="1" t="n">
        <v>46293</v>
      </c>
      <c r="F825" t="inlineStr">
        <is>
          <t>ÖSTERGÖTLANDS LÄN</t>
        </is>
      </c>
      <c r="G825" t="inlineStr">
        <is>
          <t>FINSPÅNG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4163-2023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45250</v>
      </c>
      <c r="E826" s="1" t="n">
        <v>46293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Sveaskog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1759-2026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46188</v>
      </c>
      <c r="E827" s="1" t="n">
        <v>46293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Övriga Aktiebolag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2208-2026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46258</v>
      </c>
      <c r="E828" s="1" t="n">
        <v>46293</v>
      </c>
      <c r="F828" t="inlineStr">
        <is>
          <t>ÖSTERGÖTLANDS LÄN</t>
        </is>
      </c>
      <c r="G828" t="inlineStr">
        <is>
          <t>FINSPÅNG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2026-09-28T01:58:34Z</dcterms:created>
  <dcterms:modified xmlns:dcterms="http://purl.org/dc/terms/" xmlns:xsi="http://www.w3.org/2001/XMLSchema-instance" xsi:type="dcterms:W3CDTF">2026-09-28T01:58:35Z</dcterms:modified>
</cp:coreProperties>
</file>