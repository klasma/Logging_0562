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46198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46198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46198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46198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46198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46198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10676-2022</t>
        </is>
      </c>
      <c r="B8" s="1" t="n">
        <v>44624</v>
      </c>
      <c r="C8" s="1" t="n">
        <v>46198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4.5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Dvärgbägarlav
Kolflarnlav
Slåtterfibbla
Tallticka
Grovticka
Mindre märgborre
Vanlig flatbagge</t>
        </is>
      </c>
      <c r="S8">
        <f>HYPERLINK("https://klasma.github.io/Logging_0562/artfynd/A 10676-2022 artfynd.xlsx", "A 10676-2022")</f>
        <v/>
      </c>
      <c r="T8">
        <f>HYPERLINK("https://klasma.github.io/Logging_0562/kartor/A 10676-2022 karta.png", "A 10676-2022")</f>
        <v/>
      </c>
      <c r="V8">
        <f>HYPERLINK("https://klasma.github.io/Logging_0562/klagomål/A 10676-2022 FSC-klagomål.docx", "A 10676-2022")</f>
        <v/>
      </c>
      <c r="W8">
        <f>HYPERLINK("https://klasma.github.io/Logging_0562/klagomålsmail/A 10676-2022 FSC-klagomål mail.docx", "A 10676-2022")</f>
        <v/>
      </c>
      <c r="X8">
        <f>HYPERLINK("https://klasma.github.io/Logging_0562/tillsyn/A 10676-2022 tillsynsbegäran.docx", "A 10676-2022")</f>
        <v/>
      </c>
      <c r="Y8">
        <f>HYPERLINK("https://klasma.github.io/Logging_0562/tillsynsmail/A 10676-2022 tillsynsbegäran mail.docx", "A 10676-2022")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46198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46198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2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Kattfotslav
Vedtrappmossa
Flagellkvastmossa
Mindre märgborre
Vedticka
Revlummer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18262-2024</t>
        </is>
      </c>
      <c r="B11" s="1" t="n">
        <v>45421</v>
      </c>
      <c r="C11" s="1" t="n">
        <v>46198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39827-2025</t>
        </is>
      </c>
      <c r="B12" s="1" t="n">
        <v>45891</v>
      </c>
      <c r="C12" s="1" t="n">
        <v>46198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2.4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Kattfotslav
Kolflarnlav
Björksplintborre
Flagellkvastmossa
Kornknutmossa
Rostfläck
Stubbspretmossa</t>
        </is>
      </c>
      <c r="S12">
        <f>HYPERLINK("https://klasma.github.io/Logging_0562/artfynd/A 39827-2025 artfynd.xlsx", "A 39827-2025")</f>
        <v/>
      </c>
      <c r="T12">
        <f>HYPERLINK("https://klasma.github.io/Logging_0562/kartor/A 39827-2025 karta.png", "A 39827-2025")</f>
        <v/>
      </c>
      <c r="V12">
        <f>HYPERLINK("https://klasma.github.io/Logging_0562/klagomål/A 39827-2025 FSC-klagomål.docx", "A 39827-2025")</f>
        <v/>
      </c>
      <c r="W12">
        <f>HYPERLINK("https://klasma.github.io/Logging_0562/klagomålsmail/A 39827-2025 FSC-klagomål mail.docx", "A 39827-2025")</f>
        <v/>
      </c>
      <c r="X12">
        <f>HYPERLINK("https://klasma.github.io/Logging_0562/tillsyn/A 39827-2025 tillsynsbegäran.docx", "A 39827-2025")</f>
        <v/>
      </c>
      <c r="Y12">
        <f>HYPERLINK("https://klasma.github.io/Logging_0562/tillsynsmail/A 39827-2025 tillsynsbegäran mail.docx", "A 39827-2025")</f>
        <v/>
      </c>
    </row>
    <row r="13" ht="15" customHeight="1">
      <c r="A13" t="inlineStr">
        <is>
          <t>A 41091-2025</t>
        </is>
      </c>
      <c r="B13" s="1" t="n">
        <v>45898</v>
      </c>
      <c r="C13" s="1" t="n">
        <v>46198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</v>
      </c>
      <c r="H13" t="n">
        <v>0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Björksplintborre
Blåmossa
Flagellkvastmossa
Kornknutmossa
Mindre märgborre
Stubbspretmossa</t>
        </is>
      </c>
      <c r="S13">
        <f>HYPERLINK("https://klasma.github.io/Logging_0562/artfynd/A 41091-2025 artfynd.xlsx", "A 41091-2025")</f>
        <v/>
      </c>
      <c r="T13">
        <f>HYPERLINK("https://klasma.github.io/Logging_0562/kartor/A 41091-2025 karta.png", "A 41091-2025")</f>
        <v/>
      </c>
      <c r="V13">
        <f>HYPERLINK("https://klasma.github.io/Logging_0562/klagomål/A 41091-2025 FSC-klagomål.docx", "A 41091-2025")</f>
        <v/>
      </c>
      <c r="W13">
        <f>HYPERLINK("https://klasma.github.io/Logging_0562/klagomålsmail/A 41091-2025 FSC-klagomål mail.docx", "A 41091-2025")</f>
        <v/>
      </c>
      <c r="X13">
        <f>HYPERLINK("https://klasma.github.io/Logging_0562/tillsyn/A 41091-2025 tillsynsbegäran.docx", "A 41091-2025")</f>
        <v/>
      </c>
      <c r="Y13">
        <f>HYPERLINK("https://klasma.github.io/Logging_0562/tillsynsmail/A 41091-2025 tillsynsbegäran mail.docx", "A 41091-2025")</f>
        <v/>
      </c>
    </row>
    <row r="14" ht="15" customHeight="1">
      <c r="A14" t="inlineStr">
        <is>
          <t>A 62160-2023</t>
        </is>
      </c>
      <c r="B14" s="1" t="n">
        <v>45267</v>
      </c>
      <c r="C14" s="1" t="n">
        <v>46198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0.9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Dropptaggsvamp
Fyrflikig jordstjärna
Orange taggsvamp
Skarp dropptaggsvamp
Blomkålssvamp
Svart taggsvamp agg.</t>
        </is>
      </c>
      <c r="S14">
        <f>HYPERLINK("https://klasma.github.io/Logging_0562/artfynd/A 62160-2023 artfynd.xlsx", "A 62160-2023")</f>
        <v/>
      </c>
      <c r="T14">
        <f>HYPERLINK("https://klasma.github.io/Logging_0562/kartor/A 62160-2023 karta.png", "A 62160-2023")</f>
        <v/>
      </c>
      <c r="V14">
        <f>HYPERLINK("https://klasma.github.io/Logging_0562/klagomål/A 62160-2023 FSC-klagomål.docx", "A 62160-2023")</f>
        <v/>
      </c>
      <c r="W14">
        <f>HYPERLINK("https://klasma.github.io/Logging_0562/klagomålsmail/A 62160-2023 FSC-klagomål mail.docx", "A 62160-2023")</f>
        <v/>
      </c>
      <c r="X14">
        <f>HYPERLINK("https://klasma.github.io/Logging_0562/tillsyn/A 62160-2023 tillsynsbegäran.docx", "A 62160-2023")</f>
        <v/>
      </c>
      <c r="Y14">
        <f>HYPERLINK("https://klasma.github.io/Logging_0562/tillsynsmail/A 62160-2023 tillsynsbegäran mail.docx", "A 62160-2023")</f>
        <v/>
      </c>
    </row>
    <row r="15" ht="15" customHeight="1">
      <c r="A15" t="inlineStr">
        <is>
          <t>A 41742-2021</t>
        </is>
      </c>
      <c r="B15" s="1" t="n">
        <v>44425</v>
      </c>
      <c r="C15" s="1" t="n">
        <v>46198</v>
      </c>
      <c r="D15" t="inlineStr">
        <is>
          <t>ÖSTERGÖTLANDS LÄN</t>
        </is>
      </c>
      <c r="E15" t="inlineStr">
        <is>
          <t>FINSPÅNG</t>
        </is>
      </c>
      <c r="G15" t="n">
        <v>6</v>
      </c>
      <c r="H15" t="n">
        <v>5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Hasselsnok
Sandödla
Kopparödla
Skogsödla
Vanlig padda</t>
        </is>
      </c>
      <c r="S15">
        <f>HYPERLINK("https://klasma.github.io/Logging_0562/artfynd/A 41742-2021 artfynd.xlsx", "A 41742-2021")</f>
        <v/>
      </c>
      <c r="T15">
        <f>HYPERLINK("https://klasma.github.io/Logging_0562/kartor/A 41742-2021 karta.png", "A 41742-2021")</f>
        <v/>
      </c>
      <c r="V15">
        <f>HYPERLINK("https://klasma.github.io/Logging_0562/klagomål/A 41742-2021 FSC-klagomål.docx", "A 41742-2021")</f>
        <v/>
      </c>
      <c r="W15">
        <f>HYPERLINK("https://klasma.github.io/Logging_0562/klagomålsmail/A 41742-2021 FSC-klagomål mail.docx", "A 41742-2021")</f>
        <v/>
      </c>
      <c r="X15">
        <f>HYPERLINK("https://klasma.github.io/Logging_0562/tillsyn/A 41742-2021 tillsynsbegäran.docx", "A 41742-2021")</f>
        <v/>
      </c>
      <c r="Y15">
        <f>HYPERLINK("https://klasma.github.io/Logging_0562/tillsynsmail/A 41742-2021 tillsynsbegäran mail.docx", "A 41742-2021")</f>
        <v/>
      </c>
    </row>
    <row r="16" ht="15" customHeight="1">
      <c r="A16" t="inlineStr">
        <is>
          <t>A 34096-2022</t>
        </is>
      </c>
      <c r="B16" s="1" t="n">
        <v>44791</v>
      </c>
      <c r="C16" s="1" t="n">
        <v>46198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1.3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Jättemusseron
Dropptaggsvamp
Motaggsvamp
Tallticka
Blomkålssvamp</t>
        </is>
      </c>
      <c r="S16">
        <f>HYPERLINK("https://klasma.github.io/Logging_0562/artfynd/A 34096-2022 artfynd.xlsx", "A 34096-2022")</f>
        <v/>
      </c>
      <c r="T16">
        <f>HYPERLINK("https://klasma.github.io/Logging_0562/kartor/A 34096-2022 karta.png", "A 34096-2022")</f>
        <v/>
      </c>
      <c r="V16">
        <f>HYPERLINK("https://klasma.github.io/Logging_0562/klagomål/A 34096-2022 FSC-klagomål.docx", "A 34096-2022")</f>
        <v/>
      </c>
      <c r="W16">
        <f>HYPERLINK("https://klasma.github.io/Logging_0562/klagomålsmail/A 34096-2022 FSC-klagomål mail.docx", "A 34096-2022")</f>
        <v/>
      </c>
      <c r="X16">
        <f>HYPERLINK("https://klasma.github.io/Logging_0562/tillsyn/A 34096-2022 tillsynsbegäran.docx", "A 34096-2022")</f>
        <v/>
      </c>
      <c r="Y16">
        <f>HYPERLINK("https://klasma.github.io/Logging_0562/tillsynsmail/A 34096-2022 tillsynsbegäran mail.docx", "A 34096-2022")</f>
        <v/>
      </c>
    </row>
    <row r="17" ht="15" customHeight="1">
      <c r="A17" t="inlineStr">
        <is>
          <t>A 51020-2025</t>
        </is>
      </c>
      <c r="B17" s="1" t="n">
        <v>45947</v>
      </c>
      <c r="C17" s="1" t="n">
        <v>46198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Nordfladdermus
Hasselticka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27354-2025</t>
        </is>
      </c>
      <c r="B18" s="1" t="n">
        <v>45812</v>
      </c>
      <c r="C18" s="1" t="n">
        <v>46198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2.8</v>
      </c>
      <c r="H18" t="n">
        <v>1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Aspvedgnagare
Barkticka
Fällmossa
Rävticka
Blåsippa</t>
        </is>
      </c>
      <c r="S18">
        <f>HYPERLINK("https://klasma.github.io/Logging_0562/artfynd/A 27354-2025 artfynd.xlsx", "A 27354-2025")</f>
        <v/>
      </c>
      <c r="T18">
        <f>HYPERLINK("https://klasma.github.io/Logging_0562/kartor/A 27354-2025 karta.png", "A 27354-2025")</f>
        <v/>
      </c>
      <c r="V18">
        <f>HYPERLINK("https://klasma.github.io/Logging_0562/klagomål/A 27354-2025 FSC-klagomål.docx", "A 27354-2025")</f>
        <v/>
      </c>
      <c r="W18">
        <f>HYPERLINK("https://klasma.github.io/Logging_0562/klagomålsmail/A 27354-2025 FSC-klagomål mail.docx", "A 27354-2025")</f>
        <v/>
      </c>
      <c r="X18">
        <f>HYPERLINK("https://klasma.github.io/Logging_0562/tillsyn/A 27354-2025 tillsynsbegäran.docx", "A 27354-2025")</f>
        <v/>
      </c>
      <c r="Y18">
        <f>HYPERLINK("https://klasma.github.io/Logging_0562/tillsynsmail/A 27354-2025 tillsynsbegäran mail.docx", "A 27354-2025")</f>
        <v/>
      </c>
    </row>
    <row r="19" ht="15" customHeight="1">
      <c r="A19" t="inlineStr">
        <is>
          <t>A 16106-2022</t>
        </is>
      </c>
      <c r="B19" s="1" t="n">
        <v>44665</v>
      </c>
      <c r="C19" s="1" t="n">
        <v>46198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5.6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Raggbock
Tallticka
Vedskivlav
Revlummer</t>
        </is>
      </c>
      <c r="S19">
        <f>HYPERLINK("https://klasma.github.io/Logging_0562/artfynd/A 16106-2022 artfynd.xlsx", "A 16106-2022")</f>
        <v/>
      </c>
      <c r="T19">
        <f>HYPERLINK("https://klasma.github.io/Logging_0562/kartor/A 16106-2022 karta.png", "A 16106-2022")</f>
        <v/>
      </c>
      <c r="V19">
        <f>HYPERLINK("https://klasma.github.io/Logging_0562/klagomål/A 16106-2022 FSC-klagomål.docx", "A 16106-2022")</f>
        <v/>
      </c>
      <c r="W19">
        <f>HYPERLINK("https://klasma.github.io/Logging_0562/klagomålsmail/A 16106-2022 FSC-klagomål mail.docx", "A 16106-2022")</f>
        <v/>
      </c>
      <c r="X19">
        <f>HYPERLINK("https://klasma.github.io/Logging_0562/tillsyn/A 16106-2022 tillsynsbegäran.docx", "A 16106-2022")</f>
        <v/>
      </c>
      <c r="Y19">
        <f>HYPERLINK("https://klasma.github.io/Logging_0562/tillsynsmail/A 16106-2022 tillsynsbegäran mail.docx", "A 16106-2022")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46198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28464-2025</t>
        </is>
      </c>
      <c r="B21" s="1" t="n">
        <v>45819</v>
      </c>
      <c r="C21" s="1" t="n">
        <v>46198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Dropptaggsvamp
Tallticka
Spillkråka</t>
        </is>
      </c>
      <c r="S21">
        <f>HYPERLINK("https://klasma.github.io/Logging_0562/artfynd/A 28464-2025 artfynd.xlsx", "A 28464-2025")</f>
        <v/>
      </c>
      <c r="T21">
        <f>HYPERLINK("https://klasma.github.io/Logging_0562/kartor/A 28464-2025 karta.png", "A 28464-2025")</f>
        <v/>
      </c>
      <c r="V21">
        <f>HYPERLINK("https://klasma.github.io/Logging_0562/klagomål/A 28464-2025 FSC-klagomål.docx", "A 28464-2025")</f>
        <v/>
      </c>
      <c r="W21">
        <f>HYPERLINK("https://klasma.github.io/Logging_0562/klagomålsmail/A 28464-2025 FSC-klagomål mail.docx", "A 28464-2025")</f>
        <v/>
      </c>
      <c r="X21">
        <f>HYPERLINK("https://klasma.github.io/Logging_0562/tillsyn/A 28464-2025 tillsynsbegäran.docx", "A 28464-2025")</f>
        <v/>
      </c>
      <c r="Y21">
        <f>HYPERLINK("https://klasma.github.io/Logging_0562/tillsynsmail/A 28464-2025 tillsynsbegäran mail.docx", "A 28464-2025")</f>
        <v/>
      </c>
      <c r="Z21">
        <f>HYPERLINK("https://klasma.github.io/Logging_0562/fåglar/A 28464-2025 prioriterade fågelarter.docx", "A 28464-2025")</f>
        <v/>
      </c>
    </row>
    <row r="22" ht="15" customHeight="1">
      <c r="A22" t="inlineStr">
        <is>
          <t>A 24404-2023</t>
        </is>
      </c>
      <c r="B22" s="1" t="n">
        <v>45082</v>
      </c>
      <c r="C22" s="1" t="n">
        <v>46198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12.4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Tibast
Blåsippa</t>
        </is>
      </c>
      <c r="S22">
        <f>HYPERLINK("https://klasma.github.io/Logging_0562/artfynd/A 24404-2023 artfynd.xlsx", "A 24404-2023")</f>
        <v/>
      </c>
      <c r="T22">
        <f>HYPERLINK("https://klasma.github.io/Logging_0562/kartor/A 24404-2023 karta.png", "A 24404-2023")</f>
        <v/>
      </c>
      <c r="V22">
        <f>HYPERLINK("https://klasma.github.io/Logging_0562/klagomål/A 24404-2023 FSC-klagomål.docx", "A 24404-2023")</f>
        <v/>
      </c>
      <c r="W22">
        <f>HYPERLINK("https://klasma.github.io/Logging_0562/klagomålsmail/A 24404-2023 FSC-klagomål mail.docx", "A 24404-2023")</f>
        <v/>
      </c>
      <c r="X22">
        <f>HYPERLINK("https://klasma.github.io/Logging_0562/tillsyn/A 24404-2023 tillsynsbegäran.docx", "A 24404-2023")</f>
        <v/>
      </c>
      <c r="Y22">
        <f>HYPERLINK("https://klasma.github.io/Logging_0562/tillsynsmail/A 24404-2023 tillsynsbegäran mail.docx", "A 24404-2023")</f>
        <v/>
      </c>
    </row>
    <row r="23" ht="15" customHeight="1">
      <c r="A23" t="inlineStr">
        <is>
          <t>A 31393-2022</t>
        </is>
      </c>
      <c r="B23" s="1" t="n">
        <v>44774</v>
      </c>
      <c r="C23" s="1" t="n">
        <v>46198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0.4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Gullpudra
Tibast
Vätteros</t>
        </is>
      </c>
      <c r="S23">
        <f>HYPERLINK("https://klasma.github.io/Logging_0562/artfynd/A 31393-2022 artfynd.xlsx", "A 31393-2022")</f>
        <v/>
      </c>
      <c r="T23">
        <f>HYPERLINK("https://klasma.github.io/Logging_0562/kartor/A 31393-2022 karta.png", "A 31393-2022")</f>
        <v/>
      </c>
      <c r="V23">
        <f>HYPERLINK("https://klasma.github.io/Logging_0562/klagomål/A 31393-2022 FSC-klagomål.docx", "A 31393-2022")</f>
        <v/>
      </c>
      <c r="W23">
        <f>HYPERLINK("https://klasma.github.io/Logging_0562/klagomålsmail/A 31393-2022 FSC-klagomål mail.docx", "A 31393-2022")</f>
        <v/>
      </c>
      <c r="X23">
        <f>HYPERLINK("https://klasma.github.io/Logging_0562/tillsyn/A 31393-2022 tillsynsbegäran.docx", "A 31393-2022")</f>
        <v/>
      </c>
      <c r="Y23">
        <f>HYPERLINK("https://klasma.github.io/Logging_0562/tillsynsmail/A 31393-2022 tillsynsbegäran mail.docx", "A 31393-2022")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46198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46198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46198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38963-2022</t>
        </is>
      </c>
      <c r="B27" s="1" t="n">
        <v>44816</v>
      </c>
      <c r="C27" s="1" t="n">
        <v>46198</v>
      </c>
      <c r="D27" t="inlineStr">
        <is>
          <t>ÖSTERGÖTLANDS LÄN</t>
        </is>
      </c>
      <c r="E27" t="inlineStr">
        <is>
          <t>FINSPÅNG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Grönvit nattviol</t>
        </is>
      </c>
      <c r="S27">
        <f>HYPERLINK("https://klasma.github.io/Logging_0562/artfynd/A 38963-2022 artfynd.xlsx", "A 38963-2022")</f>
        <v/>
      </c>
      <c r="T27">
        <f>HYPERLINK("https://klasma.github.io/Logging_0562/kartor/A 38963-2022 karta.png", "A 38963-2022")</f>
        <v/>
      </c>
      <c r="V27">
        <f>HYPERLINK("https://klasma.github.io/Logging_0562/klagomål/A 38963-2022 FSC-klagomål.docx", "A 38963-2022")</f>
        <v/>
      </c>
      <c r="W27">
        <f>HYPERLINK("https://klasma.github.io/Logging_0562/klagomålsmail/A 38963-2022 FSC-klagomål mail.docx", "A 38963-2022")</f>
        <v/>
      </c>
      <c r="X27">
        <f>HYPERLINK("https://klasma.github.io/Logging_0562/tillsyn/A 38963-2022 tillsynsbegäran.docx", "A 38963-2022")</f>
        <v/>
      </c>
      <c r="Y27">
        <f>HYPERLINK("https://klasma.github.io/Logging_0562/tillsynsmail/A 38963-2022 tillsynsbegäran mail.docx", "A 38963-2022")</f>
        <v/>
      </c>
    </row>
    <row r="28" ht="15" customHeight="1">
      <c r="A28" t="inlineStr">
        <is>
          <t>A 28395-2024</t>
        </is>
      </c>
      <c r="B28" s="1" t="n">
        <v>45477</v>
      </c>
      <c r="C28" s="1" t="n">
        <v>46198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25940-2026</t>
        </is>
      </c>
      <c r="B29" s="1" t="n">
        <v>46181</v>
      </c>
      <c r="C29" s="1" t="n">
        <v>46198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Sveaskog</t>
        </is>
      </c>
      <c r="G29" t="n">
        <v>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Flagellkvastmossa</t>
        </is>
      </c>
      <c r="S29">
        <f>HYPERLINK("https://klasma.github.io/Logging_0562/artfynd/A 25940-2026 artfynd.xlsx", "A 25940-2026")</f>
        <v/>
      </c>
      <c r="T29">
        <f>HYPERLINK("https://klasma.github.io/Logging_0562/kartor/A 25940-2026 karta.png", "A 25940-2026")</f>
        <v/>
      </c>
      <c r="V29">
        <f>HYPERLINK("https://klasma.github.io/Logging_0562/klagomål/A 25940-2026 FSC-klagomål.docx", "A 25940-2026")</f>
        <v/>
      </c>
      <c r="W29">
        <f>HYPERLINK("https://klasma.github.io/Logging_0562/klagomålsmail/A 25940-2026 FSC-klagomål mail.docx", "A 25940-2026")</f>
        <v/>
      </c>
      <c r="X29">
        <f>HYPERLINK("https://klasma.github.io/Logging_0562/tillsyn/A 25940-2026 tillsynsbegäran.docx", "A 25940-2026")</f>
        <v/>
      </c>
      <c r="Y29">
        <f>HYPERLINK("https://klasma.github.io/Logging_0562/tillsynsmail/A 25940-2026 tillsynsbegäran mail.docx", "A 25940-2026")</f>
        <v/>
      </c>
    </row>
    <row r="30" ht="15" customHeight="1">
      <c r="A30" t="inlineStr">
        <is>
          <t>A 40002-2025</t>
        </is>
      </c>
      <c r="B30" s="1" t="n">
        <v>45894</v>
      </c>
      <c r="C30" s="1" t="n">
        <v>46198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Orre</t>
        </is>
      </c>
      <c r="S30">
        <f>HYPERLINK("https://klasma.github.io/Logging_0562/artfynd/A 40002-2025 artfynd.xlsx", "A 40002-2025")</f>
        <v/>
      </c>
      <c r="T30">
        <f>HYPERLINK("https://klasma.github.io/Logging_0562/kartor/A 40002-2025 karta.png", "A 40002-2025")</f>
        <v/>
      </c>
      <c r="V30">
        <f>HYPERLINK("https://klasma.github.io/Logging_0562/klagomål/A 40002-2025 FSC-klagomål.docx", "A 40002-2025")</f>
        <v/>
      </c>
      <c r="W30">
        <f>HYPERLINK("https://klasma.github.io/Logging_0562/klagomålsmail/A 40002-2025 FSC-klagomål mail.docx", "A 40002-2025")</f>
        <v/>
      </c>
      <c r="X30">
        <f>HYPERLINK("https://klasma.github.io/Logging_0562/tillsyn/A 40002-2025 tillsynsbegäran.docx", "A 40002-2025")</f>
        <v/>
      </c>
      <c r="Y30">
        <f>HYPERLINK("https://klasma.github.io/Logging_0562/tillsynsmail/A 40002-2025 tillsynsbegäran mail.docx", "A 40002-2025")</f>
        <v/>
      </c>
      <c r="Z30">
        <f>HYPERLINK("https://klasma.github.io/Logging_0562/fåglar/A 40002-2025 prioriterade fågelarter.docx", "A 40002-2025")</f>
        <v/>
      </c>
    </row>
    <row r="31" ht="15" customHeight="1">
      <c r="A31" t="inlineStr">
        <is>
          <t>A 42388-2025</t>
        </is>
      </c>
      <c r="B31" s="1" t="n">
        <v>45905</v>
      </c>
      <c r="C31" s="1" t="n">
        <v>46198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Skarp dropptaggsvamp
Stor aspticka</t>
        </is>
      </c>
      <c r="S31">
        <f>HYPERLINK("https://klasma.github.io/Logging_0562/artfynd/A 42388-2025 artfynd.xlsx", "A 42388-2025")</f>
        <v/>
      </c>
      <c r="T31">
        <f>HYPERLINK("https://klasma.github.io/Logging_0562/kartor/A 42388-2025 karta.png", "A 42388-2025")</f>
        <v/>
      </c>
      <c r="V31">
        <f>HYPERLINK("https://klasma.github.io/Logging_0562/klagomål/A 42388-2025 FSC-klagomål.docx", "A 42388-2025")</f>
        <v/>
      </c>
      <c r="W31">
        <f>HYPERLINK("https://klasma.github.io/Logging_0562/klagomålsmail/A 42388-2025 FSC-klagomål mail.docx", "A 42388-2025")</f>
        <v/>
      </c>
      <c r="X31">
        <f>HYPERLINK("https://klasma.github.io/Logging_0562/tillsyn/A 42388-2025 tillsynsbegäran.docx", "A 42388-2025")</f>
        <v/>
      </c>
      <c r="Y31">
        <f>HYPERLINK("https://klasma.github.io/Logging_0562/tillsynsmail/A 42388-2025 tillsynsbegäran mail.docx", "A 42388-2025")</f>
        <v/>
      </c>
    </row>
    <row r="32" ht="15" customHeight="1">
      <c r="A32" t="inlineStr">
        <is>
          <t>A 25941-2026</t>
        </is>
      </c>
      <c r="B32" s="1" t="n">
        <v>46181</v>
      </c>
      <c r="C32" s="1" t="n">
        <v>46198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Sveaskog</t>
        </is>
      </c>
      <c r="G32" t="n">
        <v>14.4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Flagellkvastmossa</t>
        </is>
      </c>
      <c r="S32">
        <f>HYPERLINK("https://klasma.github.io/Logging_0562/artfynd/A 25941-2026 artfynd.xlsx", "A 25941-2026")</f>
        <v/>
      </c>
      <c r="T32">
        <f>HYPERLINK("https://klasma.github.io/Logging_0562/kartor/A 25941-2026 karta.png", "A 25941-2026")</f>
        <v/>
      </c>
      <c r="V32">
        <f>HYPERLINK("https://klasma.github.io/Logging_0562/klagomål/A 25941-2026 FSC-klagomål.docx", "A 25941-2026")</f>
        <v/>
      </c>
      <c r="W32">
        <f>HYPERLINK("https://klasma.github.io/Logging_0562/klagomålsmail/A 25941-2026 FSC-klagomål mail.docx", "A 25941-2026")</f>
        <v/>
      </c>
      <c r="X32">
        <f>HYPERLINK("https://klasma.github.io/Logging_0562/tillsyn/A 25941-2026 tillsynsbegäran.docx", "A 25941-2026")</f>
        <v/>
      </c>
      <c r="Y32">
        <f>HYPERLINK("https://klasma.github.io/Logging_0562/tillsynsmail/A 25941-2026 tillsynsbegäran mail.docx", "A 25941-2026")</f>
        <v/>
      </c>
    </row>
    <row r="33" ht="15" customHeight="1">
      <c r="A33" t="inlineStr">
        <is>
          <t>A 51549-2025</t>
        </is>
      </c>
      <c r="B33" s="1" t="n">
        <v>45950</v>
      </c>
      <c r="C33" s="1" t="n">
        <v>46198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Svedjenäva
Mattlummer</t>
        </is>
      </c>
      <c r="S33">
        <f>HYPERLINK("https://klasma.github.io/Logging_0562/artfynd/A 51549-2025 artfynd.xlsx", "A 51549-2025")</f>
        <v/>
      </c>
      <c r="T33">
        <f>HYPERLINK("https://klasma.github.io/Logging_0562/kartor/A 51549-2025 karta.png", "A 51549-2025")</f>
        <v/>
      </c>
      <c r="V33">
        <f>HYPERLINK("https://klasma.github.io/Logging_0562/klagomål/A 51549-2025 FSC-klagomål.docx", "A 51549-2025")</f>
        <v/>
      </c>
      <c r="W33">
        <f>HYPERLINK("https://klasma.github.io/Logging_0562/klagomålsmail/A 51549-2025 FSC-klagomål mail.docx", "A 51549-2025")</f>
        <v/>
      </c>
      <c r="X33">
        <f>HYPERLINK("https://klasma.github.io/Logging_0562/tillsyn/A 51549-2025 tillsynsbegäran.docx", "A 51549-2025")</f>
        <v/>
      </c>
      <c r="Y33">
        <f>HYPERLINK("https://klasma.github.io/Logging_0562/tillsynsmail/A 51549-2025 tillsynsbegäran mail.docx", "A 51549-2025")</f>
        <v/>
      </c>
    </row>
    <row r="34" ht="15" customHeight="1">
      <c r="A34" t="inlineStr">
        <is>
          <t>A 60890-2024</t>
        </is>
      </c>
      <c r="B34" s="1" t="n">
        <v>45644</v>
      </c>
      <c r="C34" s="1" t="n">
        <v>46198</v>
      </c>
      <c r="D34" t="inlineStr">
        <is>
          <t>ÖSTERGÖTLANDS LÄN</t>
        </is>
      </c>
      <c r="E34" t="inlineStr">
        <is>
          <t>FINSPÅNG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Grönvit nattviol</t>
        </is>
      </c>
      <c r="S34">
        <f>HYPERLINK("https://klasma.github.io/Logging_0562/artfynd/A 60890-2024 artfynd.xlsx", "A 60890-2024")</f>
        <v/>
      </c>
      <c r="T34">
        <f>HYPERLINK("https://klasma.github.io/Logging_0562/kartor/A 60890-2024 karta.png", "A 60890-2024")</f>
        <v/>
      </c>
      <c r="V34">
        <f>HYPERLINK("https://klasma.github.io/Logging_0562/klagomål/A 60890-2024 FSC-klagomål.docx", "A 60890-2024")</f>
        <v/>
      </c>
      <c r="W34">
        <f>HYPERLINK("https://klasma.github.io/Logging_0562/klagomålsmail/A 60890-2024 FSC-klagomål mail.docx", "A 60890-2024")</f>
        <v/>
      </c>
      <c r="X34">
        <f>HYPERLINK("https://klasma.github.io/Logging_0562/tillsyn/A 60890-2024 tillsynsbegäran.docx", "A 60890-2024")</f>
        <v/>
      </c>
      <c r="Y34">
        <f>HYPERLINK("https://klasma.github.io/Logging_0562/tillsynsmail/A 60890-2024 tillsynsbegäran mail.docx", "A 60890-2024")</f>
        <v/>
      </c>
    </row>
    <row r="35" ht="15" customHeight="1">
      <c r="A35" t="inlineStr">
        <is>
          <t>A 9412-2023</t>
        </is>
      </c>
      <c r="B35" s="1" t="n">
        <v>44981</v>
      </c>
      <c r="C35" s="1" t="n">
        <v>46198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Fläcknycklar</t>
        </is>
      </c>
      <c r="S35">
        <f>HYPERLINK("https://klasma.github.io/Logging_0562/artfynd/A 9412-2023 artfynd.xlsx", "A 9412-2023")</f>
        <v/>
      </c>
      <c r="T35">
        <f>HYPERLINK("https://klasma.github.io/Logging_0562/kartor/A 9412-2023 karta.png", "A 9412-2023")</f>
        <v/>
      </c>
      <c r="V35">
        <f>HYPERLINK("https://klasma.github.io/Logging_0562/klagomål/A 9412-2023 FSC-klagomål.docx", "A 9412-2023")</f>
        <v/>
      </c>
      <c r="W35">
        <f>HYPERLINK("https://klasma.github.io/Logging_0562/klagomålsmail/A 9412-2023 FSC-klagomål mail.docx", "A 9412-2023")</f>
        <v/>
      </c>
      <c r="X35">
        <f>HYPERLINK("https://klasma.github.io/Logging_0562/tillsyn/A 9412-2023 tillsynsbegäran.docx", "A 9412-2023")</f>
        <v/>
      </c>
      <c r="Y35">
        <f>HYPERLINK("https://klasma.github.io/Logging_0562/tillsynsmail/A 9412-2023 tillsynsbegäran mail.docx", "A 9412-2023")</f>
        <v/>
      </c>
    </row>
    <row r="36" ht="15" customHeight="1">
      <c r="A36" t="inlineStr">
        <is>
          <t>A 18462-2024</t>
        </is>
      </c>
      <c r="B36" s="1" t="n">
        <v>45425</v>
      </c>
      <c r="C36" s="1" t="n">
        <v>46198</v>
      </c>
      <c r="D36" t="inlineStr">
        <is>
          <t>ÖSTERGÖTLANDS LÄN</t>
        </is>
      </c>
      <c r="E36" t="inlineStr">
        <is>
          <t>FINSPÅNG</t>
        </is>
      </c>
      <c r="G36" t="n">
        <v>6.1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Mosippa
Gullklöver</t>
        </is>
      </c>
      <c r="S36">
        <f>HYPERLINK("https://klasma.github.io/Logging_0562/artfynd/A 18462-2024 artfynd.xlsx", "A 18462-2024")</f>
        <v/>
      </c>
      <c r="T36">
        <f>HYPERLINK("https://klasma.github.io/Logging_0562/kartor/A 18462-2024 karta.png", "A 18462-2024")</f>
        <v/>
      </c>
      <c r="V36">
        <f>HYPERLINK("https://klasma.github.io/Logging_0562/klagomål/A 18462-2024 FSC-klagomål.docx", "A 18462-2024")</f>
        <v/>
      </c>
      <c r="W36">
        <f>HYPERLINK("https://klasma.github.io/Logging_0562/klagomålsmail/A 18462-2024 FSC-klagomål mail.docx", "A 18462-2024")</f>
        <v/>
      </c>
      <c r="X36">
        <f>HYPERLINK("https://klasma.github.io/Logging_0562/tillsyn/A 18462-2024 tillsynsbegäran.docx", "A 18462-2024")</f>
        <v/>
      </c>
      <c r="Y36">
        <f>HYPERLINK("https://klasma.github.io/Logging_0562/tillsynsmail/A 18462-2024 tillsynsbegäran mail.docx", "A 18462-2024")</f>
        <v/>
      </c>
    </row>
    <row r="37" ht="15" customHeight="1">
      <c r="A37" t="inlineStr">
        <is>
          <t>A 54654-2023</t>
        </is>
      </c>
      <c r="B37" s="1" t="n">
        <v>45235</v>
      </c>
      <c r="C37" s="1" t="n">
        <v>46198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Bronshjon</t>
        </is>
      </c>
      <c r="S37">
        <f>HYPERLINK("https://klasma.github.io/Logging_0562/artfynd/A 54654-2023 artfynd.xlsx", "A 54654-2023")</f>
        <v/>
      </c>
      <c r="T37">
        <f>HYPERLINK("https://klasma.github.io/Logging_0562/kartor/A 54654-2023 karta.png", "A 54654-2023")</f>
        <v/>
      </c>
      <c r="V37">
        <f>HYPERLINK("https://klasma.github.io/Logging_0562/klagomål/A 54654-2023 FSC-klagomål.docx", "A 54654-2023")</f>
        <v/>
      </c>
      <c r="W37">
        <f>HYPERLINK("https://klasma.github.io/Logging_0562/klagomålsmail/A 54654-2023 FSC-klagomål mail.docx", "A 54654-2023")</f>
        <v/>
      </c>
      <c r="X37">
        <f>HYPERLINK("https://klasma.github.io/Logging_0562/tillsyn/A 54654-2023 tillsynsbegäran.docx", "A 54654-2023")</f>
        <v/>
      </c>
      <c r="Y37">
        <f>HYPERLINK("https://klasma.github.io/Logging_0562/tillsynsmail/A 54654-2023 tillsynsbegäran mail.docx", "A 54654-2023")</f>
        <v/>
      </c>
    </row>
    <row r="38" ht="15" customHeight="1">
      <c r="A38" t="inlineStr">
        <is>
          <t>A 32570-2023</t>
        </is>
      </c>
      <c r="B38" s="1" t="n">
        <v>45121</v>
      </c>
      <c r="C38" s="1" t="n">
        <v>46198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7.7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Havsörn</t>
        </is>
      </c>
      <c r="S38">
        <f>HYPERLINK("https://klasma.github.io/Logging_0562/artfynd/A 32570-2023 artfynd.xlsx", "A 32570-2023")</f>
        <v/>
      </c>
      <c r="T38">
        <f>HYPERLINK("https://klasma.github.io/Logging_0562/kartor/A 32570-2023 karta.png", "A 32570-2023")</f>
        <v/>
      </c>
      <c r="V38">
        <f>HYPERLINK("https://klasma.github.io/Logging_0562/klagomål/A 32570-2023 FSC-klagomål.docx", "A 32570-2023")</f>
        <v/>
      </c>
      <c r="W38">
        <f>HYPERLINK("https://klasma.github.io/Logging_0562/klagomålsmail/A 32570-2023 FSC-klagomål mail.docx", "A 32570-2023")</f>
        <v/>
      </c>
      <c r="X38">
        <f>HYPERLINK("https://klasma.github.io/Logging_0562/tillsyn/A 32570-2023 tillsynsbegäran.docx", "A 32570-2023")</f>
        <v/>
      </c>
      <c r="Y38">
        <f>HYPERLINK("https://klasma.github.io/Logging_0562/tillsynsmail/A 32570-2023 tillsynsbegäran mail.docx", "A 32570-2023")</f>
        <v/>
      </c>
      <c r="Z38">
        <f>HYPERLINK("https://klasma.github.io/Logging_0562/fåglar/A 32570-2023 prioriterade fågelarter.docx", "A 32570-2023")</f>
        <v/>
      </c>
    </row>
    <row r="39" ht="15" customHeight="1">
      <c r="A39" t="inlineStr">
        <is>
          <t>A 24834-2026</t>
        </is>
      </c>
      <c r="B39" s="1" t="n">
        <v>46174</v>
      </c>
      <c r="C39" s="1" t="n">
        <v>46198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Backruta
Fläcknycklar</t>
        </is>
      </c>
      <c r="S39">
        <f>HYPERLINK("https://klasma.github.io/Logging_0562/artfynd/A 24834-2026 artfynd.xlsx", "A 24834-2026")</f>
        <v/>
      </c>
      <c r="T39">
        <f>HYPERLINK("https://klasma.github.io/Logging_0562/kartor/A 24834-2026 karta.png", "A 24834-2026")</f>
        <v/>
      </c>
      <c r="V39">
        <f>HYPERLINK("https://klasma.github.io/Logging_0562/klagomål/A 24834-2026 FSC-klagomål.docx", "A 24834-2026")</f>
        <v/>
      </c>
      <c r="W39">
        <f>HYPERLINK("https://klasma.github.io/Logging_0562/klagomålsmail/A 24834-2026 FSC-klagomål mail.docx", "A 24834-2026")</f>
        <v/>
      </c>
      <c r="X39">
        <f>HYPERLINK("https://klasma.github.io/Logging_0562/tillsyn/A 24834-2026 tillsynsbegäran.docx", "A 24834-2026")</f>
        <v/>
      </c>
      <c r="Y39">
        <f>HYPERLINK("https://klasma.github.io/Logging_0562/tillsynsmail/A 24834-2026 tillsynsbegäran mail.docx", "A 24834-2026")</f>
        <v/>
      </c>
    </row>
    <row r="40" ht="15" customHeight="1">
      <c r="A40" t="inlineStr">
        <is>
          <t>A 58806-2022</t>
        </is>
      </c>
      <c r="B40" s="1" t="n">
        <v>44903</v>
      </c>
      <c r="C40" s="1" t="n">
        <v>46198</v>
      </c>
      <c r="D40" t="inlineStr">
        <is>
          <t>ÖSTERGÖTLANDS LÄN</t>
        </is>
      </c>
      <c r="E40" t="inlineStr">
        <is>
          <t>FINSPÅNG</t>
        </is>
      </c>
      <c r="G40" t="n">
        <v>3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Flagellkvastmossa</t>
        </is>
      </c>
      <c r="S40">
        <f>HYPERLINK("https://klasma.github.io/Logging_0562/artfynd/A 58806-2022 artfynd.xlsx", "A 58806-2022")</f>
        <v/>
      </c>
      <c r="T40">
        <f>HYPERLINK("https://klasma.github.io/Logging_0562/kartor/A 58806-2022 karta.png", "A 58806-2022")</f>
        <v/>
      </c>
      <c r="U40">
        <f>HYPERLINK("https://klasma.github.io/Logging_0562/knärot/A 58806-2022 karta knärot.png", "A 58806-2022")</f>
        <v/>
      </c>
      <c r="V40">
        <f>HYPERLINK("https://klasma.github.io/Logging_0562/klagomål/A 58806-2022 FSC-klagomål.docx", "A 58806-2022")</f>
        <v/>
      </c>
      <c r="W40">
        <f>HYPERLINK("https://klasma.github.io/Logging_0562/klagomålsmail/A 58806-2022 FSC-klagomål mail.docx", "A 58806-2022")</f>
        <v/>
      </c>
      <c r="X40">
        <f>HYPERLINK("https://klasma.github.io/Logging_0562/tillsyn/A 58806-2022 tillsynsbegäran.docx", "A 58806-2022")</f>
        <v/>
      </c>
      <c r="Y40">
        <f>HYPERLINK("https://klasma.github.io/Logging_0562/tillsynsmail/A 58806-2022 tillsynsbegäran mail.docx", "A 58806-2022")</f>
        <v/>
      </c>
    </row>
    <row r="41" ht="15" customHeight="1">
      <c r="A41" t="inlineStr">
        <is>
          <t>A 25284-2025</t>
        </is>
      </c>
      <c r="B41" s="1" t="n">
        <v>45800</v>
      </c>
      <c r="C41" s="1" t="n">
        <v>46198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Fjällig taggsvamp s.str.
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17960-2022</t>
        </is>
      </c>
      <c r="B42" s="1" t="n">
        <v>44683</v>
      </c>
      <c r="C42" s="1" t="n">
        <v>46198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HYPERLINK("https://klasma.github.io/Logging_0562/artfynd/A 17960-2022 artfynd.xlsx", "A 17960-2022")</f>
        <v/>
      </c>
      <c r="T42">
        <f>HYPERLINK("https://klasma.github.io/Logging_0562/kartor/A 17960-2022 karta.png", "A 17960-2022")</f>
        <v/>
      </c>
      <c r="V42">
        <f>HYPERLINK("https://klasma.github.io/Logging_0562/klagomål/A 17960-2022 FSC-klagomål.docx", "A 17960-2022")</f>
        <v/>
      </c>
      <c r="W42">
        <f>HYPERLINK("https://klasma.github.io/Logging_0562/klagomålsmail/A 17960-2022 FSC-klagomål mail.docx", "A 17960-2022")</f>
        <v/>
      </c>
      <c r="X42">
        <f>HYPERLINK("https://klasma.github.io/Logging_0562/tillsyn/A 17960-2022 tillsynsbegäran.docx", "A 17960-2022")</f>
        <v/>
      </c>
      <c r="Y42">
        <f>HYPERLINK("https://klasma.github.io/Logging_0562/tillsynsmail/A 17960-2022 tillsynsbegäran mail.docx", "A 17960-2022")</f>
        <v/>
      </c>
    </row>
    <row r="43" ht="15" customHeight="1">
      <c r="A43" t="inlineStr">
        <is>
          <t>A 31750-2022</t>
        </is>
      </c>
      <c r="B43" s="1" t="n">
        <v>44776</v>
      </c>
      <c r="C43" s="1" t="n">
        <v>46198</v>
      </c>
      <c r="D43" t="inlineStr">
        <is>
          <t>ÖSTERGÖTLANDS LÄN</t>
        </is>
      </c>
      <c r="E43" t="inlineStr">
        <is>
          <t>FINSPÅNG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31750-2022 artfynd.xlsx", "A 31750-2022")</f>
        <v/>
      </c>
      <c r="T43">
        <f>HYPERLINK("https://klasma.github.io/Logging_0562/kartor/A 31750-2022 karta.png", "A 31750-2022")</f>
        <v/>
      </c>
      <c r="V43">
        <f>HYPERLINK("https://klasma.github.io/Logging_0562/klagomål/A 31750-2022 FSC-klagomål.docx", "A 31750-2022")</f>
        <v/>
      </c>
      <c r="W43">
        <f>HYPERLINK("https://klasma.github.io/Logging_0562/klagomålsmail/A 31750-2022 FSC-klagomål mail.docx", "A 31750-2022")</f>
        <v/>
      </c>
      <c r="X43">
        <f>HYPERLINK("https://klasma.github.io/Logging_0562/tillsyn/A 31750-2022 tillsynsbegäran.docx", "A 31750-2022")</f>
        <v/>
      </c>
      <c r="Y43">
        <f>HYPERLINK("https://klasma.github.io/Logging_0562/tillsynsmail/A 31750-2022 tillsynsbegäran mail.docx", "A 31750-2022")</f>
        <v/>
      </c>
    </row>
    <row r="44" ht="15" customHeight="1">
      <c r="A44" t="inlineStr">
        <is>
          <t>A 62736-2021</t>
        </is>
      </c>
      <c r="B44" s="1" t="n">
        <v>44504</v>
      </c>
      <c r="C44" s="1" t="n">
        <v>46198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HYPERLINK("https://klasma.github.io/Logging_0562/artfynd/A 62736-2021 artfynd.xlsx", "A 62736-2021")</f>
        <v/>
      </c>
      <c r="T44">
        <f>HYPERLINK("https://klasma.github.io/Logging_0562/kartor/A 62736-2021 karta.png", "A 62736-2021")</f>
        <v/>
      </c>
      <c r="V44">
        <f>HYPERLINK("https://klasma.github.io/Logging_0562/klagomål/A 62736-2021 FSC-klagomål.docx", "A 62736-2021")</f>
        <v/>
      </c>
      <c r="W44">
        <f>HYPERLINK("https://klasma.github.io/Logging_0562/klagomålsmail/A 62736-2021 FSC-klagomål mail.docx", "A 62736-2021")</f>
        <v/>
      </c>
      <c r="X44">
        <f>HYPERLINK("https://klasma.github.io/Logging_0562/tillsyn/A 62736-2021 tillsynsbegäran.docx", "A 62736-2021")</f>
        <v/>
      </c>
      <c r="Y44">
        <f>HYPERLINK("https://klasma.github.io/Logging_0562/tillsynsmail/A 62736-2021 tillsynsbegäran mail.docx", "A 62736-2021")</f>
        <v/>
      </c>
    </row>
    <row r="45" ht="15" customHeight="1">
      <c r="A45" t="inlineStr">
        <is>
          <t>A 68414-2021</t>
        </is>
      </c>
      <c r="B45" s="1" t="n">
        <v>44529</v>
      </c>
      <c r="C45" s="1" t="n">
        <v>46198</v>
      </c>
      <c r="D45" t="inlineStr">
        <is>
          <t>ÖSTERGÖTLANDS LÄN</t>
        </is>
      </c>
      <c r="E45" t="inlineStr">
        <is>
          <t>FINSPÅNG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68414-2021 artfynd.xlsx", "A 68414-2021")</f>
        <v/>
      </c>
      <c r="T45">
        <f>HYPERLINK("https://klasma.github.io/Logging_0562/kartor/A 68414-2021 karta.png", "A 68414-2021")</f>
        <v/>
      </c>
      <c r="V45">
        <f>HYPERLINK("https://klasma.github.io/Logging_0562/klagomål/A 68414-2021 FSC-klagomål.docx", "A 68414-2021")</f>
        <v/>
      </c>
      <c r="W45">
        <f>HYPERLINK("https://klasma.github.io/Logging_0562/klagomålsmail/A 68414-2021 FSC-klagomål mail.docx", "A 68414-2021")</f>
        <v/>
      </c>
      <c r="X45">
        <f>HYPERLINK("https://klasma.github.io/Logging_0562/tillsyn/A 68414-2021 tillsynsbegäran.docx", "A 68414-2021")</f>
        <v/>
      </c>
      <c r="Y45">
        <f>HYPERLINK("https://klasma.github.io/Logging_0562/tillsynsmail/A 68414-2021 tillsynsbegäran mail.docx", "A 68414-2021")</f>
        <v/>
      </c>
    </row>
    <row r="46" ht="15" customHeight="1">
      <c r="A46" t="inlineStr">
        <is>
          <t>A 42947-2024</t>
        </is>
      </c>
      <c r="B46" s="1" t="n">
        <v>45567</v>
      </c>
      <c r="C46" s="1" t="n">
        <v>46198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HYPERLINK("https://klasma.github.io/Logging_0562/artfynd/A 42947-2024 artfynd.xlsx", "A 42947-2024")</f>
        <v/>
      </c>
      <c r="T46">
        <f>HYPERLINK("https://klasma.github.io/Logging_0562/kartor/A 42947-2024 karta.png", "A 42947-2024")</f>
        <v/>
      </c>
      <c r="U46">
        <f>HYPERLINK("https://klasma.github.io/Logging_0562/knärot/A 42947-2024 karta knärot.png", "A 42947-2024")</f>
        <v/>
      </c>
      <c r="V46">
        <f>HYPERLINK("https://klasma.github.io/Logging_0562/klagomål/A 42947-2024 FSC-klagomål.docx", "A 42947-2024")</f>
        <v/>
      </c>
      <c r="W46">
        <f>HYPERLINK("https://klasma.github.io/Logging_0562/klagomålsmail/A 42947-2024 FSC-klagomål mail.docx", "A 42947-2024")</f>
        <v/>
      </c>
      <c r="X46">
        <f>HYPERLINK("https://klasma.github.io/Logging_0562/tillsyn/A 42947-2024 tillsynsbegäran.docx", "A 42947-2024")</f>
        <v/>
      </c>
      <c r="Y46">
        <f>HYPERLINK("https://klasma.github.io/Logging_0562/tillsynsmail/A 42947-2024 tillsynsbegäran mail.docx", "A 42947-2024")</f>
        <v/>
      </c>
    </row>
    <row r="47" ht="15" customHeight="1">
      <c r="A47" t="inlineStr">
        <is>
          <t>A 24411-2023</t>
        </is>
      </c>
      <c r="B47" s="1" t="n">
        <v>45082</v>
      </c>
      <c r="C47" s="1" t="n">
        <v>46198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HYPERLINK("https://klasma.github.io/Logging_0562/artfynd/A 24411-2023 artfynd.xlsx", "A 24411-2023")</f>
        <v/>
      </c>
      <c r="T47">
        <f>HYPERLINK("https://klasma.github.io/Logging_0562/kartor/A 24411-2023 karta.png", "A 24411-2023")</f>
        <v/>
      </c>
      <c r="V47">
        <f>HYPERLINK("https://klasma.github.io/Logging_0562/klagomål/A 24411-2023 FSC-klagomål.docx", "A 24411-2023")</f>
        <v/>
      </c>
      <c r="W47">
        <f>HYPERLINK("https://klasma.github.io/Logging_0562/klagomålsmail/A 24411-2023 FSC-klagomål mail.docx", "A 24411-2023")</f>
        <v/>
      </c>
      <c r="X47">
        <f>HYPERLINK("https://klasma.github.io/Logging_0562/tillsyn/A 24411-2023 tillsynsbegäran.docx", "A 24411-2023")</f>
        <v/>
      </c>
      <c r="Y47">
        <f>HYPERLINK("https://klasma.github.io/Logging_0562/tillsynsmail/A 24411-2023 tillsynsbegäran mail.docx", "A 24411-2023")</f>
        <v/>
      </c>
    </row>
    <row r="48" ht="15" customHeight="1">
      <c r="A48" t="inlineStr">
        <is>
          <t>A 42700-2024</t>
        </is>
      </c>
      <c r="B48" s="1" t="n">
        <v>45566</v>
      </c>
      <c r="C48" s="1" t="n">
        <v>46198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Fältgentiana</t>
        </is>
      </c>
      <c r="S48">
        <f>HYPERLINK("https://klasma.github.io/Logging_0562/artfynd/A 42700-2024 artfynd.xlsx", "A 42700-2024")</f>
        <v/>
      </c>
      <c r="T48">
        <f>HYPERLINK("https://klasma.github.io/Logging_0562/kartor/A 42700-2024 karta.png", "A 42700-2024")</f>
        <v/>
      </c>
      <c r="V48">
        <f>HYPERLINK("https://klasma.github.io/Logging_0562/klagomål/A 42700-2024 FSC-klagomål.docx", "A 42700-2024")</f>
        <v/>
      </c>
      <c r="W48">
        <f>HYPERLINK("https://klasma.github.io/Logging_0562/klagomålsmail/A 42700-2024 FSC-klagomål mail.docx", "A 42700-2024")</f>
        <v/>
      </c>
      <c r="X48">
        <f>HYPERLINK("https://klasma.github.io/Logging_0562/tillsyn/A 42700-2024 tillsynsbegäran.docx", "A 42700-2024")</f>
        <v/>
      </c>
      <c r="Y48">
        <f>HYPERLINK("https://klasma.github.io/Logging_0562/tillsynsmail/A 42700-2024 tillsynsbegäran mail.docx", "A 42700-2024")</f>
        <v/>
      </c>
    </row>
    <row r="49" ht="15" customHeight="1">
      <c r="A49" t="inlineStr">
        <is>
          <t>A 36128-2023</t>
        </is>
      </c>
      <c r="B49" s="1" t="n">
        <v>45149</v>
      </c>
      <c r="C49" s="1" t="n">
        <v>46198</v>
      </c>
      <c r="D49" t="inlineStr">
        <is>
          <t>ÖSTERGÖTLANDS LÄN</t>
        </is>
      </c>
      <c r="E49" t="inlineStr">
        <is>
          <t>FINSPÅNG</t>
        </is>
      </c>
      <c r="G49" t="n">
        <v>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HYPERLINK("https://klasma.github.io/Logging_0562/artfynd/A 36128-2023 artfynd.xlsx", "A 36128-2023")</f>
        <v/>
      </c>
      <c r="T49">
        <f>HYPERLINK("https://klasma.github.io/Logging_0562/kartor/A 36128-2023 karta.png", "A 36128-2023")</f>
        <v/>
      </c>
      <c r="V49">
        <f>HYPERLINK("https://klasma.github.io/Logging_0562/klagomål/A 36128-2023 FSC-klagomål.docx", "A 36128-2023")</f>
        <v/>
      </c>
      <c r="W49">
        <f>HYPERLINK("https://klasma.github.io/Logging_0562/klagomålsmail/A 36128-2023 FSC-klagomål mail.docx", "A 36128-2023")</f>
        <v/>
      </c>
      <c r="X49">
        <f>HYPERLINK("https://klasma.github.io/Logging_0562/tillsyn/A 36128-2023 tillsynsbegäran.docx", "A 36128-2023")</f>
        <v/>
      </c>
      <c r="Y49">
        <f>HYPERLINK("https://klasma.github.io/Logging_0562/tillsynsmail/A 36128-2023 tillsynsbegäran mail.docx", "A 36128-2023")</f>
        <v/>
      </c>
      <c r="Z49">
        <f>HYPERLINK("https://klasma.github.io/Logging_0562/fåglar/A 36128-2023 prioriterade fågelarter.docx", "A 36128-2023")</f>
        <v/>
      </c>
    </row>
    <row r="50" ht="15" customHeight="1">
      <c r="A50" t="inlineStr">
        <is>
          <t>A 53265-2023</t>
        </is>
      </c>
      <c r="B50" s="1" t="n">
        <v>45229</v>
      </c>
      <c r="C50" s="1" t="n">
        <v>46198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HYPERLINK("https://klasma.github.io/Logging_0562/artfynd/A 53265-2023 artfynd.xlsx", "A 53265-2023")</f>
        <v/>
      </c>
      <c r="T50">
        <f>HYPERLINK("https://klasma.github.io/Logging_0562/kartor/A 53265-2023 karta.png", "A 53265-2023")</f>
        <v/>
      </c>
      <c r="V50">
        <f>HYPERLINK("https://klasma.github.io/Logging_0562/klagomål/A 53265-2023 FSC-klagomål.docx", "A 53265-2023")</f>
        <v/>
      </c>
      <c r="W50">
        <f>HYPERLINK("https://klasma.github.io/Logging_0562/klagomålsmail/A 53265-2023 FSC-klagomål mail.docx", "A 53265-2023")</f>
        <v/>
      </c>
      <c r="X50">
        <f>HYPERLINK("https://klasma.github.io/Logging_0562/tillsyn/A 53265-2023 tillsynsbegäran.docx", "A 53265-2023")</f>
        <v/>
      </c>
      <c r="Y50">
        <f>HYPERLINK("https://klasma.github.io/Logging_0562/tillsynsmail/A 53265-2023 tillsynsbegäran mail.docx", "A 53265-2023")</f>
        <v/>
      </c>
    </row>
    <row r="51" ht="15" customHeight="1">
      <c r="A51" t="inlineStr">
        <is>
          <t>A 61695-2021</t>
        </is>
      </c>
      <c r="B51" s="1" t="n">
        <v>44501</v>
      </c>
      <c r="C51" s="1" t="n">
        <v>46198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Sveaskog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Kornknutmossa</t>
        </is>
      </c>
      <c r="S51">
        <f>HYPERLINK("https://klasma.github.io/Logging_0562/artfynd/A 61695-2021 artfynd.xlsx", "A 61695-2021")</f>
        <v/>
      </c>
      <c r="T51">
        <f>HYPERLINK("https://klasma.github.io/Logging_0562/kartor/A 61695-2021 karta.png", "A 61695-2021")</f>
        <v/>
      </c>
      <c r="V51">
        <f>HYPERLINK("https://klasma.github.io/Logging_0562/klagomål/A 61695-2021 FSC-klagomål.docx", "A 61695-2021")</f>
        <v/>
      </c>
      <c r="W51">
        <f>HYPERLINK("https://klasma.github.io/Logging_0562/klagomålsmail/A 61695-2021 FSC-klagomål mail.docx", "A 61695-2021")</f>
        <v/>
      </c>
      <c r="X51">
        <f>HYPERLINK("https://klasma.github.io/Logging_0562/tillsyn/A 61695-2021 tillsynsbegäran.docx", "A 61695-2021")</f>
        <v/>
      </c>
      <c r="Y51">
        <f>HYPERLINK("https://klasma.github.io/Logging_0562/tillsynsmail/A 61695-2021 tillsynsbegäran mail.docx", "A 61695-2021")</f>
        <v/>
      </c>
    </row>
    <row r="52" ht="15" customHeight="1">
      <c r="A52" t="inlineStr">
        <is>
          <t>A 57662-2022</t>
        </is>
      </c>
      <c r="B52" s="1" t="n">
        <v>44897</v>
      </c>
      <c r="C52" s="1" t="n">
        <v>46198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Järnsparv</t>
        </is>
      </c>
      <c r="S52">
        <f>HYPERLINK("https://klasma.github.io/Logging_0562/artfynd/A 57662-2022 artfynd.xlsx", "A 57662-2022")</f>
        <v/>
      </c>
      <c r="T52">
        <f>HYPERLINK("https://klasma.github.io/Logging_0562/kartor/A 57662-2022 karta.png", "A 57662-2022")</f>
        <v/>
      </c>
      <c r="V52">
        <f>HYPERLINK("https://klasma.github.io/Logging_0562/klagomål/A 57662-2022 FSC-klagomål.docx", "A 57662-2022")</f>
        <v/>
      </c>
      <c r="W52">
        <f>HYPERLINK("https://klasma.github.io/Logging_0562/klagomålsmail/A 57662-2022 FSC-klagomål mail.docx", "A 57662-2022")</f>
        <v/>
      </c>
      <c r="X52">
        <f>HYPERLINK("https://klasma.github.io/Logging_0562/tillsyn/A 57662-2022 tillsynsbegäran.docx", "A 57662-2022")</f>
        <v/>
      </c>
      <c r="Y52">
        <f>HYPERLINK("https://klasma.github.io/Logging_0562/tillsynsmail/A 57662-2022 tillsynsbegäran mail.docx", "A 57662-2022")</f>
        <v/>
      </c>
      <c r="Z52">
        <f>HYPERLINK("https://klasma.github.io/Logging_0562/fåglar/A 57662-2022 prioriterade fågelarter.docx", "A 57662-2022")</f>
        <v/>
      </c>
    </row>
    <row r="53" ht="15" customHeight="1">
      <c r="A53" t="inlineStr">
        <is>
          <t>A 15123-2025</t>
        </is>
      </c>
      <c r="B53" s="1" t="n">
        <v>45744</v>
      </c>
      <c r="C53" s="1" t="n">
        <v>46198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HYPERLINK("https://klasma.github.io/Logging_0562/artfynd/A 15123-2025 artfynd.xlsx", "A 15123-2025")</f>
        <v/>
      </c>
      <c r="T53">
        <f>HYPERLINK("https://klasma.github.io/Logging_0562/kartor/A 15123-2025 karta.png", "A 15123-2025")</f>
        <v/>
      </c>
      <c r="V53">
        <f>HYPERLINK("https://klasma.github.io/Logging_0562/klagomål/A 15123-2025 FSC-klagomål.docx", "A 15123-2025")</f>
        <v/>
      </c>
      <c r="W53">
        <f>HYPERLINK("https://klasma.github.io/Logging_0562/klagomålsmail/A 15123-2025 FSC-klagomål mail.docx", "A 15123-2025")</f>
        <v/>
      </c>
      <c r="X53">
        <f>HYPERLINK("https://klasma.github.io/Logging_0562/tillsyn/A 15123-2025 tillsynsbegäran.docx", "A 15123-2025")</f>
        <v/>
      </c>
      <c r="Y53">
        <f>HYPERLINK("https://klasma.github.io/Logging_0562/tillsynsmail/A 15123-2025 tillsynsbegäran mail.docx", "A 15123-2025")</f>
        <v/>
      </c>
      <c r="Z53">
        <f>HYPERLINK("https://klasma.github.io/Logging_0562/fåglar/A 15123-2025 prioriterade fågelarter.docx", "A 15123-2025")</f>
        <v/>
      </c>
    </row>
    <row r="54" ht="15" customHeight="1">
      <c r="A54" t="inlineStr">
        <is>
          <t>A 59061-2024</t>
        </is>
      </c>
      <c r="B54" s="1" t="n">
        <v>45636</v>
      </c>
      <c r="C54" s="1" t="n">
        <v>46198</v>
      </c>
      <c r="D54" t="inlineStr">
        <is>
          <t>ÖSTERGÖTLANDS LÄN</t>
        </is>
      </c>
      <c r="E54" t="inlineStr">
        <is>
          <t>FINSPÅNG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Ängsnycklar</t>
        </is>
      </c>
      <c r="S54">
        <f>HYPERLINK("https://klasma.github.io/Logging_0562/artfynd/A 59061-2024 artfynd.xlsx", "A 59061-2024")</f>
        <v/>
      </c>
      <c r="T54">
        <f>HYPERLINK("https://klasma.github.io/Logging_0562/kartor/A 59061-2024 karta.png", "A 59061-2024")</f>
        <v/>
      </c>
      <c r="V54">
        <f>HYPERLINK("https://klasma.github.io/Logging_0562/klagomål/A 59061-2024 FSC-klagomål.docx", "A 59061-2024")</f>
        <v/>
      </c>
      <c r="W54">
        <f>HYPERLINK("https://klasma.github.io/Logging_0562/klagomålsmail/A 59061-2024 FSC-klagomål mail.docx", "A 59061-2024")</f>
        <v/>
      </c>
      <c r="X54">
        <f>HYPERLINK("https://klasma.github.io/Logging_0562/tillsyn/A 59061-2024 tillsynsbegäran.docx", "A 59061-2024")</f>
        <v/>
      </c>
      <c r="Y54">
        <f>HYPERLINK("https://klasma.github.io/Logging_0562/tillsynsmail/A 59061-2024 tillsynsbegäran mail.docx", "A 59061-2024")</f>
        <v/>
      </c>
    </row>
    <row r="55" ht="15" customHeight="1">
      <c r="A55" t="inlineStr">
        <is>
          <t>A 4644-2024</t>
        </is>
      </c>
      <c r="B55" s="1" t="n">
        <v>45328</v>
      </c>
      <c r="C55" s="1" t="n">
        <v>46198</v>
      </c>
      <c r="D55" t="inlineStr">
        <is>
          <t>ÖSTERGÖTLANDS LÄN</t>
        </is>
      </c>
      <c r="E55" t="inlineStr">
        <is>
          <t>FINSPÅNG</t>
        </is>
      </c>
      <c r="G55" t="n">
        <v>5.3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HYPERLINK("https://klasma.github.io/Logging_0562/artfynd/A 4644-2024 artfynd.xlsx", "A 4644-2024")</f>
        <v/>
      </c>
      <c r="T55">
        <f>HYPERLINK("https://klasma.github.io/Logging_0562/kartor/A 4644-2024 karta.png", "A 4644-2024")</f>
        <v/>
      </c>
      <c r="V55">
        <f>HYPERLINK("https://klasma.github.io/Logging_0562/klagomål/A 4644-2024 FSC-klagomål.docx", "A 4644-2024")</f>
        <v/>
      </c>
      <c r="W55">
        <f>HYPERLINK("https://klasma.github.io/Logging_0562/klagomålsmail/A 4644-2024 FSC-klagomål mail.docx", "A 4644-2024")</f>
        <v/>
      </c>
      <c r="X55">
        <f>HYPERLINK("https://klasma.github.io/Logging_0562/tillsyn/A 4644-2024 tillsynsbegäran.docx", "A 4644-2024")</f>
        <v/>
      </c>
      <c r="Y55">
        <f>HYPERLINK("https://klasma.github.io/Logging_0562/tillsynsmail/A 4644-2024 tillsynsbegäran mail.docx", "A 4644-2024")</f>
        <v/>
      </c>
      <c r="Z55">
        <f>HYPERLINK("https://klasma.github.io/Logging_0562/fåglar/A 4644-2024 prioriterade fågelarter.docx", "A 4644-2024")</f>
        <v/>
      </c>
    </row>
    <row r="56" ht="15" customHeight="1">
      <c r="A56" t="inlineStr">
        <is>
          <t>A 37748-2025</t>
        </is>
      </c>
      <c r="B56" s="1" t="n">
        <v>45880</v>
      </c>
      <c r="C56" s="1" t="n">
        <v>46198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37748-2025 artfynd.xlsx", "A 37748-2025")</f>
        <v/>
      </c>
      <c r="T56">
        <f>HYPERLINK("https://klasma.github.io/Logging_0562/kartor/A 37748-2025 karta.png", "A 37748-2025")</f>
        <v/>
      </c>
      <c r="V56">
        <f>HYPERLINK("https://klasma.github.io/Logging_0562/klagomål/A 37748-2025 FSC-klagomål.docx", "A 37748-2025")</f>
        <v/>
      </c>
      <c r="W56">
        <f>HYPERLINK("https://klasma.github.io/Logging_0562/klagomålsmail/A 37748-2025 FSC-klagomål mail.docx", "A 37748-2025")</f>
        <v/>
      </c>
      <c r="X56">
        <f>HYPERLINK("https://klasma.github.io/Logging_0562/tillsyn/A 37748-2025 tillsynsbegäran.docx", "A 37748-2025")</f>
        <v/>
      </c>
      <c r="Y56">
        <f>HYPERLINK("https://klasma.github.io/Logging_0562/tillsynsmail/A 37748-2025 tillsynsbegäran mail.docx", "A 37748-2025")</f>
        <v/>
      </c>
    </row>
    <row r="57" ht="15" customHeight="1">
      <c r="A57" t="inlineStr">
        <is>
          <t>A 6035-2022</t>
        </is>
      </c>
      <c r="B57" s="1" t="n">
        <v>44599</v>
      </c>
      <c r="C57" s="1" t="n">
        <v>46198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Naturvårdsverket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Bred kärrtrollslända</t>
        </is>
      </c>
      <c r="S57">
        <f>HYPERLINK("https://klasma.github.io/Logging_0562/artfynd/A 6035-2022 artfynd.xlsx", "A 6035-2022")</f>
        <v/>
      </c>
      <c r="T57">
        <f>HYPERLINK("https://klasma.github.io/Logging_0562/kartor/A 6035-2022 karta.png", "A 6035-2022")</f>
        <v/>
      </c>
      <c r="V57">
        <f>HYPERLINK("https://klasma.github.io/Logging_0562/klagomål/A 6035-2022 FSC-klagomål.docx", "A 6035-2022")</f>
        <v/>
      </c>
      <c r="W57">
        <f>HYPERLINK("https://klasma.github.io/Logging_0562/klagomålsmail/A 6035-2022 FSC-klagomål mail.docx", "A 6035-2022")</f>
        <v/>
      </c>
      <c r="X57">
        <f>HYPERLINK("https://klasma.github.io/Logging_0562/tillsyn/A 6035-2022 tillsynsbegäran.docx", "A 6035-2022")</f>
        <v/>
      </c>
      <c r="Y57">
        <f>HYPERLINK("https://klasma.github.io/Logging_0562/tillsynsmail/A 6035-2022 tillsynsbegäran mail.docx", "A 6035-2022")</f>
        <v/>
      </c>
    </row>
    <row r="58" ht="15" customHeight="1">
      <c r="A58" t="inlineStr">
        <is>
          <t>A 40385-2024</t>
        </is>
      </c>
      <c r="B58" s="1" t="n">
        <v>45555</v>
      </c>
      <c r="C58" s="1" t="n">
        <v>46198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40385-2024 artfynd.xlsx", "A 40385-2024")</f>
        <v/>
      </c>
      <c r="T58">
        <f>HYPERLINK("https://klasma.github.io/Logging_0562/kartor/A 40385-2024 karta.png", "A 40385-2024")</f>
        <v/>
      </c>
      <c r="V58">
        <f>HYPERLINK("https://klasma.github.io/Logging_0562/klagomål/A 40385-2024 FSC-klagomål.docx", "A 40385-2024")</f>
        <v/>
      </c>
      <c r="W58">
        <f>HYPERLINK("https://klasma.github.io/Logging_0562/klagomålsmail/A 40385-2024 FSC-klagomål mail.docx", "A 40385-2024")</f>
        <v/>
      </c>
      <c r="X58">
        <f>HYPERLINK("https://klasma.github.io/Logging_0562/tillsyn/A 40385-2024 tillsynsbegäran.docx", "A 40385-2024")</f>
        <v/>
      </c>
      <c r="Y58">
        <f>HYPERLINK("https://klasma.github.io/Logging_0562/tillsynsmail/A 40385-2024 tillsynsbegäran mail.docx", "A 40385-2024")</f>
        <v/>
      </c>
      <c r="Z58">
        <f>HYPERLINK("https://klasma.github.io/Logging_0562/fåglar/A 40385-2024 prioriterade fågelarter.docx", "A 40385-2024")</f>
        <v/>
      </c>
    </row>
    <row r="59" ht="15" customHeight="1">
      <c r="A59" t="inlineStr">
        <is>
          <t>A 42366-2025</t>
        </is>
      </c>
      <c r="B59" s="1" t="n">
        <v>45905</v>
      </c>
      <c r="C59" s="1" t="n">
        <v>46198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 vedfingersvamp</t>
        </is>
      </c>
      <c r="S59">
        <f>HYPERLINK("https://klasma.github.io/Logging_0562/artfynd/A 42366-2025 artfynd.xlsx", "A 42366-2025")</f>
        <v/>
      </c>
      <c r="T59">
        <f>HYPERLINK("https://klasma.github.io/Logging_0562/kartor/A 42366-2025 karta.png", "A 42366-2025")</f>
        <v/>
      </c>
      <c r="V59">
        <f>HYPERLINK("https://klasma.github.io/Logging_0562/klagomål/A 42366-2025 FSC-klagomål.docx", "A 42366-2025")</f>
        <v/>
      </c>
      <c r="W59">
        <f>HYPERLINK("https://klasma.github.io/Logging_0562/klagomålsmail/A 42366-2025 FSC-klagomål mail.docx", "A 42366-2025")</f>
        <v/>
      </c>
      <c r="X59">
        <f>HYPERLINK("https://klasma.github.io/Logging_0562/tillsyn/A 42366-2025 tillsynsbegäran.docx", "A 42366-2025")</f>
        <v/>
      </c>
      <c r="Y59">
        <f>HYPERLINK("https://klasma.github.io/Logging_0562/tillsynsmail/A 42366-2025 tillsynsbegäran mail.docx", "A 42366-2025")</f>
        <v/>
      </c>
    </row>
    <row r="60" ht="15" customHeight="1">
      <c r="A60" t="inlineStr">
        <is>
          <t>A 38229-2025</t>
        </is>
      </c>
      <c r="B60" s="1" t="n">
        <v>45883</v>
      </c>
      <c r="C60" s="1" t="n">
        <v>46198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Lake</t>
        </is>
      </c>
      <c r="S60">
        <f>HYPERLINK("https://klasma.github.io/Logging_0562/artfynd/A 38229-2025 artfynd.xlsx", "A 38229-2025")</f>
        <v/>
      </c>
      <c r="T60">
        <f>HYPERLINK("https://klasma.github.io/Logging_0562/kartor/A 38229-2025 karta.png", "A 38229-2025")</f>
        <v/>
      </c>
      <c r="V60">
        <f>HYPERLINK("https://klasma.github.io/Logging_0562/klagomål/A 38229-2025 FSC-klagomål.docx", "A 38229-2025")</f>
        <v/>
      </c>
      <c r="W60">
        <f>HYPERLINK("https://klasma.github.io/Logging_0562/klagomålsmail/A 38229-2025 FSC-klagomål mail.docx", "A 38229-2025")</f>
        <v/>
      </c>
      <c r="X60">
        <f>HYPERLINK("https://klasma.github.io/Logging_0562/tillsyn/A 38229-2025 tillsynsbegäran.docx", "A 38229-2025")</f>
        <v/>
      </c>
      <c r="Y60">
        <f>HYPERLINK("https://klasma.github.io/Logging_0562/tillsynsmail/A 38229-2025 tillsynsbegäran mail.docx", "A 38229-2025")</f>
        <v/>
      </c>
    </row>
    <row r="61" ht="15" customHeight="1">
      <c r="A61" t="inlineStr">
        <is>
          <t>A 22555-2024</t>
        </is>
      </c>
      <c r="B61" s="1" t="n">
        <v>45447</v>
      </c>
      <c r="C61" s="1" t="n">
        <v>46198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Hasselsnok</t>
        </is>
      </c>
      <c r="S61">
        <f>HYPERLINK("https://klasma.github.io/Logging_0562/artfynd/A 22555-2024 artfynd.xlsx", "A 22555-2024")</f>
        <v/>
      </c>
      <c r="T61">
        <f>HYPERLINK("https://klasma.github.io/Logging_0562/kartor/A 22555-2024 karta.png", "A 22555-2024")</f>
        <v/>
      </c>
      <c r="V61">
        <f>HYPERLINK("https://klasma.github.io/Logging_0562/klagomål/A 22555-2024 FSC-klagomål.docx", "A 22555-2024")</f>
        <v/>
      </c>
      <c r="W61">
        <f>HYPERLINK("https://klasma.github.io/Logging_0562/klagomålsmail/A 22555-2024 FSC-klagomål mail.docx", "A 22555-2024")</f>
        <v/>
      </c>
      <c r="X61">
        <f>HYPERLINK("https://klasma.github.io/Logging_0562/tillsyn/A 22555-2024 tillsynsbegäran.docx", "A 22555-2024")</f>
        <v/>
      </c>
      <c r="Y61">
        <f>HYPERLINK("https://klasma.github.io/Logging_0562/tillsynsmail/A 22555-2024 tillsynsbegäran mail.docx", "A 22555-2024")</f>
        <v/>
      </c>
    </row>
    <row r="62" ht="15" customHeight="1">
      <c r="A62" t="inlineStr">
        <is>
          <t>A 22259-2024</t>
        </is>
      </c>
      <c r="B62" s="1" t="n">
        <v>45446</v>
      </c>
      <c r="C62" s="1" t="n">
        <v>46198</v>
      </c>
      <c r="D62" t="inlineStr">
        <is>
          <t>ÖSTERGÖTLANDS LÄN</t>
        </is>
      </c>
      <c r="E62" t="inlineStr">
        <is>
          <t>FINSPÅNG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HYPERLINK("https://klasma.github.io/Logging_0562/artfynd/A 22259-2024 artfynd.xlsx", "A 22259-2024")</f>
        <v/>
      </c>
      <c r="T62">
        <f>HYPERLINK("https://klasma.github.io/Logging_0562/kartor/A 22259-2024 karta.png", "A 22259-2024")</f>
        <v/>
      </c>
      <c r="V62">
        <f>HYPERLINK("https://klasma.github.io/Logging_0562/klagomål/A 22259-2024 FSC-klagomål.docx", "A 22259-2024")</f>
        <v/>
      </c>
      <c r="W62">
        <f>HYPERLINK("https://klasma.github.io/Logging_0562/klagomålsmail/A 22259-2024 FSC-klagomål mail.docx", "A 22259-2024")</f>
        <v/>
      </c>
      <c r="X62">
        <f>HYPERLINK("https://klasma.github.io/Logging_0562/tillsyn/A 22259-2024 tillsynsbegäran.docx", "A 22259-2024")</f>
        <v/>
      </c>
      <c r="Y62">
        <f>HYPERLINK("https://klasma.github.io/Logging_0562/tillsynsmail/A 22259-2024 tillsynsbegäran mail.docx", "A 22259-2024")</f>
        <v/>
      </c>
    </row>
    <row r="63" ht="15" customHeight="1">
      <c r="A63" t="inlineStr">
        <is>
          <t>A 43858-2021</t>
        </is>
      </c>
      <c r="B63" s="1" t="n">
        <v>44434</v>
      </c>
      <c r="C63" s="1" t="n">
        <v>46198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12.2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Kavelhirs</t>
        </is>
      </c>
      <c r="S63">
        <f>HYPERLINK("https://klasma.github.io/Logging_0562/artfynd/A 43858-2021 artfynd.xlsx", "A 43858-2021")</f>
        <v/>
      </c>
      <c r="T63">
        <f>HYPERLINK("https://klasma.github.io/Logging_0562/kartor/A 43858-2021 karta.png", "A 43858-2021")</f>
        <v/>
      </c>
      <c r="V63">
        <f>HYPERLINK("https://klasma.github.io/Logging_0562/klagomål/A 43858-2021 FSC-klagomål.docx", "A 43858-2021")</f>
        <v/>
      </c>
      <c r="W63">
        <f>HYPERLINK("https://klasma.github.io/Logging_0562/klagomålsmail/A 43858-2021 FSC-klagomål mail.docx", "A 43858-2021")</f>
        <v/>
      </c>
      <c r="X63">
        <f>HYPERLINK("https://klasma.github.io/Logging_0562/tillsyn/A 43858-2021 tillsynsbegäran.docx", "A 43858-2021")</f>
        <v/>
      </c>
      <c r="Y63">
        <f>HYPERLINK("https://klasma.github.io/Logging_0562/tillsynsmail/A 43858-2021 tillsynsbegäran mail.docx", "A 43858-2021")</f>
        <v/>
      </c>
    </row>
    <row r="64" ht="15" customHeight="1">
      <c r="A64" t="inlineStr">
        <is>
          <t>A 25942-2026</t>
        </is>
      </c>
      <c r="B64" s="1" t="n">
        <v>46181</v>
      </c>
      <c r="C64" s="1" t="n">
        <v>46198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HYPERLINK("https://klasma.github.io/Logging_0562/artfynd/A 25942-2026 artfynd.xlsx", "A 25942-2026")</f>
        <v/>
      </c>
      <c r="T64">
        <f>HYPERLINK("https://klasma.github.io/Logging_0562/kartor/A 25942-2026 karta.png", "A 25942-2026")</f>
        <v/>
      </c>
      <c r="V64">
        <f>HYPERLINK("https://klasma.github.io/Logging_0562/klagomål/A 25942-2026 FSC-klagomål.docx", "A 25942-2026")</f>
        <v/>
      </c>
      <c r="W64">
        <f>HYPERLINK("https://klasma.github.io/Logging_0562/klagomålsmail/A 25942-2026 FSC-klagomål mail.docx", "A 25942-2026")</f>
        <v/>
      </c>
      <c r="X64">
        <f>HYPERLINK("https://klasma.github.io/Logging_0562/tillsyn/A 25942-2026 tillsynsbegäran.docx", "A 25942-2026")</f>
        <v/>
      </c>
      <c r="Y64">
        <f>HYPERLINK("https://klasma.github.io/Logging_0562/tillsynsmail/A 25942-2026 tillsynsbegäran mail.docx", "A 25942-2026")</f>
        <v/>
      </c>
    </row>
    <row r="65" ht="15" customHeight="1">
      <c r="A65" t="inlineStr">
        <is>
          <t>A 3941-2026</t>
        </is>
      </c>
      <c r="B65" s="1" t="n">
        <v>46043</v>
      </c>
      <c r="C65" s="1" t="n">
        <v>46198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HYPERLINK("https://klasma.github.io/Logging_0562/artfynd/A 3941-2026 artfynd.xlsx", "A 3941-2026")</f>
        <v/>
      </c>
      <c r="T65">
        <f>HYPERLINK("https://klasma.github.io/Logging_0562/kartor/A 3941-2026 karta.png", "A 3941-2026")</f>
        <v/>
      </c>
      <c r="V65">
        <f>HYPERLINK("https://klasma.github.io/Logging_0562/klagomål/A 3941-2026 FSC-klagomål.docx", "A 3941-2026")</f>
        <v/>
      </c>
      <c r="W65">
        <f>HYPERLINK("https://klasma.github.io/Logging_0562/klagomålsmail/A 3941-2026 FSC-klagomål mail.docx", "A 3941-2026")</f>
        <v/>
      </c>
      <c r="X65">
        <f>HYPERLINK("https://klasma.github.io/Logging_0562/tillsyn/A 3941-2026 tillsynsbegäran.docx", "A 3941-2026")</f>
        <v/>
      </c>
      <c r="Y65">
        <f>HYPERLINK("https://klasma.github.io/Logging_0562/tillsynsmail/A 3941-2026 tillsynsbegäran mail.docx", "A 3941-2026")</f>
        <v/>
      </c>
      <c r="Z65">
        <f>HYPERLINK("https://klasma.github.io/Logging_0562/fåglar/A 3941-2026 prioriterade fågelarter.docx", "A 3941-2026")</f>
        <v/>
      </c>
    </row>
    <row r="66" ht="15" customHeight="1">
      <c r="A66" t="inlineStr">
        <is>
          <t>A 6407-2023</t>
        </is>
      </c>
      <c r="B66" s="1" t="n">
        <v>44965</v>
      </c>
      <c r="C66" s="1" t="n">
        <v>46198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HYPERLINK("https://klasma.github.io/Logging_0562/artfynd/A 6407-2023 artfynd.xlsx", "A 6407-2023")</f>
        <v/>
      </c>
      <c r="T66">
        <f>HYPERLINK("https://klasma.github.io/Logging_0562/kartor/A 6407-2023 karta.png", "A 6407-2023")</f>
        <v/>
      </c>
      <c r="V66">
        <f>HYPERLINK("https://klasma.github.io/Logging_0562/klagomål/A 6407-2023 FSC-klagomål.docx", "A 6407-2023")</f>
        <v/>
      </c>
      <c r="W66">
        <f>HYPERLINK("https://klasma.github.io/Logging_0562/klagomålsmail/A 6407-2023 FSC-klagomål mail.docx", "A 6407-2023")</f>
        <v/>
      </c>
      <c r="X66">
        <f>HYPERLINK("https://klasma.github.io/Logging_0562/tillsyn/A 6407-2023 tillsynsbegäran.docx", "A 6407-2023")</f>
        <v/>
      </c>
      <c r="Y66">
        <f>HYPERLINK("https://klasma.github.io/Logging_0562/tillsynsmail/A 6407-2023 tillsynsbegäran mail.docx", "A 6407-2023")</f>
        <v/>
      </c>
      <c r="Z66">
        <f>HYPERLINK("https://klasma.github.io/Logging_0562/fåglar/A 6407-2023 prioriterade fågelarter.docx", "A 6407-2023")</f>
        <v/>
      </c>
    </row>
    <row r="67" ht="15" customHeight="1">
      <c r="A67" t="inlineStr">
        <is>
          <t>A 42837-2024</t>
        </is>
      </c>
      <c r="B67" s="1" t="n">
        <v>45566</v>
      </c>
      <c r="C67" s="1" t="n">
        <v>46198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HYPERLINK("https://klasma.github.io/Logging_0562/artfynd/A 42837-2024 artfynd.xlsx", "A 42837-2024")</f>
        <v/>
      </c>
      <c r="T67">
        <f>HYPERLINK("https://klasma.github.io/Logging_0562/kartor/A 42837-2024 karta.png", "A 42837-2024")</f>
        <v/>
      </c>
      <c r="U67">
        <f>HYPERLINK("https://klasma.github.io/Logging_0562/knärot/A 42837-2024 karta knärot.png", "A 42837-2024")</f>
        <v/>
      </c>
      <c r="V67">
        <f>HYPERLINK("https://klasma.github.io/Logging_0562/klagomål/A 42837-2024 FSC-klagomål.docx", "A 42837-2024")</f>
        <v/>
      </c>
      <c r="W67">
        <f>HYPERLINK("https://klasma.github.io/Logging_0562/klagomålsmail/A 42837-2024 FSC-klagomål mail.docx", "A 42837-2024")</f>
        <v/>
      </c>
      <c r="X67">
        <f>HYPERLINK("https://klasma.github.io/Logging_0562/tillsyn/A 42837-2024 tillsynsbegäran.docx", "A 42837-2024")</f>
        <v/>
      </c>
      <c r="Y67">
        <f>HYPERLINK("https://klasma.github.io/Logging_0562/tillsynsmail/A 42837-2024 tillsynsbegäran mail.docx", "A 42837-2024")</f>
        <v/>
      </c>
    </row>
    <row r="68" ht="15" customHeight="1">
      <c r="A68" t="inlineStr">
        <is>
          <t>A 663-2023</t>
        </is>
      </c>
      <c r="B68" s="1" t="n">
        <v>44930</v>
      </c>
      <c r="C68" s="1" t="n">
        <v>46198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663-2023 artfynd.xlsx", "A 663-2023")</f>
        <v/>
      </c>
      <c r="T68">
        <f>HYPERLINK("https://klasma.github.io/Logging_0562/kartor/A 663-2023 karta.png", "A 663-2023")</f>
        <v/>
      </c>
      <c r="V68">
        <f>HYPERLINK("https://klasma.github.io/Logging_0562/klagomål/A 663-2023 FSC-klagomål.docx", "A 663-2023")</f>
        <v/>
      </c>
      <c r="W68">
        <f>HYPERLINK("https://klasma.github.io/Logging_0562/klagomålsmail/A 663-2023 FSC-klagomål mail.docx", "A 663-2023")</f>
        <v/>
      </c>
      <c r="X68">
        <f>HYPERLINK("https://klasma.github.io/Logging_0562/tillsyn/A 663-2023 tillsynsbegäran.docx", "A 663-2023")</f>
        <v/>
      </c>
      <c r="Y68">
        <f>HYPERLINK("https://klasma.github.io/Logging_0562/tillsynsmail/A 663-2023 tillsynsbegäran mail.docx", "A 663-2023")</f>
        <v/>
      </c>
    </row>
    <row r="69" ht="15" customHeight="1">
      <c r="A69" t="inlineStr">
        <is>
          <t>A 61254-2022</t>
        </is>
      </c>
      <c r="B69" s="1" t="n">
        <v>44915</v>
      </c>
      <c r="C69" s="1" t="n">
        <v>46198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Igelkott</t>
        </is>
      </c>
      <c r="S69">
        <f>HYPERLINK("https://klasma.github.io/Logging_0562/artfynd/A 61254-2022 artfynd.xlsx", "A 61254-2022")</f>
        <v/>
      </c>
      <c r="T69">
        <f>HYPERLINK("https://klasma.github.io/Logging_0562/kartor/A 61254-2022 karta.png", "A 61254-2022")</f>
        <v/>
      </c>
      <c r="V69">
        <f>HYPERLINK("https://klasma.github.io/Logging_0562/klagomål/A 61254-2022 FSC-klagomål.docx", "A 61254-2022")</f>
        <v/>
      </c>
      <c r="W69">
        <f>HYPERLINK("https://klasma.github.io/Logging_0562/klagomålsmail/A 61254-2022 FSC-klagomål mail.docx", "A 61254-2022")</f>
        <v/>
      </c>
      <c r="X69">
        <f>HYPERLINK("https://klasma.github.io/Logging_0562/tillsyn/A 61254-2022 tillsynsbegäran.docx", "A 61254-2022")</f>
        <v/>
      </c>
      <c r="Y69">
        <f>HYPERLINK("https://klasma.github.io/Logging_0562/tillsynsmail/A 61254-2022 tillsynsbegäran mail.docx", "A 61254-2022")</f>
        <v/>
      </c>
    </row>
    <row r="70" ht="15" customHeight="1">
      <c r="A70" t="inlineStr">
        <is>
          <t>A 1177-2024</t>
        </is>
      </c>
      <c r="B70" s="1" t="n">
        <v>45302</v>
      </c>
      <c r="C70" s="1" t="n">
        <v>46198</v>
      </c>
      <c r="D70" t="inlineStr">
        <is>
          <t>ÖSTERGÖTLANDS LÄN</t>
        </is>
      </c>
      <c r="E70" t="inlineStr">
        <is>
          <t>FINSPÅNG</t>
        </is>
      </c>
      <c r="G70" t="n">
        <v>6.7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HYPERLINK("https://klasma.github.io/Logging_0562/artfynd/A 1177-2024 artfynd.xlsx", "A 1177-2024")</f>
        <v/>
      </c>
      <c r="T70">
        <f>HYPERLINK("https://klasma.github.io/Logging_0562/kartor/A 1177-2024 karta.png", "A 1177-2024")</f>
        <v/>
      </c>
      <c r="U70">
        <f>HYPERLINK("https://klasma.github.io/Logging_0562/knärot/A 1177-2024 karta knärot.png", "A 1177-2024")</f>
        <v/>
      </c>
      <c r="V70">
        <f>HYPERLINK("https://klasma.github.io/Logging_0562/klagomål/A 1177-2024 FSC-klagomål.docx", "A 1177-2024")</f>
        <v/>
      </c>
      <c r="W70">
        <f>HYPERLINK("https://klasma.github.io/Logging_0562/klagomålsmail/A 1177-2024 FSC-klagomål mail.docx", "A 1177-2024")</f>
        <v/>
      </c>
      <c r="X70">
        <f>HYPERLINK("https://klasma.github.io/Logging_0562/tillsyn/A 1177-2024 tillsynsbegäran.docx", "A 1177-2024")</f>
        <v/>
      </c>
      <c r="Y70">
        <f>HYPERLINK("https://klasma.github.io/Logging_0562/tillsynsmail/A 1177-2024 tillsynsbegäran mail.docx", "A 1177-2024")</f>
        <v/>
      </c>
    </row>
    <row r="71" ht="15" customHeight="1">
      <c r="A71" t="inlineStr">
        <is>
          <t>A 54302-2023</t>
        </is>
      </c>
      <c r="B71" s="1" t="n">
        <v>45232</v>
      </c>
      <c r="C71" s="1" t="n">
        <v>46198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HYPERLINK("https://klasma.github.io/Logging_0562/artfynd/A 54302-2023 artfynd.xlsx", "A 54302-2023")</f>
        <v/>
      </c>
      <c r="T71">
        <f>HYPERLINK("https://klasma.github.io/Logging_0562/kartor/A 54302-2023 karta.png", "A 54302-2023")</f>
        <v/>
      </c>
      <c r="V71">
        <f>HYPERLINK("https://klasma.github.io/Logging_0562/klagomål/A 54302-2023 FSC-klagomål.docx", "A 54302-2023")</f>
        <v/>
      </c>
      <c r="W71">
        <f>HYPERLINK("https://klasma.github.io/Logging_0562/klagomålsmail/A 54302-2023 FSC-klagomål mail.docx", "A 54302-2023")</f>
        <v/>
      </c>
      <c r="X71">
        <f>HYPERLINK("https://klasma.github.io/Logging_0562/tillsyn/A 54302-2023 tillsynsbegäran.docx", "A 54302-2023")</f>
        <v/>
      </c>
      <c r="Y71">
        <f>HYPERLINK("https://klasma.github.io/Logging_0562/tillsynsmail/A 54302-2023 tillsynsbegäran mail.docx", "A 54302-2023")</f>
        <v/>
      </c>
    </row>
    <row r="72" ht="15" customHeight="1">
      <c r="A72" t="inlineStr">
        <is>
          <t>A 22587-2026</t>
        </is>
      </c>
      <c r="B72" s="1" t="n">
        <v>46155</v>
      </c>
      <c r="C72" s="1" t="n">
        <v>46198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Gulsparv</t>
        </is>
      </c>
      <c r="S72">
        <f>HYPERLINK("https://klasma.github.io/Logging_0562/artfynd/A 22587-2026 artfynd.xlsx", "A 22587-2026")</f>
        <v/>
      </c>
      <c r="T72">
        <f>HYPERLINK("https://klasma.github.io/Logging_0562/kartor/A 22587-2026 karta.png", "A 22587-2026")</f>
        <v/>
      </c>
      <c r="V72">
        <f>HYPERLINK("https://klasma.github.io/Logging_0562/klagomål/A 22587-2026 FSC-klagomål.docx", "A 22587-2026")</f>
        <v/>
      </c>
      <c r="W72">
        <f>HYPERLINK("https://klasma.github.io/Logging_0562/klagomålsmail/A 22587-2026 FSC-klagomål mail.docx", "A 22587-2026")</f>
        <v/>
      </c>
      <c r="X72">
        <f>HYPERLINK("https://klasma.github.io/Logging_0562/tillsyn/A 22587-2026 tillsynsbegäran.docx", "A 22587-2026")</f>
        <v/>
      </c>
      <c r="Y72">
        <f>HYPERLINK("https://klasma.github.io/Logging_0562/tillsynsmail/A 22587-2026 tillsynsbegäran mail.docx", "A 22587-2026")</f>
        <v/>
      </c>
      <c r="Z72">
        <f>HYPERLINK("https://klasma.github.io/Logging_0562/fåglar/A 22587-2026 prioriterade fågelarter.docx", "A 22587-2026")</f>
        <v/>
      </c>
    </row>
    <row r="73" ht="15" customHeight="1">
      <c r="A73" t="inlineStr">
        <is>
          <t>A 27456-2026</t>
        </is>
      </c>
      <c r="B73" s="1" t="n">
        <v>46189</v>
      </c>
      <c r="C73" s="1" t="n">
        <v>46198</v>
      </c>
      <c r="D73" t="inlineStr">
        <is>
          <t>ÖSTERGÖTLANDS LÄN</t>
        </is>
      </c>
      <c r="E73" t="inlineStr">
        <is>
          <t>FINSPÅNG</t>
        </is>
      </c>
      <c r="G73" t="n">
        <v>0.6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HYPERLINK("https://klasma.github.io/Logging_0562/artfynd/A 27456-2026 artfynd.xlsx", "A 27456-2026")</f>
        <v/>
      </c>
      <c r="T73">
        <f>HYPERLINK("https://klasma.github.io/Logging_0562/kartor/A 27456-2026 karta.png", "A 27456-2026")</f>
        <v/>
      </c>
      <c r="V73">
        <f>HYPERLINK("https://klasma.github.io/Logging_0562/klagomål/A 27456-2026 FSC-klagomål.docx", "A 27456-2026")</f>
        <v/>
      </c>
      <c r="W73">
        <f>HYPERLINK("https://klasma.github.io/Logging_0562/klagomålsmail/A 27456-2026 FSC-klagomål mail.docx", "A 27456-2026")</f>
        <v/>
      </c>
      <c r="X73">
        <f>HYPERLINK("https://klasma.github.io/Logging_0562/tillsyn/A 27456-2026 tillsynsbegäran.docx", "A 27456-2026")</f>
        <v/>
      </c>
      <c r="Y73">
        <f>HYPERLINK("https://klasma.github.io/Logging_0562/tillsynsmail/A 27456-2026 tillsynsbegäran mail.docx", "A 27456-2026")</f>
        <v/>
      </c>
    </row>
    <row r="74" ht="15" customHeight="1">
      <c r="A74" t="inlineStr">
        <is>
          <t>A 10203-2022</t>
        </is>
      </c>
      <c r="B74" s="1" t="n">
        <v>44622</v>
      </c>
      <c r="C74" s="1" t="n">
        <v>46198</v>
      </c>
      <c r="D74" t="inlineStr">
        <is>
          <t>ÖSTERGÖTLANDS LÄN</t>
        </is>
      </c>
      <c r="E74" t="inlineStr">
        <is>
          <t>FINSPÅNG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Vanlig backsmörblomma</t>
        </is>
      </c>
      <c r="S74">
        <f>HYPERLINK("https://klasma.github.io/Logging_0562/artfynd/A 10203-2022 artfynd.xlsx", "A 10203-2022")</f>
        <v/>
      </c>
      <c r="T74">
        <f>HYPERLINK("https://klasma.github.io/Logging_0562/kartor/A 10203-2022 karta.png", "A 10203-2022")</f>
        <v/>
      </c>
      <c r="V74">
        <f>HYPERLINK("https://klasma.github.io/Logging_0562/klagomål/A 10203-2022 FSC-klagomål.docx", "A 10203-2022")</f>
        <v/>
      </c>
      <c r="W74">
        <f>HYPERLINK("https://klasma.github.io/Logging_0562/klagomålsmail/A 10203-2022 FSC-klagomål mail.docx", "A 10203-2022")</f>
        <v/>
      </c>
      <c r="X74">
        <f>HYPERLINK("https://klasma.github.io/Logging_0562/tillsyn/A 10203-2022 tillsynsbegäran.docx", "A 10203-2022")</f>
        <v/>
      </c>
      <c r="Y74">
        <f>HYPERLINK("https://klasma.github.io/Logging_0562/tillsynsmail/A 10203-2022 tillsynsbegäran mail.docx", "A 10203-2022")</f>
        <v/>
      </c>
    </row>
    <row r="75" ht="15" customHeight="1">
      <c r="A75" t="inlineStr">
        <is>
          <t>A 7265-2026</t>
        </is>
      </c>
      <c r="B75" s="1" t="n">
        <v>46058</v>
      </c>
      <c r="C75" s="1" t="n">
        <v>46198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2.2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HYPERLINK("https://klasma.github.io/Logging_0562/artfynd/A 7265-2026 artfynd.xlsx", "A 7265-2026")</f>
        <v/>
      </c>
      <c r="T75">
        <f>HYPERLINK("https://klasma.github.io/Logging_0562/kartor/A 7265-2026 karta.png", "A 7265-2026")</f>
        <v/>
      </c>
      <c r="V75">
        <f>HYPERLINK("https://klasma.github.io/Logging_0562/klagomål/A 7265-2026 FSC-klagomål.docx", "A 7265-2026")</f>
        <v/>
      </c>
      <c r="W75">
        <f>HYPERLINK("https://klasma.github.io/Logging_0562/klagomålsmail/A 7265-2026 FSC-klagomål mail.docx", "A 7265-2026")</f>
        <v/>
      </c>
      <c r="X75">
        <f>HYPERLINK("https://klasma.github.io/Logging_0562/tillsyn/A 7265-2026 tillsynsbegäran.docx", "A 7265-2026")</f>
        <v/>
      </c>
      <c r="Y75">
        <f>HYPERLINK("https://klasma.github.io/Logging_0562/tillsynsmail/A 7265-2026 tillsynsbegäran mail.docx", "A 7265-2026")</f>
        <v/>
      </c>
      <c r="Z75">
        <f>HYPERLINK("https://klasma.github.io/Logging_0562/fåglar/A 7265-2026 prioriterade fågelarter.docx", "A 7265-2026")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46198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22439-2023</t>
        </is>
      </c>
      <c r="B77" s="1" t="n">
        <v>45070</v>
      </c>
      <c r="C77" s="1" t="n">
        <v>46198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Hasselsnok</t>
        </is>
      </c>
      <c r="S77">
        <f>HYPERLINK("https://klasma.github.io/Logging_0562/artfynd/A 22439-2023 artfynd.xlsx", "A 22439-2023")</f>
        <v/>
      </c>
      <c r="T77">
        <f>HYPERLINK("https://klasma.github.io/Logging_0562/kartor/A 22439-2023 karta.png", "A 22439-2023")</f>
        <v/>
      </c>
      <c r="V77">
        <f>HYPERLINK("https://klasma.github.io/Logging_0562/klagomål/A 22439-2023 FSC-klagomål.docx", "A 22439-2023")</f>
        <v/>
      </c>
      <c r="W77">
        <f>HYPERLINK("https://klasma.github.io/Logging_0562/klagomålsmail/A 22439-2023 FSC-klagomål mail.docx", "A 22439-2023")</f>
        <v/>
      </c>
      <c r="X77">
        <f>HYPERLINK("https://klasma.github.io/Logging_0562/tillsyn/A 22439-2023 tillsynsbegäran.docx", "A 22439-2023")</f>
        <v/>
      </c>
      <c r="Y77">
        <f>HYPERLINK("https://klasma.github.io/Logging_0562/tillsynsmail/A 22439-2023 tillsynsbegäran mail.docx", "A 22439-2023")</f>
        <v/>
      </c>
    </row>
    <row r="78" ht="15" customHeight="1">
      <c r="A78" t="inlineStr">
        <is>
          <t>A 18915-2026</t>
        </is>
      </c>
      <c r="B78" s="1" t="n">
        <v>46129</v>
      </c>
      <c r="C78" s="1" t="n">
        <v>46198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6.1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HYPERLINK("https://klasma.github.io/Logging_0562/artfynd/A 18915-2026 artfynd.xlsx", "A 18915-2026")</f>
        <v/>
      </c>
      <c r="T78">
        <f>HYPERLINK("https://klasma.github.io/Logging_0562/kartor/A 18915-2026 karta.png", "A 18915-2026")</f>
        <v/>
      </c>
      <c r="V78">
        <f>HYPERLINK("https://klasma.github.io/Logging_0562/klagomål/A 18915-2026 FSC-klagomål.docx", "A 18915-2026")</f>
        <v/>
      </c>
      <c r="W78">
        <f>HYPERLINK("https://klasma.github.io/Logging_0562/klagomålsmail/A 18915-2026 FSC-klagomål mail.docx", "A 18915-2026")</f>
        <v/>
      </c>
      <c r="X78">
        <f>HYPERLINK("https://klasma.github.io/Logging_0562/tillsyn/A 18915-2026 tillsynsbegäran.docx", "A 18915-2026")</f>
        <v/>
      </c>
      <c r="Y78">
        <f>HYPERLINK("https://klasma.github.io/Logging_0562/tillsynsmail/A 18915-2026 tillsynsbegäran mail.docx", "A 18915-2026")</f>
        <v/>
      </c>
      <c r="Z78">
        <f>HYPERLINK("https://klasma.github.io/Logging_0562/fåglar/A 18915-2026 prioriterade fågelarter.docx", "A 18915-2026")</f>
        <v/>
      </c>
    </row>
    <row r="79" ht="15" customHeight="1">
      <c r="A79" t="inlineStr">
        <is>
          <t>A 43166-2021</t>
        </is>
      </c>
      <c r="B79" s="1" t="n">
        <v>44431</v>
      </c>
      <c r="C79" s="1" t="n">
        <v>46198</v>
      </c>
      <c r="D79" t="inlineStr">
        <is>
          <t>ÖSTERGÖTLANDS LÄN</t>
        </is>
      </c>
      <c r="E79" t="inlineStr">
        <is>
          <t>FINSPÅNG</t>
        </is>
      </c>
      <c r="G79" t="n">
        <v>6.3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HYPERLINK("https://klasma.github.io/Logging_0562/artfynd/A 43166-2021 artfynd.xlsx", "A 43166-2021")</f>
        <v/>
      </c>
      <c r="T79">
        <f>HYPERLINK("https://klasma.github.io/Logging_0562/kartor/A 43166-2021 karta.png", "A 43166-2021")</f>
        <v/>
      </c>
      <c r="V79">
        <f>HYPERLINK("https://klasma.github.io/Logging_0562/klagomål/A 43166-2021 FSC-klagomål.docx", "A 43166-2021")</f>
        <v/>
      </c>
      <c r="W79">
        <f>HYPERLINK("https://klasma.github.io/Logging_0562/klagomålsmail/A 43166-2021 FSC-klagomål mail.docx", "A 43166-2021")</f>
        <v/>
      </c>
      <c r="X79">
        <f>HYPERLINK("https://klasma.github.io/Logging_0562/tillsyn/A 43166-2021 tillsynsbegäran.docx", "A 43166-2021")</f>
        <v/>
      </c>
      <c r="Y79">
        <f>HYPERLINK("https://klasma.github.io/Logging_0562/tillsynsmail/A 43166-2021 tillsynsbegäran mail.docx", "A 43166-2021")</f>
        <v/>
      </c>
    </row>
    <row r="80" ht="15" customHeight="1">
      <c r="A80" t="inlineStr">
        <is>
          <t>A 11140-2023</t>
        </is>
      </c>
      <c r="B80" s="1" t="n">
        <v>44992</v>
      </c>
      <c r="C80" s="1" t="n">
        <v>46198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Grönvit nattviol</t>
        </is>
      </c>
      <c r="S80">
        <f>HYPERLINK("https://klasma.github.io/Logging_0562/artfynd/A 11140-2023 artfynd.xlsx", "A 11140-2023")</f>
        <v/>
      </c>
      <c r="T80">
        <f>HYPERLINK("https://klasma.github.io/Logging_0562/kartor/A 11140-2023 karta.png", "A 11140-2023")</f>
        <v/>
      </c>
      <c r="V80">
        <f>HYPERLINK("https://klasma.github.io/Logging_0562/klagomål/A 11140-2023 FSC-klagomål.docx", "A 11140-2023")</f>
        <v/>
      </c>
      <c r="W80">
        <f>HYPERLINK("https://klasma.github.io/Logging_0562/klagomålsmail/A 11140-2023 FSC-klagomål mail.docx", "A 11140-2023")</f>
        <v/>
      </c>
      <c r="X80">
        <f>HYPERLINK("https://klasma.github.io/Logging_0562/tillsyn/A 11140-2023 tillsynsbegäran.docx", "A 11140-2023")</f>
        <v/>
      </c>
      <c r="Y80">
        <f>HYPERLINK("https://klasma.github.io/Logging_0562/tillsynsmail/A 11140-2023 tillsynsbegäran mail.docx", "A 11140-2023")</f>
        <v/>
      </c>
    </row>
    <row r="81" ht="15" customHeight="1">
      <c r="A81" t="inlineStr">
        <is>
          <t>A 53673-2024</t>
        </is>
      </c>
      <c r="B81" s="1" t="n">
        <v>45615</v>
      </c>
      <c r="C81" s="1" t="n">
        <v>46198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HYPERLINK("https://klasma.github.io/Logging_0562/artfynd/A 53673-2024 artfynd.xlsx", "A 53673-2024")</f>
        <v/>
      </c>
      <c r="T81">
        <f>HYPERLINK("https://klasma.github.io/Logging_0562/kartor/A 53673-2024 karta.png", "A 53673-2024")</f>
        <v/>
      </c>
      <c r="U81">
        <f>HYPERLINK("https://klasma.github.io/Logging_0562/knärot/A 53673-2024 karta knärot.png", "A 53673-2024")</f>
        <v/>
      </c>
      <c r="V81">
        <f>HYPERLINK("https://klasma.github.io/Logging_0562/klagomål/A 53673-2024 FSC-klagomål.docx", "A 53673-2024")</f>
        <v/>
      </c>
      <c r="W81">
        <f>HYPERLINK("https://klasma.github.io/Logging_0562/klagomålsmail/A 53673-2024 FSC-klagomål mail.docx", "A 53673-2024")</f>
        <v/>
      </c>
      <c r="X81">
        <f>HYPERLINK("https://klasma.github.io/Logging_0562/tillsyn/A 53673-2024 tillsynsbegäran.docx", "A 53673-2024")</f>
        <v/>
      </c>
      <c r="Y81">
        <f>HYPERLINK("https://klasma.github.io/Logging_0562/tillsynsmail/A 53673-2024 tillsynsbegäran mail.docx", "A 53673-2024")</f>
        <v/>
      </c>
    </row>
    <row r="82" ht="15" customHeight="1">
      <c r="A82" t="inlineStr">
        <is>
          <t>A 43167-2021</t>
        </is>
      </c>
      <c r="B82" s="1" t="n">
        <v>44431</v>
      </c>
      <c r="C82" s="1" t="n">
        <v>46198</v>
      </c>
      <c r="D82" t="inlineStr">
        <is>
          <t>ÖSTERGÖTLANDS LÄN</t>
        </is>
      </c>
      <c r="E82" t="inlineStr">
        <is>
          <t>FINSPÅNG</t>
        </is>
      </c>
      <c r="G82" t="n">
        <v>6.9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Lopplummer (aggregat)</t>
        </is>
      </c>
      <c r="S82">
        <f>HYPERLINK("https://klasma.github.io/Logging_0562/artfynd/A 43167-2021 artfynd.xlsx", "A 43167-2021")</f>
        <v/>
      </c>
      <c r="T82">
        <f>HYPERLINK("https://klasma.github.io/Logging_0562/kartor/A 43167-2021 karta.png", "A 43167-2021")</f>
        <v/>
      </c>
      <c r="V82">
        <f>HYPERLINK("https://klasma.github.io/Logging_0562/klagomål/A 43167-2021 FSC-klagomål.docx", "A 43167-2021")</f>
        <v/>
      </c>
      <c r="W82">
        <f>HYPERLINK("https://klasma.github.io/Logging_0562/klagomålsmail/A 43167-2021 FSC-klagomål mail.docx", "A 43167-2021")</f>
        <v/>
      </c>
      <c r="X82">
        <f>HYPERLINK("https://klasma.github.io/Logging_0562/tillsyn/A 43167-2021 tillsynsbegäran.docx", "A 43167-2021")</f>
        <v/>
      </c>
      <c r="Y82">
        <f>HYPERLINK("https://klasma.github.io/Logging_0562/tillsynsmail/A 43167-2021 tillsynsbegäran mail.docx", "A 43167-2021")</f>
        <v/>
      </c>
    </row>
    <row r="83" ht="15" customHeight="1">
      <c r="A83" t="inlineStr">
        <is>
          <t>A 27861-2025</t>
        </is>
      </c>
      <c r="B83" s="1" t="n">
        <v>45817</v>
      </c>
      <c r="C83" s="1" t="n">
        <v>46198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3.1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HYPERLINK("https://klasma.github.io/Logging_0562/artfynd/A 27861-2025 artfynd.xlsx", "A 27861-2025")</f>
        <v/>
      </c>
      <c r="T83">
        <f>HYPERLINK("https://klasma.github.io/Logging_0562/kartor/A 27861-2025 karta.png", "A 27861-2025")</f>
        <v/>
      </c>
      <c r="V83">
        <f>HYPERLINK("https://klasma.github.io/Logging_0562/klagomål/A 27861-2025 FSC-klagomål.docx", "A 27861-2025")</f>
        <v/>
      </c>
      <c r="W83">
        <f>HYPERLINK("https://klasma.github.io/Logging_0562/klagomålsmail/A 27861-2025 FSC-klagomål mail.docx", "A 27861-2025")</f>
        <v/>
      </c>
      <c r="X83">
        <f>HYPERLINK("https://klasma.github.io/Logging_0562/tillsyn/A 27861-2025 tillsynsbegäran.docx", "A 27861-2025")</f>
        <v/>
      </c>
      <c r="Y83">
        <f>HYPERLINK("https://klasma.github.io/Logging_0562/tillsynsmail/A 27861-2025 tillsynsbegäran mail.docx", "A 27861-2025")</f>
        <v/>
      </c>
    </row>
    <row r="84" ht="15" customHeight="1">
      <c r="A84" t="inlineStr">
        <is>
          <t>A 34220-2025</t>
        </is>
      </c>
      <c r="B84" s="1" t="n">
        <v>45845</v>
      </c>
      <c r="C84" s="1" t="n">
        <v>46198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HYPERLINK("https://klasma.github.io/Logging_0562/artfynd/A 34220-2025 artfynd.xlsx", "A 34220-2025")</f>
        <v/>
      </c>
      <c r="T84">
        <f>HYPERLINK("https://klasma.github.io/Logging_0562/kartor/A 34220-2025 karta.png", "A 34220-2025")</f>
        <v/>
      </c>
      <c r="V84">
        <f>HYPERLINK("https://klasma.github.io/Logging_0562/klagomål/A 34220-2025 FSC-klagomål.docx", "A 34220-2025")</f>
        <v/>
      </c>
      <c r="W84">
        <f>HYPERLINK("https://klasma.github.io/Logging_0562/klagomålsmail/A 34220-2025 FSC-klagomål mail.docx", "A 34220-2025")</f>
        <v/>
      </c>
      <c r="X84">
        <f>HYPERLINK("https://klasma.github.io/Logging_0562/tillsyn/A 34220-2025 tillsynsbegäran.docx", "A 34220-2025")</f>
        <v/>
      </c>
      <c r="Y84">
        <f>HYPERLINK("https://klasma.github.io/Logging_0562/tillsynsmail/A 34220-2025 tillsynsbegäran mail.docx", "A 34220-2025")</f>
        <v/>
      </c>
    </row>
    <row r="85" ht="15" customHeight="1">
      <c r="A85" t="inlineStr">
        <is>
          <t>A 34310-2025</t>
        </is>
      </c>
      <c r="B85" s="1" t="n">
        <v>45846</v>
      </c>
      <c r="C85" s="1" t="n">
        <v>46198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HYPERLINK("https://klasma.github.io/Logging_0562/artfynd/A 34310-2025 artfynd.xlsx", "A 34310-2025")</f>
        <v/>
      </c>
      <c r="T85">
        <f>HYPERLINK("https://klasma.github.io/Logging_0562/kartor/A 34310-2025 karta.png", "A 34310-2025")</f>
        <v/>
      </c>
      <c r="V85">
        <f>HYPERLINK("https://klasma.github.io/Logging_0562/klagomål/A 34310-2025 FSC-klagomål.docx", "A 34310-2025")</f>
        <v/>
      </c>
      <c r="W85">
        <f>HYPERLINK("https://klasma.github.io/Logging_0562/klagomålsmail/A 34310-2025 FSC-klagomål mail.docx", "A 34310-2025")</f>
        <v/>
      </c>
      <c r="X85">
        <f>HYPERLINK("https://klasma.github.io/Logging_0562/tillsyn/A 34310-2025 tillsynsbegäran.docx", "A 34310-2025")</f>
        <v/>
      </c>
      <c r="Y85">
        <f>HYPERLINK("https://klasma.github.io/Logging_0562/tillsynsmail/A 34310-2025 tillsynsbegäran mail.docx", "A 34310-2025")</f>
        <v/>
      </c>
    </row>
    <row r="86" ht="15" customHeight="1">
      <c r="A86" t="inlineStr">
        <is>
          <t>A 29798-2022</t>
        </is>
      </c>
      <c r="B86" s="1" t="n">
        <v>44755</v>
      </c>
      <c r="C86" s="1" t="n">
        <v>46198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38474-2021</t>
        </is>
      </c>
      <c r="B87" s="1" t="n">
        <v>44406</v>
      </c>
      <c r="C87" s="1" t="n">
        <v>46198</v>
      </c>
      <c r="D87" t="inlineStr">
        <is>
          <t>ÖSTERGÖTLANDS LÄN</t>
        </is>
      </c>
      <c r="E87" t="inlineStr">
        <is>
          <t>FINSPÅNG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44109-2021</t>
        </is>
      </c>
      <c r="B88" s="1" t="n">
        <v>44434</v>
      </c>
      <c r="C88" s="1" t="n">
        <v>46198</v>
      </c>
      <c r="D88" t="inlineStr">
        <is>
          <t>ÖSTERGÖTLANDS LÄN</t>
        </is>
      </c>
      <c r="E88" t="inlineStr">
        <is>
          <t>FINSPÅNG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16868-2022</t>
        </is>
      </c>
      <c r="B89" s="1" t="n">
        <v>44675</v>
      </c>
      <c r="C89" s="1" t="n">
        <v>46198</v>
      </c>
      <c r="D89" t="inlineStr">
        <is>
          <t>ÖSTERGÖTLANDS LÄN</t>
        </is>
      </c>
      <c r="E89" t="inlineStr">
        <is>
          <t>FINSPÅNG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16901-2022</t>
        </is>
      </c>
      <c r="B90" s="1" t="n">
        <v>44676</v>
      </c>
      <c r="C90" s="1" t="n">
        <v>46198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49877-2022</t>
        </is>
      </c>
      <c r="B91" s="1" t="n">
        <v>44864</v>
      </c>
      <c r="C91" s="1" t="n">
        <v>46198</v>
      </c>
      <c r="D91" t="inlineStr">
        <is>
          <t>ÖSTERGÖTLANDS LÄN</t>
        </is>
      </c>
      <c r="E91" t="inlineStr">
        <is>
          <t>FINSPÅNG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6410-2022</t>
        </is>
      </c>
      <c r="B92" s="1" t="n">
        <v>44600</v>
      </c>
      <c r="C92" s="1" t="n">
        <v>46198</v>
      </c>
      <c r="D92" t="inlineStr">
        <is>
          <t>ÖSTERGÖTLANDS LÄN</t>
        </is>
      </c>
      <c r="E92" t="inlineStr">
        <is>
          <t>FINSPÅNG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70407-2021</t>
        </is>
      </c>
      <c r="B93" s="1" t="n">
        <v>44536</v>
      </c>
      <c r="C93" s="1" t="n">
        <v>46198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35714-2022</t>
        </is>
      </c>
      <c r="B94" s="1" t="n">
        <v>44799</v>
      </c>
      <c r="C94" s="1" t="n">
        <v>46198</v>
      </c>
      <c r="D94" t="inlineStr">
        <is>
          <t>ÖSTERGÖTLANDS LÄN</t>
        </is>
      </c>
      <c r="E94" t="inlineStr">
        <is>
          <t>FINSPÅNG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40550-2021</t>
        </is>
      </c>
      <c r="B95" s="1" t="n">
        <v>44420</v>
      </c>
      <c r="C95" s="1" t="n">
        <v>46198</v>
      </c>
      <c r="D95" t="inlineStr">
        <is>
          <t>ÖSTERGÖTLANDS LÄN</t>
        </is>
      </c>
      <c r="E95" t="inlineStr">
        <is>
          <t>FINSPÅNG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40822-2022</t>
        </is>
      </c>
      <c r="B96" s="1" t="n">
        <v>44824</v>
      </c>
      <c r="C96" s="1" t="n">
        <v>46198</v>
      </c>
      <c r="D96" t="inlineStr">
        <is>
          <t>ÖSTERGÖTLANDS LÄN</t>
        </is>
      </c>
      <c r="E96" t="inlineStr">
        <is>
          <t>FINSPÅNG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34776-2022</t>
        </is>
      </c>
      <c r="B97" s="1" t="n">
        <v>44795</v>
      </c>
      <c r="C97" s="1" t="n">
        <v>46198</v>
      </c>
      <c r="D97" t="inlineStr">
        <is>
          <t>ÖSTERGÖTLANDS LÄN</t>
        </is>
      </c>
      <c r="E97" t="inlineStr">
        <is>
          <t>FINSPÅNG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48106-2022</t>
        </is>
      </c>
      <c r="B98" s="1" t="n">
        <v>44856</v>
      </c>
      <c r="C98" s="1" t="n">
        <v>46198</v>
      </c>
      <c r="D98" t="inlineStr">
        <is>
          <t>ÖSTERGÖTLANDS LÄN</t>
        </is>
      </c>
      <c r="E98" t="inlineStr">
        <is>
          <t>FINSPÅNG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44665-2021</t>
        </is>
      </c>
      <c r="B99" s="1" t="n">
        <v>44438</v>
      </c>
      <c r="C99" s="1" t="n">
        <v>46198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33173-2021</t>
        </is>
      </c>
      <c r="B100" s="1" t="n">
        <v>44376</v>
      </c>
      <c r="C100" s="1" t="n">
        <v>46198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46198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46198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46198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46198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46198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46198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46198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</v>
      </c>
      <c r="C108" s="1" t="n">
        <v>46198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46198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46198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4275-2022</t>
        </is>
      </c>
      <c r="B111" s="1" t="n">
        <v>44588</v>
      </c>
      <c r="C111" s="1" t="n">
        <v>46198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49600-2021</t>
        </is>
      </c>
      <c r="B112" s="1" t="n">
        <v>44455</v>
      </c>
      <c r="C112" s="1" t="n">
        <v>46198</v>
      </c>
      <c r="D112" t="inlineStr">
        <is>
          <t>ÖSTERGÖTLANDS LÄN</t>
        </is>
      </c>
      <c r="E112" t="inlineStr">
        <is>
          <t>FINSPÅNG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49612-2021</t>
        </is>
      </c>
      <c r="B113" s="1" t="n">
        <v>44455</v>
      </c>
      <c r="C113" s="1" t="n">
        <v>46198</v>
      </c>
      <c r="D113" t="inlineStr">
        <is>
          <t>ÖSTERGÖTLANDS LÄN</t>
        </is>
      </c>
      <c r="E113" t="inlineStr">
        <is>
          <t>FINSPÅNG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46198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</v>
      </c>
      <c r="C115" s="1" t="n">
        <v>46198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10887-2022</t>
        </is>
      </c>
      <c r="B116" s="1" t="n">
        <v>44627</v>
      </c>
      <c r="C116" s="1" t="n">
        <v>46198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67767-2021</t>
        </is>
      </c>
      <c r="B117" s="1" t="n">
        <v>44525</v>
      </c>
      <c r="C117" s="1" t="n">
        <v>46198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46198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52675-2022</t>
        </is>
      </c>
      <c r="B119" s="1" t="n">
        <v>44874</v>
      </c>
      <c r="C119" s="1" t="n">
        <v>46198</v>
      </c>
      <c r="D119" t="inlineStr">
        <is>
          <t>ÖSTERGÖTLANDS LÄN</t>
        </is>
      </c>
      <c r="E119" t="inlineStr">
        <is>
          <t>FINSPÅNG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62445-2021</t>
        </is>
      </c>
      <c r="B120" s="1" t="n">
        <v>44503</v>
      </c>
      <c r="C120" s="1" t="n">
        <v>46198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62196-2021</t>
        </is>
      </c>
      <c r="B121" s="1" t="n">
        <v>44502</v>
      </c>
      <c r="C121" s="1" t="n">
        <v>46198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Övriga Aktiebolag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73659-2021</t>
        </is>
      </c>
      <c r="B122" s="1" t="n">
        <v>44551</v>
      </c>
      <c r="C122" s="1" t="n">
        <v>46198</v>
      </c>
      <c r="D122" t="inlineStr">
        <is>
          <t>ÖSTERGÖTLANDS LÄN</t>
        </is>
      </c>
      <c r="E122" t="inlineStr">
        <is>
          <t>FINSPÅNG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22294-2022</t>
        </is>
      </c>
      <c r="B123" s="1" t="n">
        <v>44712</v>
      </c>
      <c r="C123" s="1" t="n">
        <v>46198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2999-2022</t>
        </is>
      </c>
      <c r="B124" s="1" t="n">
        <v>44581</v>
      </c>
      <c r="C124" s="1" t="n">
        <v>46198</v>
      </c>
      <c r="D124" t="inlineStr">
        <is>
          <t>ÖSTERGÖTLANDS LÄN</t>
        </is>
      </c>
      <c r="E124" t="inlineStr">
        <is>
          <t>FINSPÅNG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43020-2022</t>
        </is>
      </c>
      <c r="B125" s="1" t="n">
        <v>44833</v>
      </c>
      <c r="C125" s="1" t="n">
        <v>46198</v>
      </c>
      <c r="D125" t="inlineStr">
        <is>
          <t>ÖSTERGÖTLANDS LÄN</t>
        </is>
      </c>
      <c r="E125" t="inlineStr">
        <is>
          <t>FINSPÅNG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49446-2022</t>
        </is>
      </c>
      <c r="B126" s="1" t="n">
        <v>44859</v>
      </c>
      <c r="C126" s="1" t="n">
        <v>46198</v>
      </c>
      <c r="D126" t="inlineStr">
        <is>
          <t>ÖSTERGÖTLANDS LÄN</t>
        </is>
      </c>
      <c r="E126" t="inlineStr">
        <is>
          <t>FINSPÅNG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16679-2022</t>
        </is>
      </c>
      <c r="B127" s="1" t="n">
        <v>44672</v>
      </c>
      <c r="C127" s="1" t="n">
        <v>46198</v>
      </c>
      <c r="D127" t="inlineStr">
        <is>
          <t>ÖSTERGÖTLANDS LÄN</t>
        </is>
      </c>
      <c r="E127" t="inlineStr">
        <is>
          <t>FINSPÅNG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26243-2022</t>
        </is>
      </c>
      <c r="B128" s="1" t="n">
        <v>44735</v>
      </c>
      <c r="C128" s="1" t="n">
        <v>46198</v>
      </c>
      <c r="D128" t="inlineStr">
        <is>
          <t>ÖSTERGÖTLANDS LÄN</t>
        </is>
      </c>
      <c r="E128" t="inlineStr">
        <is>
          <t>FINSPÅNG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6519-2022</t>
        </is>
      </c>
      <c r="B129" s="1" t="n">
        <v>44601</v>
      </c>
      <c r="C129" s="1" t="n">
        <v>46198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49831-2021</t>
        </is>
      </c>
      <c r="B130" s="1" t="n">
        <v>44455</v>
      </c>
      <c r="C130" s="1" t="n">
        <v>46198</v>
      </c>
      <c r="D130" t="inlineStr">
        <is>
          <t>ÖSTERGÖTLANDS LÄN</t>
        </is>
      </c>
      <c r="E130" t="inlineStr">
        <is>
          <t>FINSPÅNG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51808-2021</t>
        </is>
      </c>
      <c r="B131" s="1" t="n">
        <v>44462</v>
      </c>
      <c r="C131" s="1" t="n">
        <v>46198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34996-2022</t>
        </is>
      </c>
      <c r="B132" s="1" t="n">
        <v>44796</v>
      </c>
      <c r="C132" s="1" t="n">
        <v>46198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32472-2022</t>
        </is>
      </c>
      <c r="B133" s="1" t="n">
        <v>44782</v>
      </c>
      <c r="C133" s="1" t="n">
        <v>46198</v>
      </c>
      <c r="D133" t="inlineStr">
        <is>
          <t>ÖSTERGÖTLANDS LÄN</t>
        </is>
      </c>
      <c r="E133" t="inlineStr">
        <is>
          <t>FINSPÅNG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27162-2022</t>
        </is>
      </c>
      <c r="B134" s="1" t="n">
        <v>44741</v>
      </c>
      <c r="C134" s="1" t="n">
        <v>46198</v>
      </c>
      <c r="D134" t="inlineStr">
        <is>
          <t>ÖSTERGÖTLANDS LÄN</t>
        </is>
      </c>
      <c r="E134" t="inlineStr">
        <is>
          <t>FINSPÅNG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51034-2021</t>
        </is>
      </c>
      <c r="B135" s="1" t="n">
        <v>44460</v>
      </c>
      <c r="C135" s="1" t="n">
        <v>46198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48670-2022</t>
        </is>
      </c>
      <c r="B136" s="1" t="n">
        <v>44859</v>
      </c>
      <c r="C136" s="1" t="n">
        <v>46198</v>
      </c>
      <c r="D136" t="inlineStr">
        <is>
          <t>ÖSTERGÖTLANDS LÄN</t>
        </is>
      </c>
      <c r="E136" t="inlineStr">
        <is>
          <t>FINSPÅNG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8615-2022</t>
        </is>
      </c>
      <c r="B137" s="1" t="n">
        <v>44613</v>
      </c>
      <c r="C137" s="1" t="n">
        <v>46198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17412-2022</t>
        </is>
      </c>
      <c r="B138" s="1" t="n">
        <v>44678</v>
      </c>
      <c r="C138" s="1" t="n">
        <v>46198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47899-2022</t>
        </is>
      </c>
      <c r="B139" s="1" t="n">
        <v>44855</v>
      </c>
      <c r="C139" s="1" t="n">
        <v>46198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55355-2022</t>
        </is>
      </c>
      <c r="B140" s="1" t="n">
        <v>44887</v>
      </c>
      <c r="C140" s="1" t="n">
        <v>46198</v>
      </c>
      <c r="D140" t="inlineStr">
        <is>
          <t>ÖSTERGÖTLANDS LÄN</t>
        </is>
      </c>
      <c r="E140" t="inlineStr">
        <is>
          <t>FINSPÅNG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50077-2022</t>
        </is>
      </c>
      <c r="B141" s="1" t="n">
        <v>44860</v>
      </c>
      <c r="C141" s="1" t="n">
        <v>46198</v>
      </c>
      <c r="D141" t="inlineStr">
        <is>
          <t>ÖSTERGÖTLANDS LÄN</t>
        </is>
      </c>
      <c r="E141" t="inlineStr">
        <is>
          <t>FINSPÅNG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39007-2021</t>
        </is>
      </c>
      <c r="B142" s="1" t="n">
        <v>44412</v>
      </c>
      <c r="C142" s="1" t="n">
        <v>46198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29472-2022</t>
        </is>
      </c>
      <c r="B143" s="1" t="n">
        <v>44753</v>
      </c>
      <c r="C143" s="1" t="n">
        <v>46198</v>
      </c>
      <c r="D143" t="inlineStr">
        <is>
          <t>ÖSTERGÖTLANDS LÄN</t>
        </is>
      </c>
      <c r="E143" t="inlineStr">
        <is>
          <t>FINSPÅNG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45247-2022</t>
        </is>
      </c>
      <c r="B144" s="1" t="n">
        <v>44844</v>
      </c>
      <c r="C144" s="1" t="n">
        <v>46198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36075-2022</t>
        </is>
      </c>
      <c r="B145" s="1" t="n">
        <v>44802</v>
      </c>
      <c r="C145" s="1" t="n">
        <v>46198</v>
      </c>
      <c r="D145" t="inlineStr">
        <is>
          <t>ÖSTERGÖTLANDS LÄN</t>
        </is>
      </c>
      <c r="E145" t="inlineStr">
        <is>
          <t>FINSPÅNG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43908-2021</t>
        </is>
      </c>
      <c r="B146" s="1" t="n">
        <v>44434</v>
      </c>
      <c r="C146" s="1" t="n">
        <v>46198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HYPERLINK("https://klasma.github.io/Logging_0562/knärot/A 43908-2021 karta knärot.png", "A 43908-2021")</f>
        <v/>
      </c>
      <c r="V146">
        <f>HYPERLINK("https://klasma.github.io/Logging_0562/klagomål/A 43908-2021 FSC-klagomål.docx", "A 43908-2021")</f>
        <v/>
      </c>
      <c r="W146">
        <f>HYPERLINK("https://klasma.github.io/Logging_0562/klagomålsmail/A 43908-2021 FSC-klagomål mail.docx", "A 43908-2021")</f>
        <v/>
      </c>
      <c r="X146">
        <f>HYPERLINK("https://klasma.github.io/Logging_0562/tillsyn/A 43908-2021 tillsynsbegäran.docx", "A 43908-2021")</f>
        <v/>
      </c>
      <c r="Y146">
        <f>HYPERLINK("https://klasma.github.io/Logging_0562/tillsynsmail/A 43908-2021 tillsynsbegäran mail.docx", "A 43908-2021")</f>
        <v/>
      </c>
    </row>
    <row r="147" ht="15" customHeight="1">
      <c r="A147" t="inlineStr">
        <is>
          <t>A 71597-2021</t>
        </is>
      </c>
      <c r="B147" s="1" t="n">
        <v>44541</v>
      </c>
      <c r="C147" s="1" t="n">
        <v>46198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32324-2022</t>
        </is>
      </c>
      <c r="B148" s="1" t="n">
        <v>44781</v>
      </c>
      <c r="C148" s="1" t="n">
        <v>46198</v>
      </c>
      <c r="D148" t="inlineStr">
        <is>
          <t>ÖSTERGÖTLANDS LÄN</t>
        </is>
      </c>
      <c r="E148" t="inlineStr">
        <is>
          <t>FINSPÅNG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64-2022</t>
        </is>
      </c>
      <c r="B149" s="1" t="n">
        <v>44564</v>
      </c>
      <c r="C149" s="1" t="n">
        <v>46198</v>
      </c>
      <c r="D149" t="inlineStr">
        <is>
          <t>ÖSTERGÖTLANDS LÄN</t>
        </is>
      </c>
      <c r="E149" t="inlineStr">
        <is>
          <t>FINSPÅNG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36557-2021</t>
        </is>
      </c>
      <c r="B150" s="1" t="n">
        <v>44391</v>
      </c>
      <c r="C150" s="1" t="n">
        <v>46198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51448-2021</t>
        </is>
      </c>
      <c r="B151" s="1" t="n">
        <v>44462</v>
      </c>
      <c r="C151" s="1" t="n">
        <v>46198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48669-2022</t>
        </is>
      </c>
      <c r="B152" s="1" t="n">
        <v>44859</v>
      </c>
      <c r="C152" s="1" t="n">
        <v>46198</v>
      </c>
      <c r="D152" t="inlineStr">
        <is>
          <t>ÖSTERGÖTLANDS LÄN</t>
        </is>
      </c>
      <c r="E152" t="inlineStr">
        <is>
          <t>FINSPÅNG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53741-2021</t>
        </is>
      </c>
      <c r="B153" s="1" t="n">
        <v>44469</v>
      </c>
      <c r="C153" s="1" t="n">
        <v>46198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5622-2022</t>
        </is>
      </c>
      <c r="B154" s="1" t="n">
        <v>44595</v>
      </c>
      <c r="C154" s="1" t="n">
        <v>46198</v>
      </c>
      <c r="D154" t="inlineStr">
        <is>
          <t>ÖSTERGÖTLANDS LÄN</t>
        </is>
      </c>
      <c r="E154" t="inlineStr">
        <is>
          <t>FINSPÅNG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43165-2021</t>
        </is>
      </c>
      <c r="B155" s="1" t="n">
        <v>44431</v>
      </c>
      <c r="C155" s="1" t="n">
        <v>46198</v>
      </c>
      <c r="D155" t="inlineStr">
        <is>
          <t>ÖSTERGÖTLANDS LÄN</t>
        </is>
      </c>
      <c r="E155" t="inlineStr">
        <is>
          <t>FINSPÅNG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3109-2022</t>
        </is>
      </c>
      <c r="B156" s="1" t="n">
        <v>44582</v>
      </c>
      <c r="C156" s="1" t="n">
        <v>46198</v>
      </c>
      <c r="D156" t="inlineStr">
        <is>
          <t>ÖSTERGÖTLANDS LÄN</t>
        </is>
      </c>
      <c r="E156" t="inlineStr">
        <is>
          <t>FINSPÅNG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63321-2021</t>
        </is>
      </c>
      <c r="B157" s="1" t="n">
        <v>44508</v>
      </c>
      <c r="C157" s="1" t="n">
        <v>46198</v>
      </c>
      <c r="D157" t="inlineStr">
        <is>
          <t>ÖSTERGÖTLANDS LÄN</t>
        </is>
      </c>
      <c r="E157" t="inlineStr">
        <is>
          <t>FINSPÅNG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39014-2022</t>
        </is>
      </c>
      <c r="B158" s="1" t="n">
        <v>44816</v>
      </c>
      <c r="C158" s="1" t="n">
        <v>46198</v>
      </c>
      <c r="D158" t="inlineStr">
        <is>
          <t>ÖSTERGÖTLANDS LÄN</t>
        </is>
      </c>
      <c r="E158" t="inlineStr">
        <is>
          <t>FINSPÅNG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14820-2022</t>
        </is>
      </c>
      <c r="B159" s="1" t="n">
        <v>44656</v>
      </c>
      <c r="C159" s="1" t="n">
        <v>46198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10885-2022</t>
        </is>
      </c>
      <c r="B160" s="1" t="n">
        <v>44627</v>
      </c>
      <c r="C160" s="1" t="n">
        <v>46198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3845-2022</t>
        </is>
      </c>
      <c r="B161" s="1" t="n">
        <v>44587</v>
      </c>
      <c r="C161" s="1" t="n">
        <v>46198</v>
      </c>
      <c r="D161" t="inlineStr">
        <is>
          <t>ÖSTERGÖTLANDS LÄN</t>
        </is>
      </c>
      <c r="E161" t="inlineStr">
        <is>
          <t>FINSPÅNG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44153-2021</t>
        </is>
      </c>
      <c r="B162" s="1" t="n">
        <v>44434</v>
      </c>
      <c r="C162" s="1" t="n">
        <v>46198</v>
      </c>
      <c r="D162" t="inlineStr">
        <is>
          <t>ÖSTERGÖTLANDS LÄN</t>
        </is>
      </c>
      <c r="E162" t="inlineStr">
        <is>
          <t>FINSPÅNG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41924-2021</t>
        </is>
      </c>
      <c r="B163" s="1" t="n">
        <v>44425</v>
      </c>
      <c r="C163" s="1" t="n">
        <v>46198</v>
      </c>
      <c r="D163" t="inlineStr">
        <is>
          <t>ÖSTERGÖTLANDS LÄN</t>
        </is>
      </c>
      <c r="E163" t="inlineStr">
        <is>
          <t>FINSPÅNG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40179-2022</t>
        </is>
      </c>
      <c r="B164" s="1" t="n">
        <v>44820</v>
      </c>
      <c r="C164" s="1" t="n">
        <v>46198</v>
      </c>
      <c r="D164" t="inlineStr">
        <is>
          <t>ÖSTERGÖTLANDS LÄN</t>
        </is>
      </c>
      <c r="E164" t="inlineStr">
        <is>
          <t>FINSPÅNG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69717-2021</t>
        </is>
      </c>
      <c r="B165" s="1" t="n">
        <v>44532</v>
      </c>
      <c r="C165" s="1" t="n">
        <v>46198</v>
      </c>
      <c r="D165" t="inlineStr">
        <is>
          <t>ÖSTERGÖTLANDS LÄN</t>
        </is>
      </c>
      <c r="E165" t="inlineStr">
        <is>
          <t>FINSPÅNG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73831-2021</t>
        </is>
      </c>
      <c r="B166" s="1" t="n">
        <v>44552</v>
      </c>
      <c r="C166" s="1" t="n">
        <v>46198</v>
      </c>
      <c r="D166" t="inlineStr">
        <is>
          <t>ÖSTERGÖTLANDS LÄN</t>
        </is>
      </c>
      <c r="E166" t="inlineStr">
        <is>
          <t>FINSPÅNG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53609-2022</t>
        </is>
      </c>
      <c r="B167" s="1" t="n">
        <v>44879</v>
      </c>
      <c r="C167" s="1" t="n">
        <v>46198</v>
      </c>
      <c r="D167" t="inlineStr">
        <is>
          <t>ÖSTERGÖTLANDS LÄN</t>
        </is>
      </c>
      <c r="E167" t="inlineStr">
        <is>
          <t>FINSPÅNG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3013-2022</t>
        </is>
      </c>
      <c r="B168" s="1" t="n">
        <v>44581</v>
      </c>
      <c r="C168" s="1" t="n">
        <v>46198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4213-2022</t>
        </is>
      </c>
      <c r="B169" s="1" t="n">
        <v>44588</v>
      </c>
      <c r="C169" s="1" t="n">
        <v>46198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53028-2022</t>
        </is>
      </c>
      <c r="B170" s="1" t="n">
        <v>44875</v>
      </c>
      <c r="C170" s="1" t="n">
        <v>46198</v>
      </c>
      <c r="D170" t="inlineStr">
        <is>
          <t>ÖSTERGÖTLANDS LÄN</t>
        </is>
      </c>
      <c r="E170" t="inlineStr">
        <is>
          <t>FINSPÅNG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51989-2021</t>
        </is>
      </c>
      <c r="B171" s="1" t="n">
        <v>44463</v>
      </c>
      <c r="C171" s="1" t="n">
        <v>46198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27657-2022</t>
        </is>
      </c>
      <c r="B172" s="1" t="n">
        <v>44743</v>
      </c>
      <c r="C172" s="1" t="n">
        <v>46198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42515-2022</t>
        </is>
      </c>
      <c r="B173" s="1" t="n">
        <v>44831</v>
      </c>
      <c r="C173" s="1" t="n">
        <v>46198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39917-2022</t>
        </is>
      </c>
      <c r="B174" s="1" t="n">
        <v>44819</v>
      </c>
      <c r="C174" s="1" t="n">
        <v>46198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2805-2022</t>
        </is>
      </c>
      <c r="B175" s="1" t="n">
        <v>44581</v>
      </c>
      <c r="C175" s="1" t="n">
        <v>46198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11450-2022</t>
        </is>
      </c>
      <c r="B176" s="1" t="n">
        <v>44630</v>
      </c>
      <c r="C176" s="1" t="n">
        <v>46198</v>
      </c>
      <c r="D176" t="inlineStr">
        <is>
          <t>ÖSTERGÖTLANDS LÄN</t>
        </is>
      </c>
      <c r="E176" t="inlineStr">
        <is>
          <t>FINSPÅNG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53545-2021</t>
        </is>
      </c>
      <c r="B177" s="1" t="n">
        <v>44469</v>
      </c>
      <c r="C177" s="1" t="n">
        <v>46198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55744-2021</t>
        </is>
      </c>
      <c r="B178" s="1" t="n">
        <v>44476</v>
      </c>
      <c r="C178" s="1" t="n">
        <v>46198</v>
      </c>
      <c r="D178" t="inlineStr">
        <is>
          <t>ÖSTERGÖTLANDS LÄN</t>
        </is>
      </c>
      <c r="E178" t="inlineStr">
        <is>
          <t>FINSPÅNG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36573-2022</t>
        </is>
      </c>
      <c r="B179" s="1" t="n">
        <v>44804</v>
      </c>
      <c r="C179" s="1" t="n">
        <v>46198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6488-2022</t>
        </is>
      </c>
      <c r="B180" s="1" t="n">
        <v>44601</v>
      </c>
      <c r="C180" s="1" t="n">
        <v>46198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27493-2022</t>
        </is>
      </c>
      <c r="B181" s="1" t="n">
        <v>44742</v>
      </c>
      <c r="C181" s="1" t="n">
        <v>46198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44661-2021</t>
        </is>
      </c>
      <c r="B182" s="1" t="n">
        <v>44438</v>
      </c>
      <c r="C182" s="1" t="n">
        <v>46198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44663-2021</t>
        </is>
      </c>
      <c r="B183" s="1" t="n">
        <v>44438</v>
      </c>
      <c r="C183" s="1" t="n">
        <v>46198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46405-2021</t>
        </is>
      </c>
      <c r="B184" s="1" t="n">
        <v>44444</v>
      </c>
      <c r="C184" s="1" t="n">
        <v>46198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51633-2021</t>
        </is>
      </c>
      <c r="B185" s="1" t="n">
        <v>44462</v>
      </c>
      <c r="C185" s="1" t="n">
        <v>46198</v>
      </c>
      <c r="D185" t="inlineStr">
        <is>
          <t>ÖSTERGÖTLANDS LÄN</t>
        </is>
      </c>
      <c r="E185" t="inlineStr">
        <is>
          <t>FINSPÅNG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48684-2022</t>
        </is>
      </c>
      <c r="B186" s="1" t="n">
        <v>44859</v>
      </c>
      <c r="C186" s="1" t="n">
        <v>46198</v>
      </c>
      <c r="D186" t="inlineStr">
        <is>
          <t>ÖSTERGÖTLANDS LÄN</t>
        </is>
      </c>
      <c r="E186" t="inlineStr">
        <is>
          <t>FINSPÅNG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55620-2021</t>
        </is>
      </c>
      <c r="B187" s="1" t="n">
        <v>44476</v>
      </c>
      <c r="C187" s="1" t="n">
        <v>46198</v>
      </c>
      <c r="D187" t="inlineStr">
        <is>
          <t>ÖSTERGÖTLANDS LÄN</t>
        </is>
      </c>
      <c r="E187" t="inlineStr">
        <is>
          <t>FINSPÅNG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6402-2022</t>
        </is>
      </c>
      <c r="B188" s="1" t="n">
        <v>44600</v>
      </c>
      <c r="C188" s="1" t="n">
        <v>46198</v>
      </c>
      <c r="D188" t="inlineStr">
        <is>
          <t>ÖSTERGÖTLANDS LÄN</t>
        </is>
      </c>
      <c r="E188" t="inlineStr">
        <is>
          <t>FINSPÅNG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56727-2021</t>
        </is>
      </c>
      <c r="B189" s="1" t="n">
        <v>44481</v>
      </c>
      <c r="C189" s="1" t="n">
        <v>46198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11992-2022</t>
        </is>
      </c>
      <c r="B190" s="1" t="n">
        <v>44635</v>
      </c>
      <c r="C190" s="1" t="n">
        <v>46198</v>
      </c>
      <c r="D190" t="inlineStr">
        <is>
          <t>ÖSTERGÖTLANDS LÄN</t>
        </is>
      </c>
      <c r="E190" t="inlineStr">
        <is>
          <t>FINSPÅNG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39043-2021</t>
        </is>
      </c>
      <c r="B191" s="1" t="n">
        <v>44412</v>
      </c>
      <c r="C191" s="1" t="n">
        <v>46198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31811-2022</t>
        </is>
      </c>
      <c r="B192" s="1" t="n">
        <v>44776</v>
      </c>
      <c r="C192" s="1" t="n">
        <v>46198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41805-2021</t>
        </is>
      </c>
      <c r="B193" s="1" t="n">
        <v>44425</v>
      </c>
      <c r="C193" s="1" t="n">
        <v>46198</v>
      </c>
      <c r="D193" t="inlineStr">
        <is>
          <t>ÖSTERGÖTLANDS LÄN</t>
        </is>
      </c>
      <c r="E193" t="inlineStr">
        <is>
          <t>FINSPÅNG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22412-2022</t>
        </is>
      </c>
      <c r="B194" s="1" t="n">
        <v>44713</v>
      </c>
      <c r="C194" s="1" t="n">
        <v>46198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19890-2022</t>
        </is>
      </c>
      <c r="B195" s="1" t="n">
        <v>44697</v>
      </c>
      <c r="C195" s="1" t="n">
        <v>46198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53475-2021</t>
        </is>
      </c>
      <c r="B196" s="1" t="n">
        <v>44468</v>
      </c>
      <c r="C196" s="1" t="n">
        <v>46198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56883-2021</t>
        </is>
      </c>
      <c r="B197" s="1" t="n">
        <v>44481</v>
      </c>
      <c r="C197" s="1" t="n">
        <v>46198</v>
      </c>
      <c r="D197" t="inlineStr">
        <is>
          <t>ÖSTERGÖTLANDS LÄN</t>
        </is>
      </c>
      <c r="E197" t="inlineStr">
        <is>
          <t>FINSPÅNG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69994-2021</t>
        </is>
      </c>
      <c r="B198" s="1" t="n">
        <v>44533</v>
      </c>
      <c r="C198" s="1" t="n">
        <v>46198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6493-2022</t>
        </is>
      </c>
      <c r="B199" s="1" t="n">
        <v>44601</v>
      </c>
      <c r="C199" s="1" t="n">
        <v>46198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17413-2022</t>
        </is>
      </c>
      <c r="B200" s="1" t="n">
        <v>44678</v>
      </c>
      <c r="C200" s="1" t="n">
        <v>46198</v>
      </c>
      <c r="D200" t="inlineStr">
        <is>
          <t>ÖSTERGÖTLANDS LÄN</t>
        </is>
      </c>
      <c r="E200" t="inlineStr">
        <is>
          <t>FINSPÅNG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83-2022</t>
        </is>
      </c>
      <c r="B201" s="1" t="n">
        <v>44564</v>
      </c>
      <c r="C201" s="1" t="n">
        <v>46198</v>
      </c>
      <c r="D201" t="inlineStr">
        <is>
          <t>ÖSTERGÖTLANDS LÄN</t>
        </is>
      </c>
      <c r="E201" t="inlineStr">
        <is>
          <t>FINSPÅNG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21190-2022</t>
        </is>
      </c>
      <c r="B202" s="1" t="n">
        <v>44704</v>
      </c>
      <c r="C202" s="1" t="n">
        <v>46198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12898-2022</t>
        </is>
      </c>
      <c r="B203" s="1" t="n">
        <v>44642</v>
      </c>
      <c r="C203" s="1" t="n">
        <v>46198</v>
      </c>
      <c r="D203" t="inlineStr">
        <is>
          <t>ÖSTERGÖTLANDS LÄN</t>
        </is>
      </c>
      <c r="E203" t="inlineStr">
        <is>
          <t>FINSPÅNG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15356-2022</t>
        </is>
      </c>
      <c r="B204" s="1" t="n">
        <v>44659</v>
      </c>
      <c r="C204" s="1" t="n">
        <v>46198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22603-2024</t>
        </is>
      </c>
      <c r="B205" s="1" t="n">
        <v>45447</v>
      </c>
      <c r="C205" s="1" t="n">
        <v>46198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14866-2022</t>
        </is>
      </c>
      <c r="B206" s="1" t="n">
        <v>44656</v>
      </c>
      <c r="C206" s="1" t="n">
        <v>46198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6697-2023</t>
        </is>
      </c>
      <c r="B207" s="1" t="n">
        <v>44966</v>
      </c>
      <c r="C207" s="1" t="n">
        <v>46198</v>
      </c>
      <c r="D207" t="inlineStr">
        <is>
          <t>ÖSTERGÖTLANDS LÄN</t>
        </is>
      </c>
      <c r="E207" t="inlineStr">
        <is>
          <t>FINSPÅNG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60173-2023</t>
        </is>
      </c>
      <c r="B208" s="1" t="n">
        <v>45258</v>
      </c>
      <c r="C208" s="1" t="n">
        <v>46198</v>
      </c>
      <c r="D208" t="inlineStr">
        <is>
          <t>ÖSTERGÖTLANDS LÄN</t>
        </is>
      </c>
      <c r="E208" t="inlineStr">
        <is>
          <t>FINSPÅNG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16975-2023</t>
        </is>
      </c>
      <c r="B209" s="1" t="n">
        <v>45033</v>
      </c>
      <c r="C209" s="1" t="n">
        <v>46198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Naturvårdsverket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14110-2023</t>
        </is>
      </c>
      <c r="B210" s="1" t="n">
        <v>45009</v>
      </c>
      <c r="C210" s="1" t="n">
        <v>46198</v>
      </c>
      <c r="D210" t="inlineStr">
        <is>
          <t>ÖSTERGÖTLANDS LÄN</t>
        </is>
      </c>
      <c r="E210" t="inlineStr">
        <is>
          <t>FINSPÅNG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28722-2023</t>
        </is>
      </c>
      <c r="B211" s="1" t="n">
        <v>45103</v>
      </c>
      <c r="C211" s="1" t="n">
        <v>46198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225-2024</t>
        </is>
      </c>
      <c r="B212" s="1" t="n">
        <v>45293</v>
      </c>
      <c r="C212" s="1" t="n">
        <v>46198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17104-2022</t>
        </is>
      </c>
      <c r="B213" s="1" t="n">
        <v>44677</v>
      </c>
      <c r="C213" s="1" t="n">
        <v>46198</v>
      </c>
      <c r="D213" t="inlineStr">
        <is>
          <t>ÖSTERGÖTLANDS LÄN</t>
        </is>
      </c>
      <c r="E213" t="inlineStr">
        <is>
          <t>FINSPÅNG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53123-2021</t>
        </is>
      </c>
      <c r="B214" s="1" t="n">
        <v>44467</v>
      </c>
      <c r="C214" s="1" t="n">
        <v>46198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36100-2022</t>
        </is>
      </c>
      <c r="B215" s="1" t="n">
        <v>44802</v>
      </c>
      <c r="C215" s="1" t="n">
        <v>46198</v>
      </c>
      <c r="D215" t="inlineStr">
        <is>
          <t>ÖSTERGÖTLANDS LÄN</t>
        </is>
      </c>
      <c r="E215" t="inlineStr">
        <is>
          <t>FINSPÅNG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57854-2022</t>
        </is>
      </c>
      <c r="B216" s="1" t="n">
        <v>44898</v>
      </c>
      <c r="C216" s="1" t="n">
        <v>46198</v>
      </c>
      <c r="D216" t="inlineStr">
        <is>
          <t>ÖSTERGÖTLANDS LÄN</t>
        </is>
      </c>
      <c r="E216" t="inlineStr">
        <is>
          <t>FINSPÅNG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55812-2021</t>
        </is>
      </c>
      <c r="B217" s="1" t="n">
        <v>44476</v>
      </c>
      <c r="C217" s="1" t="n">
        <v>46198</v>
      </c>
      <c r="D217" t="inlineStr">
        <is>
          <t>ÖSTERGÖTLANDS LÄN</t>
        </is>
      </c>
      <c r="E217" t="inlineStr">
        <is>
          <t>FINSPÅNG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5595-2022</t>
        </is>
      </c>
      <c r="B218" s="1" t="n">
        <v>44595</v>
      </c>
      <c r="C218" s="1" t="n">
        <v>46198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57738-2022</t>
        </is>
      </c>
      <c r="B219" s="1" t="n">
        <v>44897</v>
      </c>
      <c r="C219" s="1" t="n">
        <v>46198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21655-2023</t>
        </is>
      </c>
      <c r="B220" s="1" t="n">
        <v>45063</v>
      </c>
      <c r="C220" s="1" t="n">
        <v>46198</v>
      </c>
      <c r="D220" t="inlineStr">
        <is>
          <t>ÖSTERGÖTLANDS LÄN</t>
        </is>
      </c>
      <c r="E220" t="inlineStr">
        <is>
          <t>FINSPÅNG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61998-2022</t>
        </is>
      </c>
      <c r="B221" s="1" t="n">
        <v>44918</v>
      </c>
      <c r="C221" s="1" t="n">
        <v>46198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16680-2022</t>
        </is>
      </c>
      <c r="B222" s="1" t="n">
        <v>44672</v>
      </c>
      <c r="C222" s="1" t="n">
        <v>46198</v>
      </c>
      <c r="D222" t="inlineStr">
        <is>
          <t>ÖSTERGÖTLANDS LÄN</t>
        </is>
      </c>
      <c r="E222" t="inlineStr">
        <is>
          <t>FINSPÅNG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27607-2023</t>
        </is>
      </c>
      <c r="B223" s="1" t="n">
        <v>45097</v>
      </c>
      <c r="C223" s="1" t="n">
        <v>46198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25121-2023</t>
        </is>
      </c>
      <c r="B224" s="1" t="n">
        <v>45086</v>
      </c>
      <c r="C224" s="1" t="n">
        <v>46198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60619-2023</t>
        </is>
      </c>
      <c r="B225" s="1" t="n">
        <v>45260</v>
      </c>
      <c r="C225" s="1" t="n">
        <v>46198</v>
      </c>
      <c r="D225" t="inlineStr">
        <is>
          <t>ÖSTERGÖTLANDS LÄN</t>
        </is>
      </c>
      <c r="E225" t="inlineStr">
        <is>
          <t>FINSPÅNG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15674-2023</t>
        </is>
      </c>
      <c r="B226" s="1" t="n">
        <v>45021</v>
      </c>
      <c r="C226" s="1" t="n">
        <v>46198</v>
      </c>
      <c r="D226" t="inlineStr">
        <is>
          <t>ÖSTERGÖTLANDS LÄN</t>
        </is>
      </c>
      <c r="E226" t="inlineStr">
        <is>
          <t>FINSPÅNG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50542-2022</t>
        </is>
      </c>
      <c r="B227" s="1" t="n">
        <v>44866</v>
      </c>
      <c r="C227" s="1" t="n">
        <v>46198</v>
      </c>
      <c r="D227" t="inlineStr">
        <is>
          <t>ÖSTERGÖTLANDS LÄN</t>
        </is>
      </c>
      <c r="E227" t="inlineStr">
        <is>
          <t>FINSPÅNG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5232-2024</t>
        </is>
      </c>
      <c r="B228" s="1" t="n">
        <v>45330</v>
      </c>
      <c r="C228" s="1" t="n">
        <v>46198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7884-2023</t>
        </is>
      </c>
      <c r="B229" s="1" t="n">
        <v>44973</v>
      </c>
      <c r="C229" s="1" t="n">
        <v>46198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29923-2023</t>
        </is>
      </c>
      <c r="B230" s="1" t="n">
        <v>45107</v>
      </c>
      <c r="C230" s="1" t="n">
        <v>46198</v>
      </c>
      <c r="D230" t="inlineStr">
        <is>
          <t>ÖSTERGÖTLANDS LÄN</t>
        </is>
      </c>
      <c r="E230" t="inlineStr">
        <is>
          <t>FINSPÅNG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30922-2022</t>
        </is>
      </c>
      <c r="B231" s="1" t="n">
        <v>44767</v>
      </c>
      <c r="C231" s="1" t="n">
        <v>46198</v>
      </c>
      <c r="D231" t="inlineStr">
        <is>
          <t>ÖSTERGÖTLANDS LÄN</t>
        </is>
      </c>
      <c r="E231" t="inlineStr">
        <is>
          <t>FINSPÅNG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62-2024</t>
        </is>
      </c>
      <c r="B232" s="1" t="n">
        <v>45293</v>
      </c>
      <c r="C232" s="1" t="n">
        <v>46198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19170-2024</t>
        </is>
      </c>
      <c r="B233" s="1" t="n">
        <v>45428</v>
      </c>
      <c r="C233" s="1" t="n">
        <v>46198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7484-2025</t>
        </is>
      </c>
      <c r="B234" s="1" t="n">
        <v>45705</v>
      </c>
      <c r="C234" s="1" t="n">
        <v>46198</v>
      </c>
      <c r="D234" t="inlineStr">
        <is>
          <t>ÖSTERGÖTLANDS LÄN</t>
        </is>
      </c>
      <c r="E234" t="inlineStr">
        <is>
          <t>FINSPÅNG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48443-2023</t>
        </is>
      </c>
      <c r="B235" s="1" t="n">
        <v>45206</v>
      </c>
      <c r="C235" s="1" t="n">
        <v>46198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59971-2024</t>
        </is>
      </c>
      <c r="B236" s="1" t="n">
        <v>45642</v>
      </c>
      <c r="C236" s="1" t="n">
        <v>46198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15900-2025</t>
        </is>
      </c>
      <c r="B237" s="1" t="n">
        <v>45749</v>
      </c>
      <c r="C237" s="1" t="n">
        <v>46198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27487-2023</t>
        </is>
      </c>
      <c r="B238" s="1" t="n">
        <v>45095</v>
      </c>
      <c r="C238" s="1" t="n">
        <v>46198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11481-2023</t>
        </is>
      </c>
      <c r="B239" s="1" t="n">
        <v>44993</v>
      </c>
      <c r="C239" s="1" t="n">
        <v>46198</v>
      </c>
      <c r="D239" t="inlineStr">
        <is>
          <t>ÖSTERGÖTLANDS LÄN</t>
        </is>
      </c>
      <c r="E239" t="inlineStr">
        <is>
          <t>FINSPÅNG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60749-2022</t>
        </is>
      </c>
      <c r="B240" s="1" t="n">
        <v>44914</v>
      </c>
      <c r="C240" s="1" t="n">
        <v>46198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11867-2025</t>
        </is>
      </c>
      <c r="B241" s="1" t="n">
        <v>45728</v>
      </c>
      <c r="C241" s="1" t="n">
        <v>46198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45407-2022</t>
        </is>
      </c>
      <c r="B242" s="1" t="n">
        <v>44844</v>
      </c>
      <c r="C242" s="1" t="n">
        <v>46198</v>
      </c>
      <c r="D242" t="inlineStr">
        <is>
          <t>ÖSTERGÖTLANDS LÄN</t>
        </is>
      </c>
      <c r="E242" t="inlineStr">
        <is>
          <t>FINSPÅNG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45411-2022</t>
        </is>
      </c>
      <c r="B243" s="1" t="n">
        <v>44844</v>
      </c>
      <c r="C243" s="1" t="n">
        <v>46198</v>
      </c>
      <c r="D243" t="inlineStr">
        <is>
          <t>ÖSTERGÖTLANDS LÄN</t>
        </is>
      </c>
      <c r="E243" t="inlineStr">
        <is>
          <t>FINSPÅNG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40063-2024</t>
        </is>
      </c>
      <c r="B244" s="1" t="n">
        <v>45554</v>
      </c>
      <c r="C244" s="1" t="n">
        <v>46198</v>
      </c>
      <c r="D244" t="inlineStr">
        <is>
          <t>ÖSTERGÖTLANDS LÄN</t>
        </is>
      </c>
      <c r="E244" t="inlineStr">
        <is>
          <t>FINSPÅNG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9009-2024</t>
        </is>
      </c>
      <c r="B245" s="1" t="n">
        <v>45357</v>
      </c>
      <c r="C245" s="1" t="n">
        <v>46198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14031-2025</t>
        </is>
      </c>
      <c r="B246" s="1" t="n">
        <v>45740</v>
      </c>
      <c r="C246" s="1" t="n">
        <v>46198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4748-2025</t>
        </is>
      </c>
      <c r="B247" s="1" t="n">
        <v>45688</v>
      </c>
      <c r="C247" s="1" t="n">
        <v>46198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5656-2023</t>
        </is>
      </c>
      <c r="B248" s="1" t="n">
        <v>44960</v>
      </c>
      <c r="C248" s="1" t="n">
        <v>46198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24806-2023</t>
        </is>
      </c>
      <c r="B249" s="1" t="n">
        <v>45084</v>
      </c>
      <c r="C249" s="1" t="n">
        <v>46198</v>
      </c>
      <c r="D249" t="inlineStr">
        <is>
          <t>ÖSTERGÖTLANDS LÄN</t>
        </is>
      </c>
      <c r="E249" t="inlineStr">
        <is>
          <t>FINSPÅNG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54404-2023</t>
        </is>
      </c>
      <c r="B250" s="1" t="n">
        <v>45233</v>
      </c>
      <c r="C250" s="1" t="n">
        <v>46198</v>
      </c>
      <c r="D250" t="inlineStr">
        <is>
          <t>ÖSTERGÖTLANDS LÄN</t>
        </is>
      </c>
      <c r="E250" t="inlineStr">
        <is>
          <t>FINSPÅNG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21532-2024</t>
        </is>
      </c>
      <c r="B251" s="1" t="n">
        <v>45441</v>
      </c>
      <c r="C251" s="1" t="n">
        <v>46198</v>
      </c>
      <c r="D251" t="inlineStr">
        <is>
          <t>ÖSTERGÖTLANDS LÄN</t>
        </is>
      </c>
      <c r="E251" t="inlineStr">
        <is>
          <t>FINSPÅNG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32044-2022</t>
        </is>
      </c>
      <c r="B252" s="1" t="n">
        <v>44778</v>
      </c>
      <c r="C252" s="1" t="n">
        <v>46198</v>
      </c>
      <c r="D252" t="inlineStr">
        <is>
          <t>ÖSTERGÖTLANDS LÄN</t>
        </is>
      </c>
      <c r="E252" t="inlineStr">
        <is>
          <t>FINSPÅNG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10258-2025</t>
        </is>
      </c>
      <c r="B253" s="1" t="n">
        <v>45720</v>
      </c>
      <c r="C253" s="1" t="n">
        <v>46198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59287-2023</t>
        </is>
      </c>
      <c r="B254" s="1" t="n">
        <v>45253</v>
      </c>
      <c r="C254" s="1" t="n">
        <v>46198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36192-2023</t>
        </is>
      </c>
      <c r="B255" s="1" t="n">
        <v>45149</v>
      </c>
      <c r="C255" s="1" t="n">
        <v>46198</v>
      </c>
      <c r="D255" t="inlineStr">
        <is>
          <t>ÖSTERGÖTLANDS LÄN</t>
        </is>
      </c>
      <c r="E255" t="inlineStr">
        <is>
          <t>FINSPÅNG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42694-2024</t>
        </is>
      </c>
      <c r="B256" s="1" t="n">
        <v>45566</v>
      </c>
      <c r="C256" s="1" t="n">
        <v>46198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49494-2022</t>
        </is>
      </c>
      <c r="B257" s="1" t="n">
        <v>44861</v>
      </c>
      <c r="C257" s="1" t="n">
        <v>46198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Naturvårdsverket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40372-2024</t>
        </is>
      </c>
      <c r="B258" s="1" t="n">
        <v>45555</v>
      </c>
      <c r="C258" s="1" t="n">
        <v>46198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58141-2022</t>
        </is>
      </c>
      <c r="B259" s="1" t="n">
        <v>44900</v>
      </c>
      <c r="C259" s="1" t="n">
        <v>46198</v>
      </c>
      <c r="D259" t="inlineStr">
        <is>
          <t>ÖSTERGÖTLANDS LÄN</t>
        </is>
      </c>
      <c r="E259" t="inlineStr">
        <is>
          <t>FINSPÅNG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55980-2024</t>
        </is>
      </c>
      <c r="B260" s="1" t="n">
        <v>45623</v>
      </c>
      <c r="C260" s="1" t="n">
        <v>46198</v>
      </c>
      <c r="D260" t="inlineStr">
        <is>
          <t>ÖSTERGÖTLANDS LÄN</t>
        </is>
      </c>
      <c r="E260" t="inlineStr">
        <is>
          <t>FINSPÅNG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481-2025</t>
        </is>
      </c>
      <c r="B261" s="1" t="n">
        <v>45664</v>
      </c>
      <c r="C261" s="1" t="n">
        <v>46198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2852-2025</t>
        </is>
      </c>
      <c r="B262" s="1" t="n">
        <v>45677</v>
      </c>
      <c r="C262" s="1" t="n">
        <v>46198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27697-2023</t>
        </is>
      </c>
      <c r="B263" s="1" t="n">
        <v>45095</v>
      </c>
      <c r="C263" s="1" t="n">
        <v>46198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27699-2023</t>
        </is>
      </c>
      <c r="B264" s="1" t="n">
        <v>45095</v>
      </c>
      <c r="C264" s="1" t="n">
        <v>46198</v>
      </c>
      <c r="D264" t="inlineStr">
        <is>
          <t>ÖSTERGÖTLANDS LÄN</t>
        </is>
      </c>
      <c r="E264" t="inlineStr">
        <is>
          <t>FINSPÅNG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2381-2023</t>
        </is>
      </c>
      <c r="B265" s="1" t="n">
        <v>44942</v>
      </c>
      <c r="C265" s="1" t="n">
        <v>46198</v>
      </c>
      <c r="D265" t="inlineStr">
        <is>
          <t>ÖSTERGÖTLANDS LÄN</t>
        </is>
      </c>
      <c r="E265" t="inlineStr">
        <is>
          <t>FINSPÅNG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60547-2023</t>
        </is>
      </c>
      <c r="B266" s="1" t="n">
        <v>45259</v>
      </c>
      <c r="C266" s="1" t="n">
        <v>46198</v>
      </c>
      <c r="D266" t="inlineStr">
        <is>
          <t>ÖSTERGÖTLANDS LÄN</t>
        </is>
      </c>
      <c r="E266" t="inlineStr">
        <is>
          <t>FINSPÅNG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39205-2022</t>
        </is>
      </c>
      <c r="B267" s="1" t="n">
        <v>44817</v>
      </c>
      <c r="C267" s="1" t="n">
        <v>46198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55956-2024</t>
        </is>
      </c>
      <c r="B268" s="1" t="n">
        <v>45623</v>
      </c>
      <c r="C268" s="1" t="n">
        <v>46198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53821-2022</t>
        </is>
      </c>
      <c r="B269" s="1" t="n">
        <v>44880</v>
      </c>
      <c r="C269" s="1" t="n">
        <v>46198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61359-2023</t>
        </is>
      </c>
      <c r="B270" s="1" t="n">
        <v>45264</v>
      </c>
      <c r="C270" s="1" t="n">
        <v>46198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8317-2023</t>
        </is>
      </c>
      <c r="B271" s="1" t="n">
        <v>44974</v>
      </c>
      <c r="C271" s="1" t="n">
        <v>46198</v>
      </c>
      <c r="D271" t="inlineStr">
        <is>
          <t>ÖSTERGÖTLANDS LÄN</t>
        </is>
      </c>
      <c r="E271" t="inlineStr">
        <is>
          <t>FINSPÅNG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35096-2021</t>
        </is>
      </c>
      <c r="B272" s="1" t="n">
        <v>44383</v>
      </c>
      <c r="C272" s="1" t="n">
        <v>46198</v>
      </c>
      <c r="D272" t="inlineStr">
        <is>
          <t>ÖSTERGÖTLANDS LÄN</t>
        </is>
      </c>
      <c r="E272" t="inlineStr">
        <is>
          <t>FINSPÅNG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14061-2023</t>
        </is>
      </c>
      <c r="B273" s="1" t="n">
        <v>45008</v>
      </c>
      <c r="C273" s="1" t="n">
        <v>46198</v>
      </c>
      <c r="D273" t="inlineStr">
        <is>
          <t>ÖSTERGÖTLANDS LÄN</t>
        </is>
      </c>
      <c r="E273" t="inlineStr">
        <is>
          <t>FINSPÅNG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10252-2025</t>
        </is>
      </c>
      <c r="B274" s="1" t="n">
        <v>45720</v>
      </c>
      <c r="C274" s="1" t="n">
        <v>46198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61994-2022</t>
        </is>
      </c>
      <c r="B275" s="1" t="n">
        <v>44918</v>
      </c>
      <c r="C275" s="1" t="n">
        <v>46198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48652-2024</t>
        </is>
      </c>
      <c r="B276" s="1" t="n">
        <v>45593</v>
      </c>
      <c r="C276" s="1" t="n">
        <v>46198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Övriga Aktiebolag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18134-2023</t>
        </is>
      </c>
      <c r="B277" s="1" t="n">
        <v>45040</v>
      </c>
      <c r="C277" s="1" t="n">
        <v>46198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35570-2023</t>
        </is>
      </c>
      <c r="B278" s="1" t="n">
        <v>45147</v>
      </c>
      <c r="C278" s="1" t="n">
        <v>46198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8611-2025</t>
        </is>
      </c>
      <c r="B279" s="1" t="n">
        <v>45710</v>
      </c>
      <c r="C279" s="1" t="n">
        <v>46198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40069-2024</t>
        </is>
      </c>
      <c r="B280" s="1" t="n">
        <v>45554</v>
      </c>
      <c r="C280" s="1" t="n">
        <v>46198</v>
      </c>
      <c r="D280" t="inlineStr">
        <is>
          <t>ÖSTERGÖTLANDS LÄN</t>
        </is>
      </c>
      <c r="E280" t="inlineStr">
        <is>
          <t>FINSPÅNG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6105-2024</t>
        </is>
      </c>
      <c r="B281" s="1" t="n">
        <v>45337</v>
      </c>
      <c r="C281" s="1" t="n">
        <v>46198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5156-2023</t>
        </is>
      </c>
      <c r="B282" s="1" t="n">
        <v>44958</v>
      </c>
      <c r="C282" s="1" t="n">
        <v>46198</v>
      </c>
      <c r="D282" t="inlineStr">
        <is>
          <t>ÖSTERGÖTLANDS LÄN</t>
        </is>
      </c>
      <c r="E282" t="inlineStr">
        <is>
          <t>FINSPÅNG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63482-2023</t>
        </is>
      </c>
      <c r="B283" s="1" t="n">
        <v>45274</v>
      </c>
      <c r="C283" s="1" t="n">
        <v>46198</v>
      </c>
      <c r="D283" t="inlineStr">
        <is>
          <t>ÖSTERGÖTLANDS LÄN</t>
        </is>
      </c>
      <c r="E283" t="inlineStr">
        <is>
          <t>FINSPÅNG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28556-2023</t>
        </is>
      </c>
      <c r="B284" s="1" t="n">
        <v>45103</v>
      </c>
      <c r="C284" s="1" t="n">
        <v>46198</v>
      </c>
      <c r="D284" t="inlineStr">
        <is>
          <t>ÖSTERGÖTLANDS LÄN</t>
        </is>
      </c>
      <c r="E284" t="inlineStr">
        <is>
          <t>FINSPÅNG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58991-2021</t>
        </is>
      </c>
      <c r="B285" s="1" t="n">
        <v>44490</v>
      </c>
      <c r="C285" s="1" t="n">
        <v>46198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41397-2021</t>
        </is>
      </c>
      <c r="B286" s="1" t="n">
        <v>44424</v>
      </c>
      <c r="C286" s="1" t="n">
        <v>46198</v>
      </c>
      <c r="D286" t="inlineStr">
        <is>
          <t>ÖSTERGÖTLANDS LÄN</t>
        </is>
      </c>
      <c r="E286" t="inlineStr">
        <is>
          <t>FINSPÅNG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17578-2024</t>
        </is>
      </c>
      <c r="B287" s="1" t="n">
        <v>45415</v>
      </c>
      <c r="C287" s="1" t="n">
        <v>46198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4647-2024</t>
        </is>
      </c>
      <c r="B288" s="1" t="n">
        <v>45328</v>
      </c>
      <c r="C288" s="1" t="n">
        <v>46198</v>
      </c>
      <c r="D288" t="inlineStr">
        <is>
          <t>ÖSTERGÖTLANDS LÄN</t>
        </is>
      </c>
      <c r="E288" t="inlineStr">
        <is>
          <t>FINSPÅNG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15132-2025</t>
        </is>
      </c>
      <c r="B289" s="1" t="n">
        <v>45744</v>
      </c>
      <c r="C289" s="1" t="n">
        <v>46198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Naturvårdsverket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59795-2023</t>
        </is>
      </c>
      <c r="B290" s="1" t="n">
        <v>45257</v>
      </c>
      <c r="C290" s="1" t="n">
        <v>46198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59808-2023</t>
        </is>
      </c>
      <c r="B291" s="1" t="n">
        <v>45257</v>
      </c>
      <c r="C291" s="1" t="n">
        <v>46198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50063-2022</t>
        </is>
      </c>
      <c r="B292" s="1" t="n">
        <v>44860</v>
      </c>
      <c r="C292" s="1" t="n">
        <v>46198</v>
      </c>
      <c r="D292" t="inlineStr">
        <is>
          <t>ÖSTERGÖTLANDS LÄN</t>
        </is>
      </c>
      <c r="E292" t="inlineStr">
        <is>
          <t>FINSPÅNG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24015-2024</t>
        </is>
      </c>
      <c r="B293" s="1" t="n">
        <v>45456</v>
      </c>
      <c r="C293" s="1" t="n">
        <v>46198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14028-2025</t>
        </is>
      </c>
      <c r="B294" s="1" t="n">
        <v>45740</v>
      </c>
      <c r="C294" s="1" t="n">
        <v>46198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13084-2023</t>
        </is>
      </c>
      <c r="B295" s="1" t="n">
        <v>45002</v>
      </c>
      <c r="C295" s="1" t="n">
        <v>46198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28732-2023</t>
        </is>
      </c>
      <c r="B296" s="1" t="n">
        <v>45103</v>
      </c>
      <c r="C296" s="1" t="n">
        <v>46198</v>
      </c>
      <c r="D296" t="inlineStr">
        <is>
          <t>ÖSTERGÖTLANDS LÄN</t>
        </is>
      </c>
      <c r="E296" t="inlineStr">
        <is>
          <t>FINSPÅNG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42176-2023</t>
        </is>
      </c>
      <c r="B297" s="1" t="n">
        <v>45178</v>
      </c>
      <c r="C297" s="1" t="n">
        <v>46198</v>
      </c>
      <c r="D297" t="inlineStr">
        <is>
          <t>ÖSTERGÖTLANDS LÄN</t>
        </is>
      </c>
      <c r="E297" t="inlineStr">
        <is>
          <t>FINSPÅNG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62421-2021</t>
        </is>
      </c>
      <c r="B298" s="1" t="n">
        <v>44503</v>
      </c>
      <c r="C298" s="1" t="n">
        <v>46198</v>
      </c>
      <c r="D298" t="inlineStr">
        <is>
          <t>ÖSTERGÖTLANDS LÄN</t>
        </is>
      </c>
      <c r="E298" t="inlineStr">
        <is>
          <t>FINSPÅNG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20641-2023</t>
        </is>
      </c>
      <c r="B299" s="1" t="n">
        <v>45058</v>
      </c>
      <c r="C299" s="1" t="n">
        <v>46198</v>
      </c>
      <c r="D299" t="inlineStr">
        <is>
          <t>ÖSTERGÖTLANDS LÄN</t>
        </is>
      </c>
      <c r="E299" t="inlineStr">
        <is>
          <t>FINSPÅNG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18258-2024</t>
        </is>
      </c>
      <c r="B300" s="1" t="n">
        <v>45421</v>
      </c>
      <c r="C300" s="1" t="n">
        <v>46198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32973-2023</t>
        </is>
      </c>
      <c r="B301" s="1" t="n">
        <v>45125</v>
      </c>
      <c r="C301" s="1" t="n">
        <v>46198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37647-2024</t>
        </is>
      </c>
      <c r="B302" s="1" t="n">
        <v>45541</v>
      </c>
      <c r="C302" s="1" t="n">
        <v>46198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45243-2022</t>
        </is>
      </c>
      <c r="B303" s="1" t="n">
        <v>44840</v>
      </c>
      <c r="C303" s="1" t="n">
        <v>46198</v>
      </c>
      <c r="D303" t="inlineStr">
        <is>
          <t>ÖSTERGÖTLANDS LÄN</t>
        </is>
      </c>
      <c r="E303" t="inlineStr">
        <is>
          <t>FINSPÅNG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18295-2023</t>
        </is>
      </c>
      <c r="B304" s="1" t="n">
        <v>45041</v>
      </c>
      <c r="C304" s="1" t="n">
        <v>46198</v>
      </c>
      <c r="D304" t="inlineStr">
        <is>
          <t>ÖSTERGÖTLANDS LÄN</t>
        </is>
      </c>
      <c r="E304" t="inlineStr">
        <is>
          <t>FINSPÅNG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59799-2023</t>
        </is>
      </c>
      <c r="B305" s="1" t="n">
        <v>45257</v>
      </c>
      <c r="C305" s="1" t="n">
        <v>46198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48466-2023</t>
        </is>
      </c>
      <c r="B306" s="1" t="n">
        <v>45206</v>
      </c>
      <c r="C306" s="1" t="n">
        <v>46198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28024-2023</t>
        </is>
      </c>
      <c r="B307" s="1" t="n">
        <v>45095</v>
      </c>
      <c r="C307" s="1" t="n">
        <v>46198</v>
      </c>
      <c r="D307" t="inlineStr">
        <is>
          <t>ÖSTERGÖTLANDS LÄN</t>
        </is>
      </c>
      <c r="E307" t="inlineStr">
        <is>
          <t>FINSPÅNG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65742-2021</t>
        </is>
      </c>
      <c r="B308" s="1" t="n">
        <v>44516</v>
      </c>
      <c r="C308" s="1" t="n">
        <v>46198</v>
      </c>
      <c r="D308" t="inlineStr">
        <is>
          <t>ÖSTERGÖTLANDS LÄN</t>
        </is>
      </c>
      <c r="E308" t="inlineStr">
        <is>
          <t>FINSPÅNG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6154-2023</t>
        </is>
      </c>
      <c r="B309" s="1" t="n">
        <v>44964</v>
      </c>
      <c r="C309" s="1" t="n">
        <v>46198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25679-2024</t>
        </is>
      </c>
      <c r="B310" s="1" t="n">
        <v>45463</v>
      </c>
      <c r="C310" s="1" t="n">
        <v>46198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15614-2023</t>
        </is>
      </c>
      <c r="B311" s="1" t="n">
        <v>45020</v>
      </c>
      <c r="C311" s="1" t="n">
        <v>46198</v>
      </c>
      <c r="D311" t="inlineStr">
        <is>
          <t>ÖSTERGÖTLANDS LÄN</t>
        </is>
      </c>
      <c r="E311" t="inlineStr">
        <is>
          <t>FINSPÅNG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7445-2022</t>
        </is>
      </c>
      <c r="B312" s="1" t="n">
        <v>44607</v>
      </c>
      <c r="C312" s="1" t="n">
        <v>46198</v>
      </c>
      <c r="D312" t="inlineStr">
        <is>
          <t>ÖSTERGÖTLANDS LÄN</t>
        </is>
      </c>
      <c r="E312" t="inlineStr">
        <is>
          <t>FINSPÅNG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11540-2023</t>
        </is>
      </c>
      <c r="B313" s="1" t="n">
        <v>44993</v>
      </c>
      <c r="C313" s="1" t="n">
        <v>46198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3568-2023</t>
        </is>
      </c>
      <c r="B314" s="1" t="n">
        <v>44950</v>
      </c>
      <c r="C314" s="1" t="n">
        <v>46198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36592-2025</t>
        </is>
      </c>
      <c r="B315" s="1" t="n">
        <v>45870</v>
      </c>
      <c r="C315" s="1" t="n">
        <v>46198</v>
      </c>
      <c r="D315" t="inlineStr">
        <is>
          <t>ÖSTERGÖTLANDS LÄN</t>
        </is>
      </c>
      <c r="E315" t="inlineStr">
        <is>
          <t>FINSPÅNG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39655-2023</t>
        </is>
      </c>
      <c r="B316" s="1" t="n">
        <v>45167</v>
      </c>
      <c r="C316" s="1" t="n">
        <v>46198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Kyrkan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30920-2022</t>
        </is>
      </c>
      <c r="B317" s="1" t="n">
        <v>44767</v>
      </c>
      <c r="C317" s="1" t="n">
        <v>46198</v>
      </c>
      <c r="D317" t="inlineStr">
        <is>
          <t>ÖSTERGÖTLANDS LÄN</t>
        </is>
      </c>
      <c r="E317" t="inlineStr">
        <is>
          <t>FINSPÅNG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3440-2023</t>
        </is>
      </c>
      <c r="B318" s="1" t="n">
        <v>44949</v>
      </c>
      <c r="C318" s="1" t="n">
        <v>46198</v>
      </c>
      <c r="D318" t="inlineStr">
        <is>
          <t>ÖSTERGÖTLANDS LÄN</t>
        </is>
      </c>
      <c r="E318" t="inlineStr">
        <is>
          <t>FINSPÅNG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28880-2025</t>
        </is>
      </c>
      <c r="B319" s="1" t="n">
        <v>45820</v>
      </c>
      <c r="C319" s="1" t="n">
        <v>46198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530-2023</t>
        </is>
      </c>
      <c r="B320" s="1" t="n">
        <v>44930</v>
      </c>
      <c r="C320" s="1" t="n">
        <v>46198</v>
      </c>
      <c r="D320" t="inlineStr">
        <is>
          <t>ÖSTERGÖTLANDS LÄN</t>
        </is>
      </c>
      <c r="E320" t="inlineStr">
        <is>
          <t>FINSPÅNG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4860-2023</t>
        </is>
      </c>
      <c r="B321" s="1" t="n">
        <v>44957</v>
      </c>
      <c r="C321" s="1" t="n">
        <v>46198</v>
      </c>
      <c r="D321" t="inlineStr">
        <is>
          <t>ÖSTERGÖTLANDS LÄN</t>
        </is>
      </c>
      <c r="E321" t="inlineStr">
        <is>
          <t>FINSPÅNG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36593-2025</t>
        </is>
      </c>
      <c r="B322" s="1" t="n">
        <v>45870</v>
      </c>
      <c r="C322" s="1" t="n">
        <v>46198</v>
      </c>
      <c r="D322" t="inlineStr">
        <is>
          <t>ÖSTERGÖTLANDS LÄN</t>
        </is>
      </c>
      <c r="E322" t="inlineStr">
        <is>
          <t>FINSPÅNG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15473-2022</t>
        </is>
      </c>
      <c r="B323" s="1" t="n">
        <v>44662</v>
      </c>
      <c r="C323" s="1" t="n">
        <v>46198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7825-2025</t>
        </is>
      </c>
      <c r="B324" s="1" t="n">
        <v>45706</v>
      </c>
      <c r="C324" s="1" t="n">
        <v>46198</v>
      </c>
      <c r="D324" t="inlineStr">
        <is>
          <t>ÖSTERGÖTLANDS LÄN</t>
        </is>
      </c>
      <c r="E324" t="inlineStr">
        <is>
          <t>FINSPÅNG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25678-2024</t>
        </is>
      </c>
      <c r="B325" s="1" t="n">
        <v>45463</v>
      </c>
      <c r="C325" s="1" t="n">
        <v>46198</v>
      </c>
      <c r="D325" t="inlineStr">
        <is>
          <t>ÖSTERGÖTLANDS LÄN</t>
        </is>
      </c>
      <c r="E325" t="inlineStr">
        <is>
          <t>FINSPÅNG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24804-2023</t>
        </is>
      </c>
      <c r="B326" s="1" t="n">
        <v>45084</v>
      </c>
      <c r="C326" s="1" t="n">
        <v>46198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8535-2025</t>
        </is>
      </c>
      <c r="B327" s="1" t="n">
        <v>45709</v>
      </c>
      <c r="C327" s="1" t="n">
        <v>46198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25356-2022</t>
        </is>
      </c>
      <c r="B328" s="1" t="n">
        <v>44732</v>
      </c>
      <c r="C328" s="1" t="n">
        <v>46198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63321-2021</t>
        </is>
      </c>
      <c r="B329" s="1" t="n">
        <v>44508</v>
      </c>
      <c r="C329" s="1" t="n">
        <v>46198</v>
      </c>
      <c r="D329" t="inlineStr">
        <is>
          <t>ÖSTERGÖTLANDS LÄN</t>
        </is>
      </c>
      <c r="E329" t="inlineStr">
        <is>
          <t>FINSPÅNG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50670-2024</t>
        </is>
      </c>
      <c r="B330" s="1" t="n">
        <v>45601</v>
      </c>
      <c r="C330" s="1" t="n">
        <v>46198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19710-2026</t>
        </is>
      </c>
      <c r="B331" s="1" t="n">
        <v>46134</v>
      </c>
      <c r="C331" s="1" t="n">
        <v>46198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61012-2022</t>
        </is>
      </c>
      <c r="B332" s="1" t="n">
        <v>44914</v>
      </c>
      <c r="C332" s="1" t="n">
        <v>46198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25188-2023</t>
        </is>
      </c>
      <c r="B333" s="1" t="n">
        <v>45086</v>
      </c>
      <c r="C333" s="1" t="n">
        <v>46198</v>
      </c>
      <c r="D333" t="inlineStr">
        <is>
          <t>ÖSTERGÖTLANDS LÄN</t>
        </is>
      </c>
      <c r="E333" t="inlineStr">
        <is>
          <t>FINSPÅNG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37679-2025</t>
        </is>
      </c>
      <c r="B334" s="1" t="n">
        <v>45880</v>
      </c>
      <c r="C334" s="1" t="n">
        <v>46198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70505-2021</t>
        </is>
      </c>
      <c r="B335" s="1" t="n">
        <v>44536</v>
      </c>
      <c r="C335" s="1" t="n">
        <v>46198</v>
      </c>
      <c r="D335" t="inlineStr">
        <is>
          <t>ÖSTERGÖTLANDS LÄN</t>
        </is>
      </c>
      <c r="E335" t="inlineStr">
        <is>
          <t>FINSPÅNG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37742-2025</t>
        </is>
      </c>
      <c r="B336" s="1" t="n">
        <v>45880</v>
      </c>
      <c r="C336" s="1" t="n">
        <v>46198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26087-2022</t>
        </is>
      </c>
      <c r="B337" s="1" t="n">
        <v>44734</v>
      </c>
      <c r="C337" s="1" t="n">
        <v>46198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37936-2025</t>
        </is>
      </c>
      <c r="B338" s="1" t="n">
        <v>45881</v>
      </c>
      <c r="C338" s="1" t="n">
        <v>46198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Naturvårdsverket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55231-2024</t>
        </is>
      </c>
      <c r="B339" s="1" t="n">
        <v>45621</v>
      </c>
      <c r="C339" s="1" t="n">
        <v>46198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21719-2024</t>
        </is>
      </c>
      <c r="B340" s="1" t="n">
        <v>45442</v>
      </c>
      <c r="C340" s="1" t="n">
        <v>46198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39137-2025</t>
        </is>
      </c>
      <c r="B341" s="1" t="n">
        <v>45888</v>
      </c>
      <c r="C341" s="1" t="n">
        <v>46198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38231-2025</t>
        </is>
      </c>
      <c r="B342" s="1" t="n">
        <v>45883</v>
      </c>
      <c r="C342" s="1" t="n">
        <v>46198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38233-2025</t>
        </is>
      </c>
      <c r="B343" s="1" t="n">
        <v>45883</v>
      </c>
      <c r="C343" s="1" t="n">
        <v>46198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39826-2025</t>
        </is>
      </c>
      <c r="B344" s="1" t="n">
        <v>45891</v>
      </c>
      <c r="C344" s="1" t="n">
        <v>46198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8193-2025</t>
        </is>
      </c>
      <c r="B345" s="1" t="n">
        <v>45707</v>
      </c>
      <c r="C345" s="1" t="n">
        <v>46198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Allmännings- och besparingsskogar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56246-2022</t>
        </is>
      </c>
      <c r="B346" s="1" t="n">
        <v>44887</v>
      </c>
      <c r="C346" s="1" t="n">
        <v>46198</v>
      </c>
      <c r="D346" t="inlineStr">
        <is>
          <t>ÖSTERGÖTLANDS LÄN</t>
        </is>
      </c>
      <c r="E346" t="inlineStr">
        <is>
          <t>FINSPÅNG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25760-2026</t>
        </is>
      </c>
      <c r="B347" s="1" t="n">
        <v>46178</v>
      </c>
      <c r="C347" s="1" t="n">
        <v>46198</v>
      </c>
      <c r="D347" t="inlineStr">
        <is>
          <t>ÖSTERGÖTLANDS LÄN</t>
        </is>
      </c>
      <c r="E347" t="inlineStr">
        <is>
          <t>FINSPÅNG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53675-2024</t>
        </is>
      </c>
      <c r="B348" s="1" t="n">
        <v>45615</v>
      </c>
      <c r="C348" s="1" t="n">
        <v>46198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14142-2025</t>
        </is>
      </c>
      <c r="B349" s="1" t="n">
        <v>45740</v>
      </c>
      <c r="C349" s="1" t="n">
        <v>46198</v>
      </c>
      <c r="D349" t="inlineStr">
        <is>
          <t>ÖSTERGÖTLANDS LÄN</t>
        </is>
      </c>
      <c r="E349" t="inlineStr">
        <is>
          <t>FINSPÅNG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21722-2025</t>
        </is>
      </c>
      <c r="B350" s="1" t="n">
        <v>45783</v>
      </c>
      <c r="C350" s="1" t="n">
        <v>46198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40006-2025</t>
        </is>
      </c>
      <c r="B351" s="1" t="n">
        <v>45894</v>
      </c>
      <c r="C351" s="1" t="n">
        <v>46198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8937-2022</t>
        </is>
      </c>
      <c r="B352" s="1" t="n">
        <v>44614</v>
      </c>
      <c r="C352" s="1" t="n">
        <v>46198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40472-2025</t>
        </is>
      </c>
      <c r="B353" s="1" t="n">
        <v>45895</v>
      </c>
      <c r="C353" s="1" t="n">
        <v>46198</v>
      </c>
      <c r="D353" t="inlineStr">
        <is>
          <t>ÖSTERGÖTLANDS LÄN</t>
        </is>
      </c>
      <c r="E353" t="inlineStr">
        <is>
          <t>FINSPÅNG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26195-2024</t>
        </is>
      </c>
      <c r="B354" s="1" t="n">
        <v>45468</v>
      </c>
      <c r="C354" s="1" t="n">
        <v>46198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10083-2025</t>
        </is>
      </c>
      <c r="B355" s="1" t="n">
        <v>45719</v>
      </c>
      <c r="C355" s="1" t="n">
        <v>46198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43221-2022</t>
        </is>
      </c>
      <c r="B356" s="1" t="n">
        <v>44833</v>
      </c>
      <c r="C356" s="1" t="n">
        <v>46198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45761-2021</t>
        </is>
      </c>
      <c r="B357" s="1" t="n">
        <v>44441</v>
      </c>
      <c r="C357" s="1" t="n">
        <v>46198</v>
      </c>
      <c r="D357" t="inlineStr">
        <is>
          <t>ÖSTERGÖTLANDS LÄN</t>
        </is>
      </c>
      <c r="E357" t="inlineStr">
        <is>
          <t>FINSPÅNG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40557-2025</t>
        </is>
      </c>
      <c r="B358" s="1" t="n">
        <v>45896</v>
      </c>
      <c r="C358" s="1" t="n">
        <v>46198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10148-2025</t>
        </is>
      </c>
      <c r="B359" s="1" t="n">
        <v>45719</v>
      </c>
      <c r="C359" s="1" t="n">
        <v>46198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73260-2021</t>
        </is>
      </c>
      <c r="B360" s="1" t="n">
        <v>44550</v>
      </c>
      <c r="C360" s="1" t="n">
        <v>46198</v>
      </c>
      <c r="D360" t="inlineStr">
        <is>
          <t>ÖSTERGÖTLANDS LÄN</t>
        </is>
      </c>
      <c r="E360" t="inlineStr">
        <is>
          <t>FINSPÅNG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41204-2025</t>
        </is>
      </c>
      <c r="B361" s="1" t="n">
        <v>45898</v>
      </c>
      <c r="C361" s="1" t="n">
        <v>46198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51435-2024</t>
        </is>
      </c>
      <c r="B362" s="1" t="n">
        <v>45604</v>
      </c>
      <c r="C362" s="1" t="n">
        <v>46198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39356-2022</t>
        </is>
      </c>
      <c r="B363" s="1" t="n">
        <v>44817</v>
      </c>
      <c r="C363" s="1" t="n">
        <v>46198</v>
      </c>
      <c r="D363" t="inlineStr">
        <is>
          <t>ÖSTERGÖTLANDS LÄN</t>
        </is>
      </c>
      <c r="E363" t="inlineStr">
        <is>
          <t>FINSPÅNG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41805-2025</t>
        </is>
      </c>
      <c r="B364" s="1" t="n">
        <v>45902</v>
      </c>
      <c r="C364" s="1" t="n">
        <v>46198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42045-2025</t>
        </is>
      </c>
      <c r="B365" s="1" t="n">
        <v>45903</v>
      </c>
      <c r="C365" s="1" t="n">
        <v>46198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42033-2025</t>
        </is>
      </c>
      <c r="B366" s="1" t="n">
        <v>45903</v>
      </c>
      <c r="C366" s="1" t="n">
        <v>46198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42027-2025</t>
        </is>
      </c>
      <c r="B367" s="1" t="n">
        <v>45903</v>
      </c>
      <c r="C367" s="1" t="n">
        <v>46198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42030-2025</t>
        </is>
      </c>
      <c r="B368" s="1" t="n">
        <v>45903</v>
      </c>
      <c r="C368" s="1" t="n">
        <v>46198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41802-2025</t>
        </is>
      </c>
      <c r="B369" s="1" t="n">
        <v>45902</v>
      </c>
      <c r="C369" s="1" t="n">
        <v>46198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42025-2025</t>
        </is>
      </c>
      <c r="B370" s="1" t="n">
        <v>45903</v>
      </c>
      <c r="C370" s="1" t="n">
        <v>46198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50189-2022</t>
        </is>
      </c>
      <c r="B371" s="1" t="n">
        <v>44865</v>
      </c>
      <c r="C371" s="1" t="n">
        <v>46198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9130-2023</t>
        </is>
      </c>
      <c r="B372" s="1" t="n">
        <v>44980</v>
      </c>
      <c r="C372" s="1" t="n">
        <v>46198</v>
      </c>
      <c r="D372" t="inlineStr">
        <is>
          <t>ÖSTERGÖTLANDS LÄN</t>
        </is>
      </c>
      <c r="E372" t="inlineStr">
        <is>
          <t>FINSPÅNG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42368-2025</t>
        </is>
      </c>
      <c r="B373" s="1" t="n">
        <v>45905</v>
      </c>
      <c r="C373" s="1" t="n">
        <v>46198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42479-2025</t>
        </is>
      </c>
      <c r="B374" s="1" t="n">
        <v>45905</v>
      </c>
      <c r="C374" s="1" t="n">
        <v>46198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42459-2025</t>
        </is>
      </c>
      <c r="B375" s="1" t="n">
        <v>45905</v>
      </c>
      <c r="C375" s="1" t="n">
        <v>46198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42289-2025</t>
        </is>
      </c>
      <c r="B376" s="1" t="n">
        <v>45904</v>
      </c>
      <c r="C376" s="1" t="n">
        <v>46198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31801-2023</t>
        </is>
      </c>
      <c r="B377" s="1" t="n">
        <v>45118</v>
      </c>
      <c r="C377" s="1" t="n">
        <v>46198</v>
      </c>
      <c r="D377" t="inlineStr">
        <is>
          <t>ÖSTERGÖTLANDS LÄN</t>
        </is>
      </c>
      <c r="E377" t="inlineStr">
        <is>
          <t>FINSPÅNG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25759-2026</t>
        </is>
      </c>
      <c r="B378" s="1" t="n">
        <v>46178</v>
      </c>
      <c r="C378" s="1" t="n">
        <v>46198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25766-2026</t>
        </is>
      </c>
      <c r="B379" s="1" t="n">
        <v>46178</v>
      </c>
      <c r="C379" s="1" t="n">
        <v>46198</v>
      </c>
      <c r="D379" t="inlineStr">
        <is>
          <t>ÖSTERGÖTLANDS LÄN</t>
        </is>
      </c>
      <c r="E379" t="inlineStr">
        <is>
          <t>FINSPÅNG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42452-2025</t>
        </is>
      </c>
      <c r="B380" s="1" t="n">
        <v>45905</v>
      </c>
      <c r="C380" s="1" t="n">
        <v>46198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42373-2025</t>
        </is>
      </c>
      <c r="B381" s="1" t="n">
        <v>45905</v>
      </c>
      <c r="C381" s="1" t="n">
        <v>46198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42432-2025</t>
        </is>
      </c>
      <c r="B382" s="1" t="n">
        <v>45905</v>
      </c>
      <c r="C382" s="1" t="n">
        <v>46198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42255-2025</t>
        </is>
      </c>
      <c r="B383" s="1" t="n">
        <v>45904</v>
      </c>
      <c r="C383" s="1" t="n">
        <v>46198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39896-2023</t>
        </is>
      </c>
      <c r="B384" s="1" t="n">
        <v>45166</v>
      </c>
      <c r="C384" s="1" t="n">
        <v>46198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42817-2025</t>
        </is>
      </c>
      <c r="B385" s="1" t="n">
        <v>45908</v>
      </c>
      <c r="C385" s="1" t="n">
        <v>46198</v>
      </c>
      <c r="D385" t="inlineStr">
        <is>
          <t>ÖSTERGÖTLANDS LÄN</t>
        </is>
      </c>
      <c r="E385" t="inlineStr">
        <is>
          <t>FINSPÅNG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25877-2024</t>
        </is>
      </c>
      <c r="B386" s="1" t="n">
        <v>45467</v>
      </c>
      <c r="C386" s="1" t="n">
        <v>46198</v>
      </c>
      <c r="D386" t="inlineStr">
        <is>
          <t>ÖSTERGÖTLANDS LÄN</t>
        </is>
      </c>
      <c r="E386" t="inlineStr">
        <is>
          <t>FINSPÅNG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26247-2022</t>
        </is>
      </c>
      <c r="B387" s="1" t="n">
        <v>44735</v>
      </c>
      <c r="C387" s="1" t="n">
        <v>46198</v>
      </c>
      <c r="D387" t="inlineStr">
        <is>
          <t>ÖSTERGÖTLANDS LÄN</t>
        </is>
      </c>
      <c r="E387" t="inlineStr">
        <is>
          <t>FINSPÅNG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50356-2024</t>
        </is>
      </c>
      <c r="B388" s="1" t="n">
        <v>45600</v>
      </c>
      <c r="C388" s="1" t="n">
        <v>46198</v>
      </c>
      <c r="D388" t="inlineStr">
        <is>
          <t>ÖSTERGÖTLANDS LÄN</t>
        </is>
      </c>
      <c r="E388" t="inlineStr">
        <is>
          <t>FINSPÅNG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53323-2023</t>
        </is>
      </c>
      <c r="B389" s="1" t="n">
        <v>45229</v>
      </c>
      <c r="C389" s="1" t="n">
        <v>46198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58142-2022</t>
        </is>
      </c>
      <c r="B390" s="1" t="n">
        <v>44900</v>
      </c>
      <c r="C390" s="1" t="n">
        <v>46198</v>
      </c>
      <c r="D390" t="inlineStr">
        <is>
          <t>ÖSTERGÖTLANDS LÄN</t>
        </is>
      </c>
      <c r="E390" t="inlineStr">
        <is>
          <t>FINSPÅNG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28559-2023</t>
        </is>
      </c>
      <c r="B391" s="1" t="n">
        <v>45103</v>
      </c>
      <c r="C391" s="1" t="n">
        <v>46198</v>
      </c>
      <c r="D391" t="inlineStr">
        <is>
          <t>ÖSTERGÖTLANDS LÄN</t>
        </is>
      </c>
      <c r="E391" t="inlineStr">
        <is>
          <t>FINSPÅNG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7022-2024</t>
        </is>
      </c>
      <c r="B392" s="1" t="n">
        <v>45343</v>
      </c>
      <c r="C392" s="1" t="n">
        <v>46198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31180-2025</t>
        </is>
      </c>
      <c r="B393" s="1" t="n">
        <v>45832</v>
      </c>
      <c r="C393" s="1" t="n">
        <v>46198</v>
      </c>
      <c r="D393" t="inlineStr">
        <is>
          <t>ÖSTERGÖTLANDS LÄN</t>
        </is>
      </c>
      <c r="E393" t="inlineStr">
        <is>
          <t>FINSPÅNG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24458-2023</t>
        </is>
      </c>
      <c r="B394" s="1" t="n">
        <v>45082</v>
      </c>
      <c r="C394" s="1" t="n">
        <v>46198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499-2024</t>
        </is>
      </c>
      <c r="B395" s="1" t="n">
        <v>45299</v>
      </c>
      <c r="C395" s="1" t="n">
        <v>46198</v>
      </c>
      <c r="D395" t="inlineStr">
        <is>
          <t>ÖSTERGÖTLANDS LÄN</t>
        </is>
      </c>
      <c r="E395" t="inlineStr">
        <is>
          <t>FINSPÅNG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13671-2023</t>
        </is>
      </c>
      <c r="B396" s="1" t="n">
        <v>45006</v>
      </c>
      <c r="C396" s="1" t="n">
        <v>46198</v>
      </c>
      <c r="D396" t="inlineStr">
        <is>
          <t>ÖSTERGÖTLANDS LÄN</t>
        </is>
      </c>
      <c r="E396" t="inlineStr">
        <is>
          <t>FINSPÅNG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12472-2024</t>
        </is>
      </c>
      <c r="B397" s="1" t="n">
        <v>45379</v>
      </c>
      <c r="C397" s="1" t="n">
        <v>46198</v>
      </c>
      <c r="D397" t="inlineStr">
        <is>
          <t>ÖSTERGÖTLANDS LÄN</t>
        </is>
      </c>
      <c r="E397" t="inlineStr">
        <is>
          <t>FINSPÅNG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45283-2025</t>
        </is>
      </c>
      <c r="B398" s="1" t="n">
        <v>45919</v>
      </c>
      <c r="C398" s="1" t="n">
        <v>46198</v>
      </c>
      <c r="D398" t="inlineStr">
        <is>
          <t>ÖSTERGÖTLANDS LÄN</t>
        </is>
      </c>
      <c r="E398" t="inlineStr">
        <is>
          <t>FINSPÅNG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44571-2022</t>
        </is>
      </c>
      <c r="B399" s="1" t="n">
        <v>44840</v>
      </c>
      <c r="C399" s="1" t="n">
        <v>46198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17992-2023</t>
        </is>
      </c>
      <c r="B400" s="1" t="n">
        <v>45040</v>
      </c>
      <c r="C400" s="1" t="n">
        <v>46198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23249-2023</t>
        </is>
      </c>
      <c r="B401" s="1" t="n">
        <v>45075</v>
      </c>
      <c r="C401" s="1" t="n">
        <v>46198</v>
      </c>
      <c r="D401" t="inlineStr">
        <is>
          <t>ÖSTERGÖTLANDS LÄN</t>
        </is>
      </c>
      <c r="E401" t="inlineStr">
        <is>
          <t>FINSPÅNG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54581-2024</t>
        </is>
      </c>
      <c r="B402" s="1" t="n">
        <v>45617</v>
      </c>
      <c r="C402" s="1" t="n">
        <v>46198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46149-2025</t>
        </is>
      </c>
      <c r="B403" s="1" t="n">
        <v>45924</v>
      </c>
      <c r="C403" s="1" t="n">
        <v>46198</v>
      </c>
      <c r="D403" t="inlineStr">
        <is>
          <t>ÖSTERGÖTLANDS LÄN</t>
        </is>
      </c>
      <c r="E403" t="inlineStr">
        <is>
          <t>FINSPÅNG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24192-2022</t>
        </is>
      </c>
      <c r="B404" s="1" t="n">
        <v>44725</v>
      </c>
      <c r="C404" s="1" t="n">
        <v>46198</v>
      </c>
      <c r="D404" t="inlineStr">
        <is>
          <t>ÖSTERGÖTLANDS LÄN</t>
        </is>
      </c>
      <c r="E404" t="inlineStr">
        <is>
          <t>FINSPÅNG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24510-2023</t>
        </is>
      </c>
      <c r="B405" s="1" t="n">
        <v>45082</v>
      </c>
      <c r="C405" s="1" t="n">
        <v>46198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20157-2023</t>
        </is>
      </c>
      <c r="B406" s="1" t="n">
        <v>45055</v>
      </c>
      <c r="C406" s="1" t="n">
        <v>46198</v>
      </c>
      <c r="D406" t="inlineStr">
        <is>
          <t>ÖSTERGÖTLANDS LÄN</t>
        </is>
      </c>
      <c r="E406" t="inlineStr">
        <is>
          <t>FINSPÅNG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4754-2025</t>
        </is>
      </c>
      <c r="B407" s="1" t="n">
        <v>45688</v>
      </c>
      <c r="C407" s="1" t="n">
        <v>46198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58313-2023</t>
        </is>
      </c>
      <c r="B408" s="1" t="n">
        <v>45250</v>
      </c>
      <c r="C408" s="1" t="n">
        <v>46198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58333-2023</t>
        </is>
      </c>
      <c r="B409" s="1" t="n">
        <v>45250</v>
      </c>
      <c r="C409" s="1" t="n">
        <v>46198</v>
      </c>
      <c r="D409" t="inlineStr">
        <is>
          <t>ÖSTERGÖTLANDS LÄN</t>
        </is>
      </c>
      <c r="E409" t="inlineStr">
        <is>
          <t>FINSPÅNG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32789-2024</t>
        </is>
      </c>
      <c r="B410" s="1" t="n">
        <v>45516</v>
      </c>
      <c r="C410" s="1" t="n">
        <v>46198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33804-2023</t>
        </is>
      </c>
      <c r="B411" s="1" t="n">
        <v>45133</v>
      </c>
      <c r="C411" s="1" t="n">
        <v>46198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58984-2022</t>
        </is>
      </c>
      <c r="B412" s="1" t="n">
        <v>44903</v>
      </c>
      <c r="C412" s="1" t="n">
        <v>46198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25864-2026</t>
        </is>
      </c>
      <c r="B413" s="1" t="n">
        <v>46176</v>
      </c>
      <c r="C413" s="1" t="n">
        <v>46198</v>
      </c>
      <c r="D413" t="inlineStr">
        <is>
          <t>ÖSTERGÖTLANDS LÄN</t>
        </is>
      </c>
      <c r="E413" t="inlineStr">
        <is>
          <t>FINSPÅNG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43950-2025</t>
        </is>
      </c>
      <c r="B414" s="1" t="n">
        <v>45915</v>
      </c>
      <c r="C414" s="1" t="n">
        <v>46198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39114-2024</t>
        </is>
      </c>
      <c r="B415" s="1" t="n">
        <v>45548</v>
      </c>
      <c r="C415" s="1" t="n">
        <v>46198</v>
      </c>
      <c r="D415" t="inlineStr">
        <is>
          <t>ÖSTERGÖTLANDS LÄN</t>
        </is>
      </c>
      <c r="E415" t="inlineStr">
        <is>
          <t>FINSPÅNG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62186-2023</t>
        </is>
      </c>
      <c r="B416" s="1" t="n">
        <v>45267</v>
      </c>
      <c r="C416" s="1" t="n">
        <v>46198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47567-2025</t>
        </is>
      </c>
      <c r="B417" s="1" t="n">
        <v>45931</v>
      </c>
      <c r="C417" s="1" t="n">
        <v>46198</v>
      </c>
      <c r="D417" t="inlineStr">
        <is>
          <t>ÖSTERGÖTLANDS LÄN</t>
        </is>
      </c>
      <c r="E417" t="inlineStr">
        <is>
          <t>FINSPÅNG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6635-2025</t>
        </is>
      </c>
      <c r="B418" s="1" t="n">
        <v>45700</v>
      </c>
      <c r="C418" s="1" t="n">
        <v>46198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14022-2023</t>
        </is>
      </c>
      <c r="B419" s="1" t="n">
        <v>45008</v>
      </c>
      <c r="C419" s="1" t="n">
        <v>46198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54609-2021</t>
        </is>
      </c>
      <c r="B420" s="1" t="n">
        <v>44473</v>
      </c>
      <c r="C420" s="1" t="n">
        <v>46198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7269-2024</t>
        </is>
      </c>
      <c r="B421" s="1" t="n">
        <v>45344</v>
      </c>
      <c r="C421" s="1" t="n">
        <v>46198</v>
      </c>
      <c r="D421" t="inlineStr">
        <is>
          <t>ÖSTERGÖTLANDS LÄN</t>
        </is>
      </c>
      <c r="E421" t="inlineStr">
        <is>
          <t>FINSPÅNG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9809-2024</t>
        </is>
      </c>
      <c r="B422" s="1" t="n">
        <v>45362</v>
      </c>
      <c r="C422" s="1" t="n">
        <v>46198</v>
      </c>
      <c r="D422" t="inlineStr">
        <is>
          <t>ÖSTERGÖTLANDS LÄN</t>
        </is>
      </c>
      <c r="E422" t="inlineStr">
        <is>
          <t>FINSPÅNG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11730-2022</t>
        </is>
      </c>
      <c r="B423" s="1" t="n">
        <v>44634</v>
      </c>
      <c r="C423" s="1" t="n">
        <v>46198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58905-2023</t>
        </is>
      </c>
      <c r="B424" s="1" t="n">
        <v>45252</v>
      </c>
      <c r="C424" s="1" t="n">
        <v>46198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48790-2023</t>
        </is>
      </c>
      <c r="B425" s="1" t="n">
        <v>45209</v>
      </c>
      <c r="C425" s="1" t="n">
        <v>46198</v>
      </c>
      <c r="D425" t="inlineStr">
        <is>
          <t>ÖSTERGÖTLANDS LÄN</t>
        </is>
      </c>
      <c r="E425" t="inlineStr">
        <is>
          <t>FINSPÅNG</t>
        </is>
      </c>
      <c r="G425" t="n">
        <v>14.6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48793-2023</t>
        </is>
      </c>
      <c r="B426" s="1" t="n">
        <v>45209</v>
      </c>
      <c r="C426" s="1" t="n">
        <v>46198</v>
      </c>
      <c r="D426" t="inlineStr">
        <is>
          <t>ÖSTERGÖTLANDS LÄN</t>
        </is>
      </c>
      <c r="E426" t="inlineStr">
        <is>
          <t>FINSPÅNG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41513-2024</t>
        </is>
      </c>
      <c r="B427" s="1" t="n">
        <v>45560</v>
      </c>
      <c r="C427" s="1" t="n">
        <v>46198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34417-2025</t>
        </is>
      </c>
      <c r="B428" s="1" t="n">
        <v>45846</v>
      </c>
      <c r="C428" s="1" t="n">
        <v>46198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48455-2025</t>
        </is>
      </c>
      <c r="B429" s="1" t="n">
        <v>45935</v>
      </c>
      <c r="C429" s="1" t="n">
        <v>46198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43744-2021</t>
        </is>
      </c>
      <c r="B430" s="1" t="n">
        <v>44433</v>
      </c>
      <c r="C430" s="1" t="n">
        <v>46198</v>
      </c>
      <c r="D430" t="inlineStr">
        <is>
          <t>ÖSTERGÖTLANDS LÄN</t>
        </is>
      </c>
      <c r="E430" t="inlineStr">
        <is>
          <t>FINSPÅNG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42782-2024</t>
        </is>
      </c>
      <c r="B431" s="1" t="n">
        <v>45566</v>
      </c>
      <c r="C431" s="1" t="n">
        <v>46198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5333-2025</t>
        </is>
      </c>
      <c r="B432" s="1" t="n">
        <v>45692</v>
      </c>
      <c r="C432" s="1" t="n">
        <v>46198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15824-2022</t>
        </is>
      </c>
      <c r="B433" s="1" t="n">
        <v>44664</v>
      </c>
      <c r="C433" s="1" t="n">
        <v>46198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25943-2026</t>
        </is>
      </c>
      <c r="B434" s="1" t="n">
        <v>46181</v>
      </c>
      <c r="C434" s="1" t="n">
        <v>46198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35278-2025</t>
        </is>
      </c>
      <c r="B435" s="1" t="n">
        <v>45853</v>
      </c>
      <c r="C435" s="1" t="n">
        <v>46198</v>
      </c>
      <c r="D435" t="inlineStr">
        <is>
          <t>ÖSTERGÖTLANDS LÄN</t>
        </is>
      </c>
      <c r="E435" t="inlineStr">
        <is>
          <t>FINSPÅNG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25844-2026</t>
        </is>
      </c>
      <c r="B436" s="1" t="n">
        <v>46176</v>
      </c>
      <c r="C436" s="1" t="n">
        <v>46198</v>
      </c>
      <c r="D436" t="inlineStr">
        <is>
          <t>ÖSTERGÖTLANDS LÄN</t>
        </is>
      </c>
      <c r="E436" t="inlineStr">
        <is>
          <t>FINSPÅNG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25860-2026</t>
        </is>
      </c>
      <c r="B437" s="1" t="n">
        <v>46176</v>
      </c>
      <c r="C437" s="1" t="n">
        <v>46198</v>
      </c>
      <c r="D437" t="inlineStr">
        <is>
          <t>ÖSTERGÖTLANDS LÄN</t>
        </is>
      </c>
      <c r="E437" t="inlineStr">
        <is>
          <t>FINSPÅNG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8236-2026</t>
        </is>
      </c>
      <c r="B438" s="1" t="n">
        <v>46064</v>
      </c>
      <c r="C438" s="1" t="n">
        <v>46198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3096-2023</t>
        </is>
      </c>
      <c r="B439" s="1" t="n">
        <v>44946</v>
      </c>
      <c r="C439" s="1" t="n">
        <v>46198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3107-2023</t>
        </is>
      </c>
      <c r="B440" s="1" t="n">
        <v>44946</v>
      </c>
      <c r="C440" s="1" t="n">
        <v>46198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49142-2023</t>
        </is>
      </c>
      <c r="B441" s="1" t="n">
        <v>45210</v>
      </c>
      <c r="C441" s="1" t="n">
        <v>46198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2650-2023</t>
        </is>
      </c>
      <c r="B442" s="1" t="n">
        <v>44944</v>
      </c>
      <c r="C442" s="1" t="n">
        <v>46198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14241-2023</t>
        </is>
      </c>
      <c r="B443" s="1" t="n">
        <v>45009</v>
      </c>
      <c r="C443" s="1" t="n">
        <v>46198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50395-2025</t>
        </is>
      </c>
      <c r="B444" s="1" t="n">
        <v>45944</v>
      </c>
      <c r="C444" s="1" t="n">
        <v>46198</v>
      </c>
      <c r="D444" t="inlineStr">
        <is>
          <t>ÖSTERGÖTLANDS LÄN</t>
        </is>
      </c>
      <c r="E444" t="inlineStr">
        <is>
          <t>FINSPÅNG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58011-2023</t>
        </is>
      </c>
      <c r="B445" s="1" t="n">
        <v>45247</v>
      </c>
      <c r="C445" s="1" t="n">
        <v>46198</v>
      </c>
      <c r="D445" t="inlineStr">
        <is>
          <t>ÖSTERGÖTLANDS LÄN</t>
        </is>
      </c>
      <c r="E445" t="inlineStr">
        <is>
          <t>FINSPÅNG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28020-2023</t>
        </is>
      </c>
      <c r="B446" s="1" t="n">
        <v>45095</v>
      </c>
      <c r="C446" s="1" t="n">
        <v>46198</v>
      </c>
      <c r="D446" t="inlineStr">
        <is>
          <t>ÖSTERGÖTLANDS LÄN</t>
        </is>
      </c>
      <c r="E446" t="inlineStr">
        <is>
          <t>FINSPÅNG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40306-2021</t>
        </is>
      </c>
      <c r="B447" s="1" t="n">
        <v>44419</v>
      </c>
      <c r="C447" s="1" t="n">
        <v>46198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34001-2024</t>
        </is>
      </c>
      <c r="B448" s="1" t="n">
        <v>45523</v>
      </c>
      <c r="C448" s="1" t="n">
        <v>46198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32596-2021</t>
        </is>
      </c>
      <c r="B449" s="1" t="n">
        <v>44375</v>
      </c>
      <c r="C449" s="1" t="n">
        <v>46198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30921-2022</t>
        </is>
      </c>
      <c r="B450" s="1" t="n">
        <v>44767</v>
      </c>
      <c r="C450" s="1" t="n">
        <v>46198</v>
      </c>
      <c r="D450" t="inlineStr">
        <is>
          <t>ÖSTERGÖTLANDS LÄN</t>
        </is>
      </c>
      <c r="E450" t="inlineStr">
        <is>
          <t>FINSPÅNG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6021-2023</t>
        </is>
      </c>
      <c r="B451" s="1" t="n">
        <v>44964</v>
      </c>
      <c r="C451" s="1" t="n">
        <v>46198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30271-2022</t>
        </is>
      </c>
      <c r="B452" s="1" t="n">
        <v>44759</v>
      </c>
      <c r="C452" s="1" t="n">
        <v>46198</v>
      </c>
      <c r="D452" t="inlineStr">
        <is>
          <t>ÖSTERGÖTLANDS LÄN</t>
        </is>
      </c>
      <c r="E452" t="inlineStr">
        <is>
          <t>FINSPÅNG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60169-2023</t>
        </is>
      </c>
      <c r="B453" s="1" t="n">
        <v>45258</v>
      </c>
      <c r="C453" s="1" t="n">
        <v>46198</v>
      </c>
      <c r="D453" t="inlineStr">
        <is>
          <t>ÖSTERGÖTLANDS LÄN</t>
        </is>
      </c>
      <c r="E453" t="inlineStr">
        <is>
          <t>FINSPÅNG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51508-2025</t>
        </is>
      </c>
      <c r="B454" s="1" t="n">
        <v>45950</v>
      </c>
      <c r="C454" s="1" t="n">
        <v>46198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9554-2022</t>
        </is>
      </c>
      <c r="B455" s="1" t="n">
        <v>44617</v>
      </c>
      <c r="C455" s="1" t="n">
        <v>46198</v>
      </c>
      <c r="D455" t="inlineStr">
        <is>
          <t>ÖSTERGÖTLANDS LÄN</t>
        </is>
      </c>
      <c r="E455" t="inlineStr">
        <is>
          <t>FINSPÅNG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51894-2025</t>
        </is>
      </c>
      <c r="B456" s="1" t="n">
        <v>45952</v>
      </c>
      <c r="C456" s="1" t="n">
        <v>46198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Allmännings- och besparingsskogar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20821-2026</t>
        </is>
      </c>
      <c r="B457" s="1" t="n">
        <v>46141</v>
      </c>
      <c r="C457" s="1" t="n">
        <v>46198</v>
      </c>
      <c r="D457" t="inlineStr">
        <is>
          <t>ÖSTERGÖTLANDS LÄN</t>
        </is>
      </c>
      <c r="E457" t="inlineStr">
        <is>
          <t>FINSPÅNG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18445-2023</t>
        </is>
      </c>
      <c r="B458" s="1" t="n">
        <v>45042</v>
      </c>
      <c r="C458" s="1" t="n">
        <v>46198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1628-2023</t>
        </is>
      </c>
      <c r="B459" s="1" t="n">
        <v>44937</v>
      </c>
      <c r="C459" s="1" t="n">
        <v>46198</v>
      </c>
      <c r="D459" t="inlineStr">
        <is>
          <t>ÖSTERGÖTLANDS LÄN</t>
        </is>
      </c>
      <c r="E459" t="inlineStr">
        <is>
          <t>FINSPÅNG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52659-2025</t>
        </is>
      </c>
      <c r="B460" s="1" t="n">
        <v>45955</v>
      </c>
      <c r="C460" s="1" t="n">
        <v>46198</v>
      </c>
      <c r="D460" t="inlineStr">
        <is>
          <t>ÖSTERGÖTLANDS LÄN</t>
        </is>
      </c>
      <c r="E460" t="inlineStr">
        <is>
          <t>FINSPÅNG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8438-2025</t>
        </is>
      </c>
      <c r="B461" s="1" t="n">
        <v>45709</v>
      </c>
      <c r="C461" s="1" t="n">
        <v>46198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52658-2025</t>
        </is>
      </c>
      <c r="B462" s="1" t="n">
        <v>45955</v>
      </c>
      <c r="C462" s="1" t="n">
        <v>46198</v>
      </c>
      <c r="D462" t="inlineStr">
        <is>
          <t>ÖSTERGÖTLANDS LÄN</t>
        </is>
      </c>
      <c r="E462" t="inlineStr">
        <is>
          <t>FINSPÅNG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11541-2023</t>
        </is>
      </c>
      <c r="B463" s="1" t="n">
        <v>44993</v>
      </c>
      <c r="C463" s="1" t="n">
        <v>46198</v>
      </c>
      <c r="D463" t="inlineStr">
        <is>
          <t>ÖSTERGÖTLANDS LÄN</t>
        </is>
      </c>
      <c r="E463" t="inlineStr">
        <is>
          <t>FINSPÅNG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27699-2023</t>
        </is>
      </c>
      <c r="B464" s="1" t="n">
        <v>45095</v>
      </c>
      <c r="C464" s="1" t="n">
        <v>46198</v>
      </c>
      <c r="D464" t="inlineStr">
        <is>
          <t>ÖSTERGÖTLANDS LÄN</t>
        </is>
      </c>
      <c r="E464" t="inlineStr">
        <is>
          <t>FINSPÅNG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53363-2025</t>
        </is>
      </c>
      <c r="B465" s="1" t="n">
        <v>45959</v>
      </c>
      <c r="C465" s="1" t="n">
        <v>46198</v>
      </c>
      <c r="D465" t="inlineStr">
        <is>
          <t>ÖSTERGÖTLANDS LÄN</t>
        </is>
      </c>
      <c r="E465" t="inlineStr">
        <is>
          <t>FINSPÅNG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199-2022</t>
        </is>
      </c>
      <c r="B466" s="1" t="n">
        <v>44564</v>
      </c>
      <c r="C466" s="1" t="n">
        <v>46198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52007-2024</t>
        </is>
      </c>
      <c r="B467" s="1" t="n">
        <v>45607</v>
      </c>
      <c r="C467" s="1" t="n">
        <v>46198</v>
      </c>
      <c r="D467" t="inlineStr">
        <is>
          <t>ÖSTERGÖTLANDS LÄN</t>
        </is>
      </c>
      <c r="E467" t="inlineStr">
        <is>
          <t>FINSPÅNG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52008-2024</t>
        </is>
      </c>
      <c r="B468" s="1" t="n">
        <v>45607</v>
      </c>
      <c r="C468" s="1" t="n">
        <v>46198</v>
      </c>
      <c r="D468" t="inlineStr">
        <is>
          <t>ÖSTERGÖTLANDS LÄN</t>
        </is>
      </c>
      <c r="E468" t="inlineStr">
        <is>
          <t>FINSPÅNG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52557-2024</t>
        </is>
      </c>
      <c r="B469" s="1" t="n">
        <v>45609</v>
      </c>
      <c r="C469" s="1" t="n">
        <v>46198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735-2025</t>
        </is>
      </c>
      <c r="B470" s="1" t="n">
        <v>45665</v>
      </c>
      <c r="C470" s="1" t="n">
        <v>46198</v>
      </c>
      <c r="D470" t="inlineStr">
        <is>
          <t>ÖSTERGÖTLANDS LÄN</t>
        </is>
      </c>
      <c r="E470" t="inlineStr">
        <is>
          <t>FINSPÅNG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39415-2024</t>
        </is>
      </c>
      <c r="B471" s="1" t="n">
        <v>45551</v>
      </c>
      <c r="C471" s="1" t="n">
        <v>46198</v>
      </c>
      <c r="D471" t="inlineStr">
        <is>
          <t>ÖSTERGÖTLANDS LÄN</t>
        </is>
      </c>
      <c r="E471" t="inlineStr">
        <is>
          <t>FINSPÅNG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27018-2026</t>
        </is>
      </c>
      <c r="B472" s="1" t="n">
        <v>46185</v>
      </c>
      <c r="C472" s="1" t="n">
        <v>46198</v>
      </c>
      <c r="D472" t="inlineStr">
        <is>
          <t>ÖSTERGÖTLANDS LÄN</t>
        </is>
      </c>
      <c r="E472" t="inlineStr">
        <is>
          <t>FINSPÅNG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26905-2026</t>
        </is>
      </c>
      <c r="B473" s="1" t="n">
        <v>46185</v>
      </c>
      <c r="C473" s="1" t="n">
        <v>46198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31323-2022</t>
        </is>
      </c>
      <c r="B474" s="1" t="n">
        <v>44774</v>
      </c>
      <c r="C474" s="1" t="n">
        <v>46198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15140-2025</t>
        </is>
      </c>
      <c r="B475" s="1" t="n">
        <v>45744</v>
      </c>
      <c r="C475" s="1" t="n">
        <v>46198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Naturvårdsverket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53545-2025</t>
        </is>
      </c>
      <c r="B476" s="1" t="n">
        <v>45960</v>
      </c>
      <c r="C476" s="1" t="n">
        <v>46198</v>
      </c>
      <c r="D476" t="inlineStr">
        <is>
          <t>ÖSTERGÖTLANDS LÄN</t>
        </is>
      </c>
      <c r="E476" t="inlineStr">
        <is>
          <t>FINSPÅNG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20819-2026</t>
        </is>
      </c>
      <c r="B477" s="1" t="n">
        <v>46141</v>
      </c>
      <c r="C477" s="1" t="n">
        <v>46198</v>
      </c>
      <c r="D477" t="inlineStr">
        <is>
          <t>ÖSTERGÖTLANDS LÄN</t>
        </is>
      </c>
      <c r="E477" t="inlineStr">
        <is>
          <t>FINSPÅNG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14560-2023</t>
        </is>
      </c>
      <c r="B478" s="1" t="n">
        <v>45013</v>
      </c>
      <c r="C478" s="1" t="n">
        <v>46198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27370-2026</t>
        </is>
      </c>
      <c r="B479" s="1" t="n">
        <v>46188</v>
      </c>
      <c r="C479" s="1" t="n">
        <v>46198</v>
      </c>
      <c r="D479" t="inlineStr">
        <is>
          <t>ÖSTERGÖTLANDS LÄN</t>
        </is>
      </c>
      <c r="E479" t="inlineStr">
        <is>
          <t>FINSPÅNG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27369-2026</t>
        </is>
      </c>
      <c r="B480" s="1" t="n">
        <v>46188</v>
      </c>
      <c r="C480" s="1" t="n">
        <v>46198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4753-2025</t>
        </is>
      </c>
      <c r="B481" s="1" t="n">
        <v>45688</v>
      </c>
      <c r="C481" s="1" t="n">
        <v>46198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19263-2024</t>
        </is>
      </c>
      <c r="B482" s="1" t="n">
        <v>45428</v>
      </c>
      <c r="C482" s="1" t="n">
        <v>46198</v>
      </c>
      <c r="D482" t="inlineStr">
        <is>
          <t>ÖSTERGÖTLANDS LÄN</t>
        </is>
      </c>
      <c r="E482" t="inlineStr">
        <is>
          <t>FINSPÅNG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55292-2025</t>
        </is>
      </c>
      <c r="B483" s="1" t="n">
        <v>45969</v>
      </c>
      <c r="C483" s="1" t="n">
        <v>46198</v>
      </c>
      <c r="D483" t="inlineStr">
        <is>
          <t>ÖSTERGÖTLANDS LÄN</t>
        </is>
      </c>
      <c r="E483" t="inlineStr">
        <is>
          <t>FINSPÅNG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15097-2025</t>
        </is>
      </c>
      <c r="B484" s="1" t="n">
        <v>45744</v>
      </c>
      <c r="C484" s="1" t="n">
        <v>46198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55431-2025</t>
        </is>
      </c>
      <c r="B485" s="1" t="n">
        <v>45971</v>
      </c>
      <c r="C485" s="1" t="n">
        <v>46198</v>
      </c>
      <c r="D485" t="inlineStr">
        <is>
          <t>ÖSTERGÖTLANDS LÄN</t>
        </is>
      </c>
      <c r="E485" t="inlineStr">
        <is>
          <t>FINSPÅNG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40544-2021</t>
        </is>
      </c>
      <c r="B486" s="1" t="n">
        <v>44420</v>
      </c>
      <c r="C486" s="1" t="n">
        <v>46198</v>
      </c>
      <c r="D486" t="inlineStr">
        <is>
          <t>ÖSTERGÖTLANDS LÄN</t>
        </is>
      </c>
      <c r="E486" t="inlineStr">
        <is>
          <t>FINSPÅNG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23724-2023</t>
        </is>
      </c>
      <c r="B487" s="1" t="n">
        <v>45077</v>
      </c>
      <c r="C487" s="1" t="n">
        <v>46198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56404-2025</t>
        </is>
      </c>
      <c r="B488" s="1" t="n">
        <v>45975</v>
      </c>
      <c r="C488" s="1" t="n">
        <v>46198</v>
      </c>
      <c r="D488" t="inlineStr">
        <is>
          <t>ÖSTERGÖTLANDS LÄN</t>
        </is>
      </c>
      <c r="E488" t="inlineStr">
        <is>
          <t>FINSPÅNG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13229-2023</t>
        </is>
      </c>
      <c r="B489" s="1" t="n">
        <v>45002</v>
      </c>
      <c r="C489" s="1" t="n">
        <v>46198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Kyrkan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21907-2023</t>
        </is>
      </c>
      <c r="B490" s="1" t="n">
        <v>45068</v>
      </c>
      <c r="C490" s="1" t="n">
        <v>46198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50811-2022</t>
        </is>
      </c>
      <c r="B491" s="1" t="n">
        <v>44867</v>
      </c>
      <c r="C491" s="1" t="n">
        <v>46198</v>
      </c>
      <c r="D491" t="inlineStr">
        <is>
          <t>ÖSTERGÖTLANDS LÄN</t>
        </is>
      </c>
      <c r="E491" t="inlineStr">
        <is>
          <t>FINSPÅNG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56117-2025</t>
        </is>
      </c>
      <c r="B492" s="1" t="n">
        <v>45973</v>
      </c>
      <c r="C492" s="1" t="n">
        <v>46198</v>
      </c>
      <c r="D492" t="inlineStr">
        <is>
          <t>ÖSTERGÖTLANDS LÄN</t>
        </is>
      </c>
      <c r="E492" t="inlineStr">
        <is>
          <t>FINSPÅNG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54923-2022</t>
        </is>
      </c>
      <c r="B493" s="1" t="n">
        <v>44886</v>
      </c>
      <c r="C493" s="1" t="n">
        <v>46198</v>
      </c>
      <c r="D493" t="inlineStr">
        <is>
          <t>ÖSTERGÖTLANDS LÄN</t>
        </is>
      </c>
      <c r="E493" t="inlineStr">
        <is>
          <t>FINSPÅNG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59062-2024</t>
        </is>
      </c>
      <c r="B494" s="1" t="n">
        <v>45636</v>
      </c>
      <c r="C494" s="1" t="n">
        <v>46198</v>
      </c>
      <c r="D494" t="inlineStr">
        <is>
          <t>ÖSTERGÖTLANDS LÄN</t>
        </is>
      </c>
      <c r="E494" t="inlineStr">
        <is>
          <t>FINSPÅNG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57290-2025</t>
        </is>
      </c>
      <c r="B495" s="1" t="n">
        <v>45979</v>
      </c>
      <c r="C495" s="1" t="n">
        <v>46198</v>
      </c>
      <c r="D495" t="inlineStr">
        <is>
          <t>ÖSTERGÖTLANDS LÄN</t>
        </is>
      </c>
      <c r="E495" t="inlineStr">
        <is>
          <t>FINSPÅNG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57666-2025</t>
        </is>
      </c>
      <c r="B496" s="1" t="n">
        <v>45980</v>
      </c>
      <c r="C496" s="1" t="n">
        <v>46198</v>
      </c>
      <c r="D496" t="inlineStr">
        <is>
          <t>ÖSTERGÖTLANDS LÄN</t>
        </is>
      </c>
      <c r="E496" t="inlineStr">
        <is>
          <t>FINSPÅNG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11839-2025</t>
        </is>
      </c>
      <c r="B497" s="1" t="n">
        <v>45728</v>
      </c>
      <c r="C497" s="1" t="n">
        <v>46198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64408-2023</t>
        </is>
      </c>
      <c r="B498" s="1" t="n">
        <v>45280</v>
      </c>
      <c r="C498" s="1" t="n">
        <v>46198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58187-2025</t>
        </is>
      </c>
      <c r="B499" s="1" t="n">
        <v>45983</v>
      </c>
      <c r="C499" s="1" t="n">
        <v>46198</v>
      </c>
      <c r="D499" t="inlineStr">
        <is>
          <t>ÖSTERGÖTLANDS LÄN</t>
        </is>
      </c>
      <c r="E499" t="inlineStr">
        <is>
          <t>FINSPÅNG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58188-2025</t>
        </is>
      </c>
      <c r="B500" s="1" t="n">
        <v>45983</v>
      </c>
      <c r="C500" s="1" t="n">
        <v>46198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58190-2025</t>
        </is>
      </c>
      <c r="B501" s="1" t="n">
        <v>45983</v>
      </c>
      <c r="C501" s="1" t="n">
        <v>46198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52730-2023</t>
        </is>
      </c>
      <c r="B502" s="1" t="n">
        <v>45225</v>
      </c>
      <c r="C502" s="1" t="n">
        <v>46198</v>
      </c>
      <c r="D502" t="inlineStr">
        <is>
          <t>ÖSTERGÖTLANDS LÄN</t>
        </is>
      </c>
      <c r="E502" t="inlineStr">
        <is>
          <t>FINSPÅNG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58189-2025</t>
        </is>
      </c>
      <c r="B503" s="1" t="n">
        <v>45983</v>
      </c>
      <c r="C503" s="1" t="n">
        <v>46198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58698-2025</t>
        </is>
      </c>
      <c r="B504" s="1" t="n">
        <v>45985</v>
      </c>
      <c r="C504" s="1" t="n">
        <v>46198</v>
      </c>
      <c r="D504" t="inlineStr">
        <is>
          <t>ÖSTERGÖTLANDS LÄN</t>
        </is>
      </c>
      <c r="E504" t="inlineStr">
        <is>
          <t>FINSPÅNG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58796-2025</t>
        </is>
      </c>
      <c r="B505" s="1" t="n">
        <v>45986</v>
      </c>
      <c r="C505" s="1" t="n">
        <v>46198</v>
      </c>
      <c r="D505" t="inlineStr">
        <is>
          <t>ÖSTERGÖTLANDS LÄN</t>
        </is>
      </c>
      <c r="E505" t="inlineStr">
        <is>
          <t>FINSPÅNG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10412-2023</t>
        </is>
      </c>
      <c r="B506" s="1" t="n">
        <v>44987</v>
      </c>
      <c r="C506" s="1" t="n">
        <v>46198</v>
      </c>
      <c r="D506" t="inlineStr">
        <is>
          <t>ÖSTERGÖTLANDS LÄN</t>
        </is>
      </c>
      <c r="E506" t="inlineStr">
        <is>
          <t>FINSPÅNG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24500-2023</t>
        </is>
      </c>
      <c r="B507" s="1" t="n">
        <v>45082</v>
      </c>
      <c r="C507" s="1" t="n">
        <v>46198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42651-2024</t>
        </is>
      </c>
      <c r="B508" s="1" t="n">
        <v>45566</v>
      </c>
      <c r="C508" s="1" t="n">
        <v>46198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58709-2025</t>
        </is>
      </c>
      <c r="B509" s="1" t="n">
        <v>45986</v>
      </c>
      <c r="C509" s="1" t="n">
        <v>46198</v>
      </c>
      <c r="D509" t="inlineStr">
        <is>
          <t>ÖSTERGÖTLANDS LÄN</t>
        </is>
      </c>
      <c r="E509" t="inlineStr">
        <is>
          <t>FINSPÅNG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42106-2023</t>
        </is>
      </c>
      <c r="B510" s="1" t="n">
        <v>45177</v>
      </c>
      <c r="C510" s="1" t="n">
        <v>46198</v>
      </c>
      <c r="D510" t="inlineStr">
        <is>
          <t>ÖSTERGÖTLANDS LÄN</t>
        </is>
      </c>
      <c r="E510" t="inlineStr">
        <is>
          <t>FINSPÅNG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11950-2023</t>
        </is>
      </c>
      <c r="B511" s="1" t="n">
        <v>44995</v>
      </c>
      <c r="C511" s="1" t="n">
        <v>46198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43534-2023</t>
        </is>
      </c>
      <c r="B512" s="1" t="n">
        <v>45184</v>
      </c>
      <c r="C512" s="1" t="n">
        <v>46198</v>
      </c>
      <c r="D512" t="inlineStr">
        <is>
          <t>ÖSTERGÖTLANDS LÄN</t>
        </is>
      </c>
      <c r="E512" t="inlineStr">
        <is>
          <t>FINSPÅNG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35598-2023</t>
        </is>
      </c>
      <c r="B513" s="1" t="n">
        <v>45147</v>
      </c>
      <c r="C513" s="1" t="n">
        <v>46198</v>
      </c>
      <c r="D513" t="inlineStr">
        <is>
          <t>ÖSTERGÖTLANDS LÄN</t>
        </is>
      </c>
      <c r="E513" t="inlineStr">
        <is>
          <t>FINSPÅNG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57678-2025</t>
        </is>
      </c>
      <c r="B514" s="1" t="n">
        <v>45980</v>
      </c>
      <c r="C514" s="1" t="n">
        <v>46198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6733-2023</t>
        </is>
      </c>
      <c r="B515" s="1" t="n">
        <v>44966</v>
      </c>
      <c r="C515" s="1" t="n">
        <v>46198</v>
      </c>
      <c r="D515" t="inlineStr">
        <is>
          <t>ÖSTERGÖTLANDS LÄN</t>
        </is>
      </c>
      <c r="E515" t="inlineStr">
        <is>
          <t>FINSPÅNG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53572-2023</t>
        </is>
      </c>
      <c r="B516" s="1" t="n">
        <v>45230</v>
      </c>
      <c r="C516" s="1" t="n">
        <v>46198</v>
      </c>
      <c r="D516" t="inlineStr">
        <is>
          <t>ÖSTERGÖTLANDS LÄN</t>
        </is>
      </c>
      <c r="E516" t="inlineStr">
        <is>
          <t>FINSPÅNG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17994-2023</t>
        </is>
      </c>
      <c r="B517" s="1" t="n">
        <v>45040</v>
      </c>
      <c r="C517" s="1" t="n">
        <v>46198</v>
      </c>
      <c r="D517" t="inlineStr">
        <is>
          <t>ÖSTERGÖTLANDS LÄN</t>
        </is>
      </c>
      <c r="E517" t="inlineStr">
        <is>
          <t>FINSPÅNG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53246-2022</t>
        </is>
      </c>
      <c r="B518" s="1" t="n">
        <v>44876</v>
      </c>
      <c r="C518" s="1" t="n">
        <v>46198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42202-2023</t>
        </is>
      </c>
      <c r="B519" s="1" t="n">
        <v>45179</v>
      </c>
      <c r="C519" s="1" t="n">
        <v>46198</v>
      </c>
      <c r="D519" t="inlineStr">
        <is>
          <t>ÖSTERGÖTLANDS LÄN</t>
        </is>
      </c>
      <c r="E519" t="inlineStr">
        <is>
          <t>FINSPÅNG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42205-2023</t>
        </is>
      </c>
      <c r="B520" s="1" t="n">
        <v>45179</v>
      </c>
      <c r="C520" s="1" t="n">
        <v>46198</v>
      </c>
      <c r="D520" t="inlineStr">
        <is>
          <t>ÖSTERGÖTLANDS LÄN</t>
        </is>
      </c>
      <c r="E520" t="inlineStr">
        <is>
          <t>FINSPÅNG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8403-2025</t>
        </is>
      </c>
      <c r="B521" s="1" t="n">
        <v>45709</v>
      </c>
      <c r="C521" s="1" t="n">
        <v>46198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61202-2025</t>
        </is>
      </c>
      <c r="B522" s="1" t="n">
        <v>46000</v>
      </c>
      <c r="C522" s="1" t="n">
        <v>46198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2145-2024</t>
        </is>
      </c>
      <c r="B523" s="1" t="n">
        <v>45309</v>
      </c>
      <c r="C523" s="1" t="n">
        <v>46198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2152-2024</t>
        </is>
      </c>
      <c r="B524" s="1" t="n">
        <v>45309</v>
      </c>
      <c r="C524" s="1" t="n">
        <v>46198</v>
      </c>
      <c r="D524" t="inlineStr">
        <is>
          <t>ÖSTERGÖTLANDS LÄN</t>
        </is>
      </c>
      <c r="E524" t="inlineStr">
        <is>
          <t>FINSPÅNG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2164-2024</t>
        </is>
      </c>
      <c r="B525" s="1" t="n">
        <v>45309</v>
      </c>
      <c r="C525" s="1" t="n">
        <v>46198</v>
      </c>
      <c r="D525" t="inlineStr">
        <is>
          <t>ÖSTERGÖTLANDS LÄN</t>
        </is>
      </c>
      <c r="E525" t="inlineStr">
        <is>
          <t>FINSPÅNG</t>
        </is>
      </c>
      <c r="G525" t="n">
        <v>15.1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61595-2025</t>
        </is>
      </c>
      <c r="B526" s="1" t="n">
        <v>46002</v>
      </c>
      <c r="C526" s="1" t="n">
        <v>46198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3436-2023</t>
        </is>
      </c>
      <c r="B527" s="1" t="n">
        <v>44949</v>
      </c>
      <c r="C527" s="1" t="n">
        <v>46198</v>
      </c>
      <c r="D527" t="inlineStr">
        <is>
          <t>ÖSTERGÖTLANDS LÄN</t>
        </is>
      </c>
      <c r="E527" t="inlineStr">
        <is>
          <t>FINSPÅNG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62235-2025</t>
        </is>
      </c>
      <c r="B528" s="1" t="n">
        <v>46003</v>
      </c>
      <c r="C528" s="1" t="n">
        <v>46198</v>
      </c>
      <c r="D528" t="inlineStr">
        <is>
          <t>ÖSTERGÖTLANDS LÄN</t>
        </is>
      </c>
      <c r="E528" t="inlineStr">
        <is>
          <t>FINSPÅNG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4083-2024</t>
        </is>
      </c>
      <c r="B529" s="1" t="n">
        <v>45323</v>
      </c>
      <c r="C529" s="1" t="n">
        <v>46198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61683-2025</t>
        </is>
      </c>
      <c r="B530" s="1" t="n">
        <v>46002</v>
      </c>
      <c r="C530" s="1" t="n">
        <v>46198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61605-2025</t>
        </is>
      </c>
      <c r="B531" s="1" t="n">
        <v>46002</v>
      </c>
      <c r="C531" s="1" t="n">
        <v>46198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61712-2025</t>
        </is>
      </c>
      <c r="B532" s="1" t="n">
        <v>46002</v>
      </c>
      <c r="C532" s="1" t="n">
        <v>46198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14565-2023</t>
        </is>
      </c>
      <c r="B533" s="1" t="n">
        <v>45013</v>
      </c>
      <c r="C533" s="1" t="n">
        <v>46198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9378-2023</t>
        </is>
      </c>
      <c r="B534" s="1" t="n">
        <v>44981</v>
      </c>
      <c r="C534" s="1" t="n">
        <v>46198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611-2023</t>
        </is>
      </c>
      <c r="B535" s="1" t="n">
        <v>44930</v>
      </c>
      <c r="C535" s="1" t="n">
        <v>46198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62242-2025</t>
        </is>
      </c>
      <c r="B536" s="1" t="n">
        <v>46006</v>
      </c>
      <c r="C536" s="1" t="n">
        <v>46198</v>
      </c>
      <c r="D536" t="inlineStr">
        <is>
          <t>ÖSTERGÖTLANDS LÄN</t>
        </is>
      </c>
      <c r="E536" t="inlineStr">
        <is>
          <t>FINSPÅNG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62221-2025</t>
        </is>
      </c>
      <c r="B537" s="1" t="n">
        <v>46006</v>
      </c>
      <c r="C537" s="1" t="n">
        <v>46198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62139-2025</t>
        </is>
      </c>
      <c r="B538" s="1" t="n">
        <v>46006</v>
      </c>
      <c r="C538" s="1" t="n">
        <v>46198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28382-2026</t>
        </is>
      </c>
      <c r="B539" s="1" t="n">
        <v>46196</v>
      </c>
      <c r="C539" s="1" t="n">
        <v>46198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Kommuner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28386-2026</t>
        </is>
      </c>
      <c r="B540" s="1" t="n">
        <v>46196</v>
      </c>
      <c r="C540" s="1" t="n">
        <v>46198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25184-2023</t>
        </is>
      </c>
      <c r="B541" s="1" t="n">
        <v>45086</v>
      </c>
      <c r="C541" s="1" t="n">
        <v>46198</v>
      </c>
      <c r="D541" t="inlineStr">
        <is>
          <t>ÖSTERGÖTLANDS LÄN</t>
        </is>
      </c>
      <c r="E541" t="inlineStr">
        <is>
          <t>FINSPÅNG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18439-2023</t>
        </is>
      </c>
      <c r="B542" s="1" t="n">
        <v>45042</v>
      </c>
      <c r="C542" s="1" t="n">
        <v>46198</v>
      </c>
      <c r="D542" t="inlineStr">
        <is>
          <t>ÖSTERGÖTLANDS LÄN</t>
        </is>
      </c>
      <c r="E542" t="inlineStr">
        <is>
          <t>FINSPÅNG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18494-2023</t>
        </is>
      </c>
      <c r="B543" s="1" t="n">
        <v>45042</v>
      </c>
      <c r="C543" s="1" t="n">
        <v>46198</v>
      </c>
      <c r="D543" t="inlineStr">
        <is>
          <t>ÖSTERGÖTLANDS LÄN</t>
        </is>
      </c>
      <c r="E543" t="inlineStr">
        <is>
          <t>FINSPÅNG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1913-2023</t>
        </is>
      </c>
      <c r="B544" s="1" t="n">
        <v>44939</v>
      </c>
      <c r="C544" s="1" t="n">
        <v>46198</v>
      </c>
      <c r="D544" t="inlineStr">
        <is>
          <t>ÖSTERGÖTLANDS LÄN</t>
        </is>
      </c>
      <c r="E544" t="inlineStr">
        <is>
          <t>FINSPÅNG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52004-2024</t>
        </is>
      </c>
      <c r="B545" s="1" t="n">
        <v>45607</v>
      </c>
      <c r="C545" s="1" t="n">
        <v>46198</v>
      </c>
      <c r="D545" t="inlineStr">
        <is>
          <t>ÖSTERGÖTLANDS LÄN</t>
        </is>
      </c>
      <c r="E545" t="inlineStr">
        <is>
          <t>FINSPÅNG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25420-2022</t>
        </is>
      </c>
      <c r="B546" s="1" t="n">
        <v>44732</v>
      </c>
      <c r="C546" s="1" t="n">
        <v>46198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18585-2024</t>
        </is>
      </c>
      <c r="B547" s="1" t="n">
        <v>45425</v>
      </c>
      <c r="C547" s="1" t="n">
        <v>46198</v>
      </c>
      <c r="D547" t="inlineStr">
        <is>
          <t>ÖSTERGÖTLANDS LÄN</t>
        </is>
      </c>
      <c r="E547" t="inlineStr">
        <is>
          <t>FINSPÅNG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42111-2023</t>
        </is>
      </c>
      <c r="B548" s="1" t="n">
        <v>45177</v>
      </c>
      <c r="C548" s="1" t="n">
        <v>46198</v>
      </c>
      <c r="D548" t="inlineStr">
        <is>
          <t>ÖSTERGÖTLANDS LÄN</t>
        </is>
      </c>
      <c r="E548" t="inlineStr">
        <is>
          <t>FINSPÅNG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1131-2024</t>
        </is>
      </c>
      <c r="B549" s="1" t="n">
        <v>45302</v>
      </c>
      <c r="C549" s="1" t="n">
        <v>46198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3085-2025</t>
        </is>
      </c>
      <c r="B550" s="1" t="n">
        <v>45678</v>
      </c>
      <c r="C550" s="1" t="n">
        <v>46198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34119-2025</t>
        </is>
      </c>
      <c r="B551" s="1" t="n">
        <v>45845</v>
      </c>
      <c r="C551" s="1" t="n">
        <v>46198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55624-2024</t>
        </is>
      </c>
      <c r="B552" s="1" t="n">
        <v>45622</v>
      </c>
      <c r="C552" s="1" t="n">
        <v>46198</v>
      </c>
      <c r="D552" t="inlineStr">
        <is>
          <t>ÖSTERGÖTLANDS LÄN</t>
        </is>
      </c>
      <c r="E552" t="inlineStr">
        <is>
          <t>FINSPÅNG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56405-2025</t>
        </is>
      </c>
      <c r="B553" s="1" t="n">
        <v>45975</v>
      </c>
      <c r="C553" s="1" t="n">
        <v>46198</v>
      </c>
      <c r="D553" t="inlineStr">
        <is>
          <t>ÖSTERGÖTLANDS LÄN</t>
        </is>
      </c>
      <c r="E553" t="inlineStr">
        <is>
          <t>FINSPÅNG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55052-2023</t>
        </is>
      </c>
      <c r="B554" s="1" t="n">
        <v>45237</v>
      </c>
      <c r="C554" s="1" t="n">
        <v>46198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12814-2022</t>
        </is>
      </c>
      <c r="B555" s="1" t="n">
        <v>44642</v>
      </c>
      <c r="C555" s="1" t="n">
        <v>46198</v>
      </c>
      <c r="D555" t="inlineStr">
        <is>
          <t>ÖSTERGÖTLANDS LÄN</t>
        </is>
      </c>
      <c r="E555" t="inlineStr">
        <is>
          <t>FINSPÅNG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19609-2025</t>
        </is>
      </c>
      <c r="B556" s="1" t="n">
        <v>45770</v>
      </c>
      <c r="C556" s="1" t="n">
        <v>46198</v>
      </c>
      <c r="D556" t="inlineStr">
        <is>
          <t>ÖSTERGÖTLANDS LÄN</t>
        </is>
      </c>
      <c r="E556" t="inlineStr">
        <is>
          <t>FINSPÅNG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24012-2024</t>
        </is>
      </c>
      <c r="B557" s="1" t="n">
        <v>45456</v>
      </c>
      <c r="C557" s="1" t="n">
        <v>46198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29078-2022</t>
        </is>
      </c>
      <c r="B558" s="1" t="n">
        <v>44749</v>
      </c>
      <c r="C558" s="1" t="n">
        <v>46198</v>
      </c>
      <c r="D558" t="inlineStr">
        <is>
          <t>ÖSTERGÖTLANDS LÄN</t>
        </is>
      </c>
      <c r="E558" t="inlineStr">
        <is>
          <t>FINSPÅNG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24503-2023</t>
        </is>
      </c>
      <c r="B559" s="1" t="n">
        <v>45082</v>
      </c>
      <c r="C559" s="1" t="n">
        <v>46198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24513-2023</t>
        </is>
      </c>
      <c r="B560" s="1" t="n">
        <v>45082</v>
      </c>
      <c r="C560" s="1" t="n">
        <v>46198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39740-2023</t>
        </is>
      </c>
      <c r="B561" s="1" t="n">
        <v>45167</v>
      </c>
      <c r="C561" s="1" t="n">
        <v>46198</v>
      </c>
      <c r="D561" t="inlineStr">
        <is>
          <t>ÖSTERGÖTLANDS LÄN</t>
        </is>
      </c>
      <c r="E561" t="inlineStr">
        <is>
          <t>FINSPÅNG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529-2023</t>
        </is>
      </c>
      <c r="B562" s="1" t="n">
        <v>44930</v>
      </c>
      <c r="C562" s="1" t="n">
        <v>46198</v>
      </c>
      <c r="D562" t="inlineStr">
        <is>
          <t>ÖSTERGÖTLANDS LÄN</t>
        </is>
      </c>
      <c r="E562" t="inlineStr">
        <is>
          <t>FINSPÅNG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35276-2025</t>
        </is>
      </c>
      <c r="B563" s="1" t="n">
        <v>45853</v>
      </c>
      <c r="C563" s="1" t="n">
        <v>46198</v>
      </c>
      <c r="D563" t="inlineStr">
        <is>
          <t>ÖSTERGÖTLANDS LÄN</t>
        </is>
      </c>
      <c r="E563" t="inlineStr">
        <is>
          <t>FINSPÅNG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33027-2022</t>
        </is>
      </c>
      <c r="B564" s="1" t="n">
        <v>44782</v>
      </c>
      <c r="C564" s="1" t="n">
        <v>46198</v>
      </c>
      <c r="D564" t="inlineStr">
        <is>
          <t>ÖSTERGÖTLANDS LÄN</t>
        </is>
      </c>
      <c r="E564" t="inlineStr">
        <is>
          <t>FINSPÅNG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769-2026</t>
        </is>
      </c>
      <c r="B565" s="1" t="n">
        <v>46029</v>
      </c>
      <c r="C565" s="1" t="n">
        <v>46198</v>
      </c>
      <c r="D565" t="inlineStr">
        <is>
          <t>ÖSTERGÖTLANDS LÄN</t>
        </is>
      </c>
      <c r="E565" t="inlineStr">
        <is>
          <t>FINSPÅNG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668-2026</t>
        </is>
      </c>
      <c r="B566" s="1" t="n">
        <v>46029</v>
      </c>
      <c r="C566" s="1" t="n">
        <v>46198</v>
      </c>
      <c r="D566" t="inlineStr">
        <is>
          <t>ÖSTERGÖTLANDS LÄN</t>
        </is>
      </c>
      <c r="E566" t="inlineStr">
        <is>
          <t>FINSPÅNG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1005-2026</t>
        </is>
      </c>
      <c r="B567" s="1" t="n">
        <v>46030</v>
      </c>
      <c r="C567" s="1" t="n">
        <v>46198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61447-2024</t>
        </is>
      </c>
      <c r="B568" s="1" t="n">
        <v>45646</v>
      </c>
      <c r="C568" s="1" t="n">
        <v>46198</v>
      </c>
      <c r="D568" t="inlineStr">
        <is>
          <t>ÖSTERGÖTLANDS LÄN</t>
        </is>
      </c>
      <c r="E568" t="inlineStr">
        <is>
          <t>FINSPÅNG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1109-2026</t>
        </is>
      </c>
      <c r="B569" s="1" t="n">
        <v>46030</v>
      </c>
      <c r="C569" s="1" t="n">
        <v>46198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1152-2026</t>
        </is>
      </c>
      <c r="B570" s="1" t="n">
        <v>46031</v>
      </c>
      <c r="C570" s="1" t="n">
        <v>46198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Kyrkan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1154-2026</t>
        </is>
      </c>
      <c r="B571" s="1" t="n">
        <v>46031</v>
      </c>
      <c r="C571" s="1" t="n">
        <v>46198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42779-2023</t>
        </is>
      </c>
      <c r="B572" s="1" t="n">
        <v>45181</v>
      </c>
      <c r="C572" s="1" t="n">
        <v>46198</v>
      </c>
      <c r="D572" t="inlineStr">
        <is>
          <t>ÖSTERGÖTLANDS LÄN</t>
        </is>
      </c>
      <c r="E572" t="inlineStr">
        <is>
          <t>FINSPÅNG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52731-2023</t>
        </is>
      </c>
      <c r="B573" s="1" t="n">
        <v>45225</v>
      </c>
      <c r="C573" s="1" t="n">
        <v>46198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41932-2021</t>
        </is>
      </c>
      <c r="B574" s="1" t="n">
        <v>44425</v>
      </c>
      <c r="C574" s="1" t="n">
        <v>46198</v>
      </c>
      <c r="D574" t="inlineStr">
        <is>
          <t>ÖSTERGÖTLANDS LÄN</t>
        </is>
      </c>
      <c r="E574" t="inlineStr">
        <is>
          <t>FINSPÅNG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29630-2022</t>
        </is>
      </c>
      <c r="B575" s="1" t="n">
        <v>44754</v>
      </c>
      <c r="C575" s="1" t="n">
        <v>46198</v>
      </c>
      <c r="D575" t="inlineStr">
        <is>
          <t>ÖSTERGÖTLANDS LÄN</t>
        </is>
      </c>
      <c r="E575" t="inlineStr">
        <is>
          <t>FINSPÅNG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18261-2024</t>
        </is>
      </c>
      <c r="B576" s="1" t="n">
        <v>45421</v>
      </c>
      <c r="C576" s="1" t="n">
        <v>46198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1583-2026</t>
        </is>
      </c>
      <c r="B577" s="1" t="n">
        <v>46034</v>
      </c>
      <c r="C577" s="1" t="n">
        <v>46198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1522-2026</t>
        </is>
      </c>
      <c r="B578" s="1" t="n">
        <v>46034</v>
      </c>
      <c r="C578" s="1" t="n">
        <v>46198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1577-2026</t>
        </is>
      </c>
      <c r="B579" s="1" t="n">
        <v>46034</v>
      </c>
      <c r="C579" s="1" t="n">
        <v>46198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39467-2024</t>
        </is>
      </c>
      <c r="B580" s="1" t="n">
        <v>45551</v>
      </c>
      <c r="C580" s="1" t="n">
        <v>46198</v>
      </c>
      <c r="D580" t="inlineStr">
        <is>
          <t>ÖSTERGÖTLANDS LÄN</t>
        </is>
      </c>
      <c r="E580" t="inlineStr">
        <is>
          <t>FINSPÅNG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35346-2024</t>
        </is>
      </c>
      <c r="B581" s="1" t="n">
        <v>45530</v>
      </c>
      <c r="C581" s="1" t="n">
        <v>46198</v>
      </c>
      <c r="D581" t="inlineStr">
        <is>
          <t>ÖSTERGÖTLANDS LÄN</t>
        </is>
      </c>
      <c r="E581" t="inlineStr">
        <is>
          <t>FINSPÅNG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2181-2026</t>
        </is>
      </c>
      <c r="B582" s="1" t="n">
        <v>46036</v>
      </c>
      <c r="C582" s="1" t="n">
        <v>46198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2195-2026</t>
        </is>
      </c>
      <c r="B583" s="1" t="n">
        <v>46036</v>
      </c>
      <c r="C583" s="1" t="n">
        <v>46198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3062-2026</t>
        </is>
      </c>
      <c r="B584" s="1" t="n">
        <v>46040</v>
      </c>
      <c r="C584" s="1" t="n">
        <v>46198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10184-2023</t>
        </is>
      </c>
      <c r="B585" s="1" t="n">
        <v>44986</v>
      </c>
      <c r="C585" s="1" t="n">
        <v>46198</v>
      </c>
      <c r="D585" t="inlineStr">
        <is>
          <t>ÖSTERGÖTLANDS LÄN</t>
        </is>
      </c>
      <c r="E585" t="inlineStr">
        <is>
          <t>FINSPÅNG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3063-2026</t>
        </is>
      </c>
      <c r="B586" s="1" t="n">
        <v>46040</v>
      </c>
      <c r="C586" s="1" t="n">
        <v>46198</v>
      </c>
      <c r="D586" t="inlineStr">
        <is>
          <t>ÖSTERGÖTLANDS LÄN</t>
        </is>
      </c>
      <c r="E586" t="inlineStr">
        <is>
          <t>FINSPÅNG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31176-2022</t>
        </is>
      </c>
      <c r="B587" s="1" t="n">
        <v>44770</v>
      </c>
      <c r="C587" s="1" t="n">
        <v>46198</v>
      </c>
      <c r="D587" t="inlineStr">
        <is>
          <t>ÖSTERGÖTLANDS LÄN</t>
        </is>
      </c>
      <c r="E587" t="inlineStr">
        <is>
          <t>FINSPÅNG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42785-2024</t>
        </is>
      </c>
      <c r="B588" s="1" t="n">
        <v>45566</v>
      </c>
      <c r="C588" s="1" t="n">
        <v>46198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981-2024</t>
        </is>
      </c>
      <c r="B589" s="1" t="n">
        <v>45301</v>
      </c>
      <c r="C589" s="1" t="n">
        <v>46198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1137-2024</t>
        </is>
      </c>
      <c r="B590" s="1" t="n">
        <v>45302</v>
      </c>
      <c r="C590" s="1" t="n">
        <v>46198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50510-2024</t>
        </is>
      </c>
      <c r="B591" s="1" t="n">
        <v>45601</v>
      </c>
      <c r="C591" s="1" t="n">
        <v>46198</v>
      </c>
      <c r="D591" t="inlineStr">
        <is>
          <t>ÖSTERGÖTLANDS LÄN</t>
        </is>
      </c>
      <c r="E591" t="inlineStr">
        <is>
          <t>FINSPÅNG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8700-2025</t>
        </is>
      </c>
      <c r="B592" s="1" t="n">
        <v>45712</v>
      </c>
      <c r="C592" s="1" t="n">
        <v>46198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6191-2025</t>
        </is>
      </c>
      <c r="B593" s="1" t="n">
        <v>45698</v>
      </c>
      <c r="C593" s="1" t="n">
        <v>46198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4850-2026</t>
        </is>
      </c>
      <c r="B594" s="1" t="n">
        <v>46048</v>
      </c>
      <c r="C594" s="1" t="n">
        <v>46198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17321-2022</t>
        </is>
      </c>
      <c r="B595" s="1" t="n">
        <v>44678</v>
      </c>
      <c r="C595" s="1" t="n">
        <v>46198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5172-2026</t>
        </is>
      </c>
      <c r="B596" s="1" t="n">
        <v>46049</v>
      </c>
      <c r="C596" s="1" t="n">
        <v>46198</v>
      </c>
      <c r="D596" t="inlineStr">
        <is>
          <t>ÖSTERGÖTLANDS LÄN</t>
        </is>
      </c>
      <c r="E596" t="inlineStr">
        <is>
          <t>FINSPÅNG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12216-2022</t>
        </is>
      </c>
      <c r="B597" s="1" t="n">
        <v>44637</v>
      </c>
      <c r="C597" s="1" t="n">
        <v>46198</v>
      </c>
      <c r="D597" t="inlineStr">
        <is>
          <t>ÖSTERGÖTLANDS LÄN</t>
        </is>
      </c>
      <c r="E597" t="inlineStr">
        <is>
          <t>FINSPÅNG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4864-2026</t>
        </is>
      </c>
      <c r="B598" s="1" t="n">
        <v>46048</v>
      </c>
      <c r="C598" s="1" t="n">
        <v>46198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4853-2026</t>
        </is>
      </c>
      <c r="B599" s="1" t="n">
        <v>46048</v>
      </c>
      <c r="C599" s="1" t="n">
        <v>46198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5427-2026</t>
        </is>
      </c>
      <c r="B600" s="1" t="n">
        <v>46050</v>
      </c>
      <c r="C600" s="1" t="n">
        <v>46198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5318-2026</t>
        </is>
      </c>
      <c r="B601" s="1" t="n">
        <v>46050</v>
      </c>
      <c r="C601" s="1" t="n">
        <v>46198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6250-2026</t>
        </is>
      </c>
      <c r="B602" s="1" t="n">
        <v>46055</v>
      </c>
      <c r="C602" s="1" t="n">
        <v>46198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5939-2026</t>
        </is>
      </c>
      <c r="B603" s="1" t="n">
        <v>46052</v>
      </c>
      <c r="C603" s="1" t="n">
        <v>46198</v>
      </c>
      <c r="D603" t="inlineStr">
        <is>
          <t>ÖSTERGÖTLANDS LÄN</t>
        </is>
      </c>
      <c r="E603" t="inlineStr">
        <is>
          <t>FINSPÅNG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64103-2023</t>
        </is>
      </c>
      <c r="B604" s="1" t="n">
        <v>45279</v>
      </c>
      <c r="C604" s="1" t="n">
        <v>46198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52561-2024</t>
        </is>
      </c>
      <c r="B605" s="1" t="n">
        <v>45609</v>
      </c>
      <c r="C605" s="1" t="n">
        <v>46198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22437-2023</t>
        </is>
      </c>
      <c r="B606" s="1" t="n">
        <v>45070</v>
      </c>
      <c r="C606" s="1" t="n">
        <v>46198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7743-2023</t>
        </is>
      </c>
      <c r="B607" s="1" t="n">
        <v>44973</v>
      </c>
      <c r="C607" s="1" t="n">
        <v>46198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56425-2022</t>
        </is>
      </c>
      <c r="B608" s="1" t="n">
        <v>44891</v>
      </c>
      <c r="C608" s="1" t="n">
        <v>46198</v>
      </c>
      <c r="D608" t="inlineStr">
        <is>
          <t>ÖSTERGÖTLANDS LÄN</t>
        </is>
      </c>
      <c r="E608" t="inlineStr">
        <is>
          <t>FINSPÅNG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53945-2024</t>
        </is>
      </c>
      <c r="B609" s="1" t="n">
        <v>45616</v>
      </c>
      <c r="C609" s="1" t="n">
        <v>46198</v>
      </c>
      <c r="D609" t="inlineStr">
        <is>
          <t>ÖSTERGÖTLANDS LÄN</t>
        </is>
      </c>
      <c r="E609" t="inlineStr">
        <is>
          <t>FINSPÅNG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7271-2026</t>
        </is>
      </c>
      <c r="B610" s="1" t="n">
        <v>46058</v>
      </c>
      <c r="C610" s="1" t="n">
        <v>46198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Övriga Aktiebolag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7274-2026</t>
        </is>
      </c>
      <c r="B611" s="1" t="n">
        <v>46058</v>
      </c>
      <c r="C611" s="1" t="n">
        <v>46198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7193-2026</t>
        </is>
      </c>
      <c r="B612" s="1" t="n">
        <v>46058</v>
      </c>
      <c r="C612" s="1" t="n">
        <v>46198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7269-2026</t>
        </is>
      </c>
      <c r="B613" s="1" t="n">
        <v>46058</v>
      </c>
      <c r="C613" s="1" t="n">
        <v>46198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3415-2023</t>
        </is>
      </c>
      <c r="B614" s="1" t="n">
        <v>44949</v>
      </c>
      <c r="C614" s="1" t="n">
        <v>46198</v>
      </c>
      <c r="D614" t="inlineStr">
        <is>
          <t>ÖSTERGÖTLANDS LÄN</t>
        </is>
      </c>
      <c r="E614" t="inlineStr">
        <is>
          <t>FINSPÅNG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7559-2026</t>
        </is>
      </c>
      <c r="B615" s="1" t="n">
        <v>46060</v>
      </c>
      <c r="C615" s="1" t="n">
        <v>46198</v>
      </c>
      <c r="D615" t="inlineStr">
        <is>
          <t>ÖSTERGÖTLANDS LÄN</t>
        </is>
      </c>
      <c r="E615" t="inlineStr">
        <is>
          <t>FINSPÅNG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8079-2026</t>
        </is>
      </c>
      <c r="B616" s="1" t="n">
        <v>46063</v>
      </c>
      <c r="C616" s="1" t="n">
        <v>46198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8083-2026</t>
        </is>
      </c>
      <c r="B617" s="1" t="n">
        <v>46063</v>
      </c>
      <c r="C617" s="1" t="n">
        <v>46198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6735-2023</t>
        </is>
      </c>
      <c r="B618" s="1" t="n">
        <v>44966</v>
      </c>
      <c r="C618" s="1" t="n">
        <v>46198</v>
      </c>
      <c r="D618" t="inlineStr">
        <is>
          <t>ÖSTERGÖTLANDS LÄN</t>
        </is>
      </c>
      <c r="E618" t="inlineStr">
        <is>
          <t>FINSPÅNG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4280-2023</t>
        </is>
      </c>
      <c r="B619" s="1" t="n">
        <v>44953</v>
      </c>
      <c r="C619" s="1" t="n">
        <v>46198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8266-2026</t>
        </is>
      </c>
      <c r="B620" s="1" t="n">
        <v>46064</v>
      </c>
      <c r="C620" s="1" t="n">
        <v>46198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Sveaskog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8237-2026</t>
        </is>
      </c>
      <c r="B621" s="1" t="n">
        <v>46064</v>
      </c>
      <c r="C621" s="1" t="n">
        <v>46198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8529-2026</t>
        </is>
      </c>
      <c r="B622" s="1" t="n">
        <v>46065</v>
      </c>
      <c r="C622" s="1" t="n">
        <v>46198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8553-2026</t>
        </is>
      </c>
      <c r="B623" s="1" t="n">
        <v>46065</v>
      </c>
      <c r="C623" s="1" t="n">
        <v>46198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8240-2026</t>
        </is>
      </c>
      <c r="B624" s="1" t="n">
        <v>46064</v>
      </c>
      <c r="C624" s="1" t="n">
        <v>46198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8244-2026</t>
        </is>
      </c>
      <c r="B625" s="1" t="n">
        <v>46064</v>
      </c>
      <c r="C625" s="1" t="n">
        <v>46198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8270-2026</t>
        </is>
      </c>
      <c r="B626" s="1" t="n">
        <v>46064</v>
      </c>
      <c r="C626" s="1" t="n">
        <v>46198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8245-2026</t>
        </is>
      </c>
      <c r="B627" s="1" t="n">
        <v>46064</v>
      </c>
      <c r="C627" s="1" t="n">
        <v>46198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8249-2026</t>
        </is>
      </c>
      <c r="B628" s="1" t="n">
        <v>46064</v>
      </c>
      <c r="C628" s="1" t="n">
        <v>46198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8228-2026</t>
        </is>
      </c>
      <c r="B629" s="1" t="n">
        <v>46064</v>
      </c>
      <c r="C629" s="1" t="n">
        <v>46198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Sveaskog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8247-2026</t>
        </is>
      </c>
      <c r="B630" s="1" t="n">
        <v>46064</v>
      </c>
      <c r="C630" s="1" t="n">
        <v>46198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Sveaskog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8238-2026</t>
        </is>
      </c>
      <c r="B631" s="1" t="n">
        <v>46064</v>
      </c>
      <c r="C631" s="1" t="n">
        <v>46198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40319-2022</t>
        </is>
      </c>
      <c r="B632" s="1" t="n">
        <v>44823</v>
      </c>
      <c r="C632" s="1" t="n">
        <v>46198</v>
      </c>
      <c r="D632" t="inlineStr">
        <is>
          <t>ÖSTERGÖTLANDS LÄN</t>
        </is>
      </c>
      <c r="E632" t="inlineStr">
        <is>
          <t>FINSPÅNG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47317-2023</t>
        </is>
      </c>
      <c r="B633" s="1" t="n">
        <v>45202</v>
      </c>
      <c r="C633" s="1" t="n">
        <v>46198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9084-2026</t>
        </is>
      </c>
      <c r="B634" s="1" t="n">
        <v>46069</v>
      </c>
      <c r="C634" s="1" t="n">
        <v>46198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48802-2024</t>
        </is>
      </c>
      <c r="B635" s="1" t="n">
        <v>45593</v>
      </c>
      <c r="C635" s="1" t="n">
        <v>46198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12483-2024</t>
        </is>
      </c>
      <c r="B636" s="1" t="n">
        <v>45379</v>
      </c>
      <c r="C636" s="1" t="n">
        <v>46198</v>
      </c>
      <c r="D636" t="inlineStr">
        <is>
          <t>ÖSTERGÖTLANDS LÄN</t>
        </is>
      </c>
      <c r="E636" t="inlineStr">
        <is>
          <t>FINSPÅNG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9206-2026</t>
        </is>
      </c>
      <c r="B637" s="1" t="n">
        <v>46070</v>
      </c>
      <c r="C637" s="1" t="n">
        <v>46198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19160-2024</t>
        </is>
      </c>
      <c r="B638" s="1" t="n">
        <v>45428</v>
      </c>
      <c r="C638" s="1" t="n">
        <v>46198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9173-2026</t>
        </is>
      </c>
      <c r="B639" s="1" t="n">
        <v>46070</v>
      </c>
      <c r="C639" s="1" t="n">
        <v>46198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39078-2022</t>
        </is>
      </c>
      <c r="B640" s="1" t="n">
        <v>44817</v>
      </c>
      <c r="C640" s="1" t="n">
        <v>46198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9934-2026</t>
        </is>
      </c>
      <c r="B641" s="1" t="n">
        <v>46073</v>
      </c>
      <c r="C641" s="1" t="n">
        <v>46198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41328-2023</t>
        </is>
      </c>
      <c r="B642" s="1" t="n">
        <v>45174</v>
      </c>
      <c r="C642" s="1" t="n">
        <v>46198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Kyrkan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10485-2026</t>
        </is>
      </c>
      <c r="B643" s="1" t="n">
        <v>46077</v>
      </c>
      <c r="C643" s="1" t="n">
        <v>46198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Kyrkan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10313-2026</t>
        </is>
      </c>
      <c r="B644" s="1" t="n">
        <v>46076</v>
      </c>
      <c r="C644" s="1" t="n">
        <v>46198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10296-2026</t>
        </is>
      </c>
      <c r="B645" s="1" t="n">
        <v>46076</v>
      </c>
      <c r="C645" s="1" t="n">
        <v>46198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19529-2025</t>
        </is>
      </c>
      <c r="B646" s="1" t="n">
        <v>45770</v>
      </c>
      <c r="C646" s="1" t="n">
        <v>46198</v>
      </c>
      <c r="D646" t="inlineStr">
        <is>
          <t>ÖSTERGÖTLANDS LÄN</t>
        </is>
      </c>
      <c r="E646" t="inlineStr">
        <is>
          <t>FINSPÅNG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54727-2023</t>
        </is>
      </c>
      <c r="B647" s="1" t="n">
        <v>45236</v>
      </c>
      <c r="C647" s="1" t="n">
        <v>46198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54730-2023</t>
        </is>
      </c>
      <c r="B648" s="1" t="n">
        <v>45236</v>
      </c>
      <c r="C648" s="1" t="n">
        <v>46198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10872-2026</t>
        </is>
      </c>
      <c r="B649" s="1" t="n">
        <v>46078</v>
      </c>
      <c r="C649" s="1" t="n">
        <v>46198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11146-2026</t>
        </is>
      </c>
      <c r="B650" s="1" t="n">
        <v>46080</v>
      </c>
      <c r="C650" s="1" t="n">
        <v>46198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Kyrkan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11211-2026</t>
        </is>
      </c>
      <c r="B651" s="1" t="n">
        <v>46080</v>
      </c>
      <c r="C651" s="1" t="n">
        <v>46198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11244-2026</t>
        </is>
      </c>
      <c r="B652" s="1" t="n">
        <v>46080</v>
      </c>
      <c r="C652" s="1" t="n">
        <v>46198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11063-2026</t>
        </is>
      </c>
      <c r="B653" s="1" t="n">
        <v>46079</v>
      </c>
      <c r="C653" s="1" t="n">
        <v>46198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9003-2024</t>
        </is>
      </c>
      <c r="B654" s="1" t="n">
        <v>45357</v>
      </c>
      <c r="C654" s="1" t="n">
        <v>46198</v>
      </c>
      <c r="D654" t="inlineStr">
        <is>
          <t>ÖSTERGÖTLANDS LÄN</t>
        </is>
      </c>
      <c r="E654" t="inlineStr">
        <is>
          <t>FINSPÅNG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11251-2026</t>
        </is>
      </c>
      <c r="B655" s="1" t="n">
        <v>46080</v>
      </c>
      <c r="C655" s="1" t="n">
        <v>46198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11248-2026</t>
        </is>
      </c>
      <c r="B656" s="1" t="n">
        <v>46080</v>
      </c>
      <c r="C656" s="1" t="n">
        <v>46198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56420-2023</t>
        </is>
      </c>
      <c r="B657" s="1" t="n">
        <v>45243</v>
      </c>
      <c r="C657" s="1" t="n">
        <v>46198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15952-2023</t>
        </is>
      </c>
      <c r="B658" s="1" t="n">
        <v>45022</v>
      </c>
      <c r="C658" s="1" t="n">
        <v>46198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11839-2026</t>
        </is>
      </c>
      <c r="B659" s="1" t="n">
        <v>46085</v>
      </c>
      <c r="C659" s="1" t="n">
        <v>46198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38964-2022</t>
        </is>
      </c>
      <c r="B660" s="1" t="n">
        <v>44816</v>
      </c>
      <c r="C660" s="1" t="n">
        <v>46198</v>
      </c>
      <c r="D660" t="inlineStr">
        <is>
          <t>ÖSTERGÖTLANDS LÄN</t>
        </is>
      </c>
      <c r="E660" t="inlineStr">
        <is>
          <t>FINSPÅNG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11814-2026</t>
        </is>
      </c>
      <c r="B661" s="1" t="n">
        <v>46085</v>
      </c>
      <c r="C661" s="1" t="n">
        <v>46198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11813-2026</t>
        </is>
      </c>
      <c r="B662" s="1" t="n">
        <v>46085</v>
      </c>
      <c r="C662" s="1" t="n">
        <v>46198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11807-2026</t>
        </is>
      </c>
      <c r="B663" s="1" t="n">
        <v>46085</v>
      </c>
      <c r="C663" s="1" t="n">
        <v>46198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2744-2024</t>
        </is>
      </c>
      <c r="B664" s="1" t="n">
        <v>45314</v>
      </c>
      <c r="C664" s="1" t="n">
        <v>46198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40194-2022</t>
        </is>
      </c>
      <c r="B665" s="1" t="n">
        <v>44820</v>
      </c>
      <c r="C665" s="1" t="n">
        <v>46198</v>
      </c>
      <c r="D665" t="inlineStr">
        <is>
          <t>ÖSTERGÖTLANDS LÄN</t>
        </is>
      </c>
      <c r="E665" t="inlineStr">
        <is>
          <t>FINSPÅNG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36406-2024</t>
        </is>
      </c>
      <c r="B666" s="1" t="n">
        <v>45535</v>
      </c>
      <c r="C666" s="1" t="n">
        <v>46198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Kommuner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58367-2023</t>
        </is>
      </c>
      <c r="B667" s="1" t="n">
        <v>45250</v>
      </c>
      <c r="C667" s="1" t="n">
        <v>46198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46317-2023</t>
        </is>
      </c>
      <c r="B668" s="1" t="n">
        <v>45197</v>
      </c>
      <c r="C668" s="1" t="n">
        <v>46198</v>
      </c>
      <c r="D668" t="inlineStr">
        <is>
          <t>ÖSTERGÖTLANDS LÄN</t>
        </is>
      </c>
      <c r="E668" t="inlineStr">
        <is>
          <t>FINSPÅNG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13365-2026</t>
        </is>
      </c>
      <c r="B669" s="1" t="n">
        <v>46094</v>
      </c>
      <c r="C669" s="1" t="n">
        <v>46198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6731-2023</t>
        </is>
      </c>
      <c r="B670" s="1" t="n">
        <v>44966</v>
      </c>
      <c r="C670" s="1" t="n">
        <v>46198</v>
      </c>
      <c r="D670" t="inlineStr">
        <is>
          <t>ÖSTERGÖTLANDS LÄN</t>
        </is>
      </c>
      <c r="E670" t="inlineStr">
        <is>
          <t>FINSPÅNG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36994-2022</t>
        </is>
      </c>
      <c r="B671" s="1" t="n">
        <v>44806</v>
      </c>
      <c r="C671" s="1" t="n">
        <v>46198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13768-2026</t>
        </is>
      </c>
      <c r="B672" s="1" t="n">
        <v>46097</v>
      </c>
      <c r="C672" s="1" t="n">
        <v>46198</v>
      </c>
      <c r="D672" t="inlineStr">
        <is>
          <t>ÖSTERGÖTLANDS LÄN</t>
        </is>
      </c>
      <c r="E672" t="inlineStr">
        <is>
          <t>FINSPÅNG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31130-2023</t>
        </is>
      </c>
      <c r="B673" s="1" t="n">
        <v>45113</v>
      </c>
      <c r="C673" s="1" t="n">
        <v>46198</v>
      </c>
      <c r="D673" t="inlineStr">
        <is>
          <t>ÖSTERGÖTLANDS LÄN</t>
        </is>
      </c>
      <c r="E673" t="inlineStr">
        <is>
          <t>FINSPÅNG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14125-2026</t>
        </is>
      </c>
      <c r="B674" s="1" t="n">
        <v>46099</v>
      </c>
      <c r="C674" s="1" t="n">
        <v>46198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14078-2026</t>
        </is>
      </c>
      <c r="B675" s="1" t="n">
        <v>46099</v>
      </c>
      <c r="C675" s="1" t="n">
        <v>46198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14117-2026</t>
        </is>
      </c>
      <c r="B676" s="1" t="n">
        <v>46099</v>
      </c>
      <c r="C676" s="1" t="n">
        <v>46198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14131-2026</t>
        </is>
      </c>
      <c r="B677" s="1" t="n">
        <v>46099</v>
      </c>
      <c r="C677" s="1" t="n">
        <v>46198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6105-2023</t>
        </is>
      </c>
      <c r="B678" s="1" t="n">
        <v>44964</v>
      </c>
      <c r="C678" s="1" t="n">
        <v>46198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14064-2026</t>
        </is>
      </c>
      <c r="B679" s="1" t="n">
        <v>46099</v>
      </c>
      <c r="C679" s="1" t="n">
        <v>46198</v>
      </c>
      <c r="D679" t="inlineStr">
        <is>
          <t>ÖSTERGÖTLANDS LÄN</t>
        </is>
      </c>
      <c r="E679" t="inlineStr">
        <is>
          <t>FINSPÅNG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15490-2026</t>
        </is>
      </c>
      <c r="B680" s="1" t="n">
        <v>46106</v>
      </c>
      <c r="C680" s="1" t="n">
        <v>46198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18171-2024</t>
        </is>
      </c>
      <c r="B681" s="1" t="n">
        <v>45420</v>
      </c>
      <c r="C681" s="1" t="n">
        <v>46198</v>
      </c>
      <c r="D681" t="inlineStr">
        <is>
          <t>ÖSTERGÖTLANDS LÄN</t>
        </is>
      </c>
      <c r="E681" t="inlineStr">
        <is>
          <t>FINSPÅNG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43318-2022</t>
        </is>
      </c>
      <c r="B682" s="1" t="n">
        <v>44834</v>
      </c>
      <c r="C682" s="1" t="n">
        <v>46198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53944-2024</t>
        </is>
      </c>
      <c r="B683" s="1" t="n">
        <v>45616</v>
      </c>
      <c r="C683" s="1" t="n">
        <v>46198</v>
      </c>
      <c r="D683" t="inlineStr">
        <is>
          <t>ÖSTERGÖTLANDS LÄN</t>
        </is>
      </c>
      <c r="E683" t="inlineStr">
        <is>
          <t>FINSPÅNG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60038-2023</t>
        </is>
      </c>
      <c r="B684" s="1" t="n">
        <v>45258</v>
      </c>
      <c r="C684" s="1" t="n">
        <v>46198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50341-2022</t>
        </is>
      </c>
      <c r="B685" s="1" t="n">
        <v>44865</v>
      </c>
      <c r="C685" s="1" t="n">
        <v>46198</v>
      </c>
      <c r="D685" t="inlineStr">
        <is>
          <t>ÖSTERGÖTLANDS LÄN</t>
        </is>
      </c>
      <c r="E685" t="inlineStr">
        <is>
          <t>FINSPÅNG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4139-2023</t>
        </is>
      </c>
      <c r="B686" s="1" t="n">
        <v>44953</v>
      </c>
      <c r="C686" s="1" t="n">
        <v>46198</v>
      </c>
      <c r="D686" t="inlineStr">
        <is>
          <t>ÖSTERGÖTLANDS LÄN</t>
        </is>
      </c>
      <c r="E686" t="inlineStr">
        <is>
          <t>FINSPÅNG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42204-2023</t>
        </is>
      </c>
      <c r="B687" s="1" t="n">
        <v>45179</v>
      </c>
      <c r="C687" s="1" t="n">
        <v>46198</v>
      </c>
      <c r="D687" t="inlineStr">
        <is>
          <t>ÖSTERGÖTLANDS LÄN</t>
        </is>
      </c>
      <c r="E687" t="inlineStr">
        <is>
          <t>FINSPÅNG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54505-2024</t>
        </is>
      </c>
      <c r="B688" s="1" t="n">
        <v>45617</v>
      </c>
      <c r="C688" s="1" t="n">
        <v>46198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53610-2022</t>
        </is>
      </c>
      <c r="B689" s="1" t="n">
        <v>44879</v>
      </c>
      <c r="C689" s="1" t="n">
        <v>46198</v>
      </c>
      <c r="D689" t="inlineStr">
        <is>
          <t>ÖSTERGÖTLANDS LÄN</t>
        </is>
      </c>
      <c r="E689" t="inlineStr">
        <is>
          <t>FINSPÅNG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8924-2025</t>
        </is>
      </c>
      <c r="B690" s="1" t="n">
        <v>45713</v>
      </c>
      <c r="C690" s="1" t="n">
        <v>46198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13378-2025</t>
        </is>
      </c>
      <c r="B691" s="1" t="n">
        <v>45735</v>
      </c>
      <c r="C691" s="1" t="n">
        <v>46198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49677-2022</t>
        </is>
      </c>
      <c r="B692" s="1" t="n">
        <v>44862</v>
      </c>
      <c r="C692" s="1" t="n">
        <v>46198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9.6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16355-2026</t>
        </is>
      </c>
      <c r="B693" s="1" t="n">
        <v>46111</v>
      </c>
      <c r="C693" s="1" t="n">
        <v>46198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56309-2022</t>
        </is>
      </c>
      <c r="B694" s="1" t="n">
        <v>44887</v>
      </c>
      <c r="C694" s="1" t="n">
        <v>46198</v>
      </c>
      <c r="D694" t="inlineStr">
        <is>
          <t>ÖSTERGÖTLANDS LÄN</t>
        </is>
      </c>
      <c r="E694" t="inlineStr">
        <is>
          <t>FINSPÅNG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56264-2022</t>
        </is>
      </c>
      <c r="B695" s="1" t="n">
        <v>44887</v>
      </c>
      <c r="C695" s="1" t="n">
        <v>46198</v>
      </c>
      <c r="D695" t="inlineStr">
        <is>
          <t>ÖSTERGÖTLANDS LÄN</t>
        </is>
      </c>
      <c r="E695" t="inlineStr">
        <is>
          <t>FINSPÅNG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18657-2024</t>
        </is>
      </c>
      <c r="B696" s="1" t="n">
        <v>45426</v>
      </c>
      <c r="C696" s="1" t="n">
        <v>46198</v>
      </c>
      <c r="D696" t="inlineStr">
        <is>
          <t>ÖSTERGÖTLANDS LÄN</t>
        </is>
      </c>
      <c r="E696" t="inlineStr">
        <is>
          <t>FINSPÅNG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16849-2026</t>
        </is>
      </c>
      <c r="B697" s="1" t="n">
        <v>46113</v>
      </c>
      <c r="C697" s="1" t="n">
        <v>46198</v>
      </c>
      <c r="D697" t="inlineStr">
        <is>
          <t>ÖSTERGÖTLANDS LÄN</t>
        </is>
      </c>
      <c r="E697" t="inlineStr">
        <is>
          <t>FINSPÅNG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17068-2026</t>
        </is>
      </c>
      <c r="B698" s="1" t="n">
        <v>46114</v>
      </c>
      <c r="C698" s="1" t="n">
        <v>46198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16996-2026</t>
        </is>
      </c>
      <c r="B699" s="1" t="n">
        <v>46114</v>
      </c>
      <c r="C699" s="1" t="n">
        <v>46198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9339-2022</t>
        </is>
      </c>
      <c r="B700" s="1" t="n">
        <v>44616</v>
      </c>
      <c r="C700" s="1" t="n">
        <v>46198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17008-2026</t>
        </is>
      </c>
      <c r="B701" s="1" t="n">
        <v>46114</v>
      </c>
      <c r="C701" s="1" t="n">
        <v>46198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16902-2026</t>
        </is>
      </c>
      <c r="B702" s="1" t="n">
        <v>46113</v>
      </c>
      <c r="C702" s="1" t="n">
        <v>46198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3776-2023</t>
        </is>
      </c>
      <c r="B703" s="1" t="n">
        <v>44949</v>
      </c>
      <c r="C703" s="1" t="n">
        <v>46198</v>
      </c>
      <c r="D703" t="inlineStr">
        <is>
          <t>ÖSTERGÖTLANDS LÄN</t>
        </is>
      </c>
      <c r="E703" t="inlineStr">
        <is>
          <t>FINSPÅNG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11974-2023</t>
        </is>
      </c>
      <c r="B704" s="1" t="n">
        <v>44995</v>
      </c>
      <c r="C704" s="1" t="n">
        <v>46198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38613-2022</t>
        </is>
      </c>
      <c r="B705" s="1" t="n">
        <v>44813</v>
      </c>
      <c r="C705" s="1" t="n">
        <v>46198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22938-2026</t>
        </is>
      </c>
      <c r="B706" s="1" t="n">
        <v>46160</v>
      </c>
      <c r="C706" s="1" t="n">
        <v>46198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17545-2026</t>
        </is>
      </c>
      <c r="B707" s="1" t="n">
        <v>46120</v>
      </c>
      <c r="C707" s="1" t="n">
        <v>46198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17594-2026</t>
        </is>
      </c>
      <c r="B708" s="1" t="n">
        <v>46121</v>
      </c>
      <c r="C708" s="1" t="n">
        <v>46198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Sveaskog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17769-2026</t>
        </is>
      </c>
      <c r="B709" s="1" t="n">
        <v>46122</v>
      </c>
      <c r="C709" s="1" t="n">
        <v>46198</v>
      </c>
      <c r="D709" t="inlineStr">
        <is>
          <t>ÖSTERGÖTLANDS LÄN</t>
        </is>
      </c>
      <c r="E709" t="inlineStr">
        <is>
          <t>FINSPÅNG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34941-2023</t>
        </is>
      </c>
      <c r="B710" s="1" t="n">
        <v>45142</v>
      </c>
      <c r="C710" s="1" t="n">
        <v>46198</v>
      </c>
      <c r="D710" t="inlineStr">
        <is>
          <t>ÖSTERGÖTLANDS LÄN</t>
        </is>
      </c>
      <c r="E710" t="inlineStr">
        <is>
          <t>FINSPÅNG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9635-2025</t>
        </is>
      </c>
      <c r="B711" s="1" t="n">
        <v>45715</v>
      </c>
      <c r="C711" s="1" t="n">
        <v>46198</v>
      </c>
      <c r="D711" t="inlineStr">
        <is>
          <t>ÖSTERGÖTLANDS LÄN</t>
        </is>
      </c>
      <c r="E711" t="inlineStr">
        <is>
          <t>FINSPÅNG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14454-2022</t>
        </is>
      </c>
      <c r="B712" s="1" t="n">
        <v>44653</v>
      </c>
      <c r="C712" s="1" t="n">
        <v>46198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18086-2026</t>
        </is>
      </c>
      <c r="B713" s="1" t="n">
        <v>46125</v>
      </c>
      <c r="C713" s="1" t="n">
        <v>46198</v>
      </c>
      <c r="D713" t="inlineStr">
        <is>
          <t>ÖSTERGÖTLANDS LÄN</t>
        </is>
      </c>
      <c r="E713" t="inlineStr">
        <is>
          <t>FINSPÅNG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61114-2024</t>
        </is>
      </c>
      <c r="B714" s="1" t="n">
        <v>45645</v>
      </c>
      <c r="C714" s="1" t="n">
        <v>46198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48767-2024</t>
        </is>
      </c>
      <c r="B715" s="1" t="n">
        <v>45593</v>
      </c>
      <c r="C715" s="1" t="n">
        <v>46198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10420-2023</t>
        </is>
      </c>
      <c r="B716" s="1" t="n">
        <v>44987</v>
      </c>
      <c r="C716" s="1" t="n">
        <v>46198</v>
      </c>
      <c r="D716" t="inlineStr">
        <is>
          <t>ÖSTERGÖTLANDS LÄN</t>
        </is>
      </c>
      <c r="E716" t="inlineStr">
        <is>
          <t>FINSPÅNG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40410-2024</t>
        </is>
      </c>
      <c r="B717" s="1" t="n">
        <v>45555</v>
      </c>
      <c r="C717" s="1" t="n">
        <v>46198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59699-2024</t>
        </is>
      </c>
      <c r="B718" s="1" t="n">
        <v>45639</v>
      </c>
      <c r="C718" s="1" t="n">
        <v>46198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2741-2024</t>
        </is>
      </c>
      <c r="B719" s="1" t="n">
        <v>45314</v>
      </c>
      <c r="C719" s="1" t="n">
        <v>46198</v>
      </c>
      <c r="D719" t="inlineStr">
        <is>
          <t>ÖSTERGÖTLANDS LÄN</t>
        </is>
      </c>
      <c r="E719" t="inlineStr">
        <is>
          <t>FINSPÅNG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22579-2024</t>
        </is>
      </c>
      <c r="B720" s="1" t="n">
        <v>45447</v>
      </c>
      <c r="C720" s="1" t="n">
        <v>46198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46198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45410-2022</t>
        </is>
      </c>
      <c r="B722" s="1" t="n">
        <v>44844</v>
      </c>
      <c r="C722" s="1" t="n">
        <v>46198</v>
      </c>
      <c r="D722" t="inlineStr">
        <is>
          <t>ÖSTERGÖTLANDS LÄN</t>
        </is>
      </c>
      <c r="E722" t="inlineStr">
        <is>
          <t>FINSPÅNG</t>
        </is>
      </c>
      <c r="G722" t="n">
        <v>16.6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7788-2023</t>
        </is>
      </c>
      <c r="B723" s="1" t="n">
        <v>44973</v>
      </c>
      <c r="C723" s="1" t="n">
        <v>46198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23350-2023</t>
        </is>
      </c>
      <c r="B724" s="1" t="n">
        <v>45076</v>
      </c>
      <c r="C724" s="1" t="n">
        <v>46198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27892-2023</t>
        </is>
      </c>
      <c r="B725" s="1" t="n">
        <v>45095</v>
      </c>
      <c r="C725" s="1" t="n">
        <v>46198</v>
      </c>
      <c r="D725" t="inlineStr">
        <is>
          <t>ÖSTERGÖTLANDS LÄN</t>
        </is>
      </c>
      <c r="E725" t="inlineStr">
        <is>
          <t>FINSPÅNG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59672-2024</t>
        </is>
      </c>
      <c r="B726" s="1" t="n">
        <v>45639</v>
      </c>
      <c r="C726" s="1" t="n">
        <v>46198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18974-2026</t>
        </is>
      </c>
      <c r="B727" s="1" t="n">
        <v>46129</v>
      </c>
      <c r="C727" s="1" t="n">
        <v>46198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68122-2021</t>
        </is>
      </c>
      <c r="B728" s="1" t="n">
        <v>44526</v>
      </c>
      <c r="C728" s="1" t="n">
        <v>46198</v>
      </c>
      <c r="D728" t="inlineStr">
        <is>
          <t>ÖSTERGÖTLANDS LÄN</t>
        </is>
      </c>
      <c r="E728" t="inlineStr">
        <is>
          <t>FINSPÅNG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18725-2026</t>
        </is>
      </c>
      <c r="B729" s="1" t="n">
        <v>46128</v>
      </c>
      <c r="C729" s="1" t="n">
        <v>46198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62158-2022</t>
        </is>
      </c>
      <c r="B730" s="1" t="n">
        <v>44922</v>
      </c>
      <c r="C730" s="1" t="n">
        <v>46198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34758-2022</t>
        </is>
      </c>
      <c r="B731" s="1" t="n">
        <v>44795</v>
      </c>
      <c r="C731" s="1" t="n">
        <v>46198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Övriga Aktiebolag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61076-2023</t>
        </is>
      </c>
      <c r="B732" s="1" t="n">
        <v>45260</v>
      </c>
      <c r="C732" s="1" t="n">
        <v>46198</v>
      </c>
      <c r="D732" t="inlineStr">
        <is>
          <t>ÖSTERGÖTLANDS LÄN</t>
        </is>
      </c>
      <c r="E732" t="inlineStr">
        <is>
          <t>FINSPÅNG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59468-2021</t>
        </is>
      </c>
      <c r="B733" s="1" t="n">
        <v>44491</v>
      </c>
      <c r="C733" s="1" t="n">
        <v>46198</v>
      </c>
      <c r="D733" t="inlineStr">
        <is>
          <t>ÖSTERGÖTLANDS LÄN</t>
        </is>
      </c>
      <c r="E733" t="inlineStr">
        <is>
          <t>FINSPÅNG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24833-2026</t>
        </is>
      </c>
      <c r="B734" s="1" t="n">
        <v>46174</v>
      </c>
      <c r="C734" s="1" t="n">
        <v>46198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24835-2026</t>
        </is>
      </c>
      <c r="B735" s="1" t="n">
        <v>46174</v>
      </c>
      <c r="C735" s="1" t="n">
        <v>46198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18306-2023</t>
        </is>
      </c>
      <c r="B736" s="1" t="n">
        <v>45041</v>
      </c>
      <c r="C736" s="1" t="n">
        <v>46198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Naturvårdsverket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59838-2023</t>
        </is>
      </c>
      <c r="B737" s="1" t="n">
        <v>45257</v>
      </c>
      <c r="C737" s="1" t="n">
        <v>46198</v>
      </c>
      <c r="D737" t="inlineStr">
        <is>
          <t>ÖSTERGÖTLANDS LÄN</t>
        </is>
      </c>
      <c r="E737" t="inlineStr">
        <is>
          <t>FINSPÅNG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51610-2022</t>
        </is>
      </c>
      <c r="B738" s="1" t="n">
        <v>44871</v>
      </c>
      <c r="C738" s="1" t="n">
        <v>46198</v>
      </c>
      <c r="D738" t="inlineStr">
        <is>
          <t>ÖSTERGÖTLANDS LÄN</t>
        </is>
      </c>
      <c r="E738" t="inlineStr">
        <is>
          <t>FINSPÅNG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13826-2024</t>
        </is>
      </c>
      <c r="B739" s="1" t="n">
        <v>45391</v>
      </c>
      <c r="C739" s="1" t="n">
        <v>46198</v>
      </c>
      <c r="D739" t="inlineStr">
        <is>
          <t>ÖSTERGÖTLANDS LÄN</t>
        </is>
      </c>
      <c r="E739" t="inlineStr">
        <is>
          <t>FINSPÅNG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5336-2025</t>
        </is>
      </c>
      <c r="B740" s="1" t="n">
        <v>45692</v>
      </c>
      <c r="C740" s="1" t="n">
        <v>46198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22354-2023</t>
        </is>
      </c>
      <c r="B741" s="1" t="n">
        <v>45070</v>
      </c>
      <c r="C741" s="1" t="n">
        <v>46198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47224-2023</t>
        </is>
      </c>
      <c r="B742" s="1" t="n">
        <v>45202</v>
      </c>
      <c r="C742" s="1" t="n">
        <v>46198</v>
      </c>
      <c r="D742" t="inlineStr">
        <is>
          <t>ÖSTERGÖTLANDS LÄN</t>
        </is>
      </c>
      <c r="E742" t="inlineStr">
        <is>
          <t>FINSPÅNG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7826-2025</t>
        </is>
      </c>
      <c r="B743" s="1" t="n">
        <v>45706</v>
      </c>
      <c r="C743" s="1" t="n">
        <v>46198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6527-2023</t>
        </is>
      </c>
      <c r="B744" s="1" t="n">
        <v>44966</v>
      </c>
      <c r="C744" s="1" t="n">
        <v>46198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25629-2026</t>
        </is>
      </c>
      <c r="B745" s="1" t="n">
        <v>46177</v>
      </c>
      <c r="C745" s="1" t="n">
        <v>46198</v>
      </c>
      <c r="D745" t="inlineStr">
        <is>
          <t>ÖSTERGÖTLANDS LÄN</t>
        </is>
      </c>
      <c r="E745" t="inlineStr">
        <is>
          <t>FINSPÅNG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4071-2024</t>
        </is>
      </c>
      <c r="B746" s="1" t="n">
        <v>45323</v>
      </c>
      <c r="C746" s="1" t="n">
        <v>46198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6575-2024</t>
        </is>
      </c>
      <c r="B747" s="1" t="n">
        <v>45341</v>
      </c>
      <c r="C747" s="1" t="n">
        <v>46198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Övriga Aktiebolag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73260-2021</t>
        </is>
      </c>
      <c r="B748" s="1" t="n">
        <v>44550</v>
      </c>
      <c r="C748" s="1" t="n">
        <v>46198</v>
      </c>
      <c r="D748" t="inlineStr">
        <is>
          <t>ÖSTERGÖTLANDS LÄN</t>
        </is>
      </c>
      <c r="E748" t="inlineStr">
        <is>
          <t>FINSPÅNG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42705-2024</t>
        </is>
      </c>
      <c r="B749" s="1" t="n">
        <v>45566</v>
      </c>
      <c r="C749" s="1" t="n">
        <v>46198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42711-2024</t>
        </is>
      </c>
      <c r="B750" s="1" t="n">
        <v>45566</v>
      </c>
      <c r="C750" s="1" t="n">
        <v>46198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55612-2021</t>
        </is>
      </c>
      <c r="B751" s="1" t="n">
        <v>44476</v>
      </c>
      <c r="C751" s="1" t="n">
        <v>46198</v>
      </c>
      <c r="D751" t="inlineStr">
        <is>
          <t>ÖSTERGÖTLANDS LÄN</t>
        </is>
      </c>
      <c r="E751" t="inlineStr">
        <is>
          <t>FINSPÅNG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21517-2024</t>
        </is>
      </c>
      <c r="B752" s="1" t="n">
        <v>45441</v>
      </c>
      <c r="C752" s="1" t="n">
        <v>46198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11785-2024</t>
        </is>
      </c>
      <c r="B753" s="1" t="n">
        <v>45374</v>
      </c>
      <c r="C753" s="1" t="n">
        <v>46198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13821-2024</t>
        </is>
      </c>
      <c r="B754" s="1" t="n">
        <v>45391</v>
      </c>
      <c r="C754" s="1" t="n">
        <v>46198</v>
      </c>
      <c r="D754" t="inlineStr">
        <is>
          <t>ÖSTERGÖTLANDS LÄN</t>
        </is>
      </c>
      <c r="E754" t="inlineStr">
        <is>
          <t>FINSPÅNG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9418-2023</t>
        </is>
      </c>
      <c r="B755" s="1" t="n">
        <v>44981</v>
      </c>
      <c r="C755" s="1" t="n">
        <v>46198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17557-2022</t>
        </is>
      </c>
      <c r="B756" s="1" t="n">
        <v>44679</v>
      </c>
      <c r="C756" s="1" t="n">
        <v>46198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220-2024</t>
        </is>
      </c>
      <c r="B757" s="1" t="n">
        <v>45293</v>
      </c>
      <c r="C757" s="1" t="n">
        <v>46198</v>
      </c>
      <c r="D757" t="inlineStr">
        <is>
          <t>ÖSTERGÖTLANDS LÄN</t>
        </is>
      </c>
      <c r="E757" t="inlineStr">
        <is>
          <t>FINSPÅNG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40296-2024</t>
        </is>
      </c>
      <c r="B758" s="1" t="n">
        <v>45554</v>
      </c>
      <c r="C758" s="1" t="n">
        <v>46198</v>
      </c>
      <c r="D758" t="inlineStr">
        <is>
          <t>ÖSTERGÖTLANDS LÄN</t>
        </is>
      </c>
      <c r="E758" t="inlineStr">
        <is>
          <t>FINSPÅNG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49904-2023</t>
        </is>
      </c>
      <c r="B759" s="1" t="n">
        <v>45214</v>
      </c>
      <c r="C759" s="1" t="n">
        <v>46198</v>
      </c>
      <c r="D759" t="inlineStr">
        <is>
          <t>ÖSTERGÖTLANDS LÄN</t>
        </is>
      </c>
      <c r="E759" t="inlineStr">
        <is>
          <t>FINSPÅNG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32431-2023</t>
        </is>
      </c>
      <c r="B760" s="1" t="n">
        <v>45110</v>
      </c>
      <c r="C760" s="1" t="n">
        <v>46198</v>
      </c>
      <c r="D760" t="inlineStr">
        <is>
          <t>ÖSTERGÖTLANDS LÄN</t>
        </is>
      </c>
      <c r="E760" t="inlineStr">
        <is>
          <t>FINSPÅNG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306-2025</t>
        </is>
      </c>
      <c r="B761" s="1" t="n">
        <v>45660</v>
      </c>
      <c r="C761" s="1" t="n">
        <v>46198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13375-2025</t>
        </is>
      </c>
      <c r="B762" s="1" t="n">
        <v>45735</v>
      </c>
      <c r="C762" s="1" t="n">
        <v>46198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32795-2024</t>
        </is>
      </c>
      <c r="B763" s="1" t="n">
        <v>45516</v>
      </c>
      <c r="C763" s="1" t="n">
        <v>46198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Kommuner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6628-2023</t>
        </is>
      </c>
      <c r="B764" s="1" t="n">
        <v>44966</v>
      </c>
      <c r="C764" s="1" t="n">
        <v>46198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Övriga Aktiebolag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23821-2023</t>
        </is>
      </c>
      <c r="B765" s="1" t="n">
        <v>45078</v>
      </c>
      <c r="C765" s="1" t="n">
        <v>46198</v>
      </c>
      <c r="D765" t="inlineStr">
        <is>
          <t>ÖSTERGÖTLANDS LÄN</t>
        </is>
      </c>
      <c r="E765" t="inlineStr">
        <is>
          <t>FINSPÅNG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31025-2023</t>
        </is>
      </c>
      <c r="B766" s="1" t="n">
        <v>45113</v>
      </c>
      <c r="C766" s="1" t="n">
        <v>46198</v>
      </c>
      <c r="D766" t="inlineStr">
        <is>
          <t>ÖSTERGÖTLANDS LÄN</t>
        </is>
      </c>
      <c r="E766" t="inlineStr">
        <is>
          <t>FINSPÅNG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45311-2023</t>
        </is>
      </c>
      <c r="B767" s="1" t="n">
        <v>45191</v>
      </c>
      <c r="C767" s="1" t="n">
        <v>46198</v>
      </c>
      <c r="D767" t="inlineStr">
        <is>
          <t>ÖSTERGÖTLANDS LÄN</t>
        </is>
      </c>
      <c r="E767" t="inlineStr">
        <is>
          <t>FINSPÅNG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18488-2025</t>
        </is>
      </c>
      <c r="B768" s="1" t="n">
        <v>45763</v>
      </c>
      <c r="C768" s="1" t="n">
        <v>46198</v>
      </c>
      <c r="D768" t="inlineStr">
        <is>
          <t>ÖSTERGÖTLANDS LÄN</t>
        </is>
      </c>
      <c r="E768" t="inlineStr">
        <is>
          <t>FINSPÅNG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73655-2021</t>
        </is>
      </c>
      <c r="B769" s="1" t="n">
        <v>44551</v>
      </c>
      <c r="C769" s="1" t="n">
        <v>46198</v>
      </c>
      <c r="D769" t="inlineStr">
        <is>
          <t>ÖSTERGÖTLANDS LÄN</t>
        </is>
      </c>
      <c r="E769" t="inlineStr">
        <is>
          <t>FINSPÅNG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43051-2022</t>
        </is>
      </c>
      <c r="B770" s="1" t="n">
        <v>44833</v>
      </c>
      <c r="C770" s="1" t="n">
        <v>46198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28558-2023</t>
        </is>
      </c>
      <c r="B771" s="1" t="n">
        <v>45103</v>
      </c>
      <c r="C771" s="1" t="n">
        <v>46198</v>
      </c>
      <c r="D771" t="inlineStr">
        <is>
          <t>ÖSTERGÖTLANDS LÄN</t>
        </is>
      </c>
      <c r="E771" t="inlineStr">
        <is>
          <t>FINSPÅNG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54916-2024</t>
        </is>
      </c>
      <c r="B772" s="1" t="n">
        <v>45618</v>
      </c>
      <c r="C772" s="1" t="n">
        <v>46198</v>
      </c>
      <c r="D772" t="inlineStr">
        <is>
          <t>ÖSTERGÖTLANDS LÄN</t>
        </is>
      </c>
      <c r="E772" t="inlineStr">
        <is>
          <t>FINSPÅNG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59702-2024</t>
        </is>
      </c>
      <c r="B773" s="1" t="n">
        <v>45639</v>
      </c>
      <c r="C773" s="1" t="n">
        <v>46198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507-2024</t>
        </is>
      </c>
      <c r="B774" s="1" t="n">
        <v>45299</v>
      </c>
      <c r="C774" s="1" t="n">
        <v>46198</v>
      </c>
      <c r="D774" t="inlineStr">
        <is>
          <t>ÖSTERGÖTLANDS LÄN</t>
        </is>
      </c>
      <c r="E774" t="inlineStr">
        <is>
          <t>FINSPÅNG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1020-2024</t>
        </is>
      </c>
      <c r="B775" s="1" t="n">
        <v>45301</v>
      </c>
      <c r="C775" s="1" t="n">
        <v>46198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22714-2022</t>
        </is>
      </c>
      <c r="B776" s="1" t="n">
        <v>44714</v>
      </c>
      <c r="C776" s="1" t="n">
        <v>46198</v>
      </c>
      <c r="D776" t="inlineStr">
        <is>
          <t>ÖSTERGÖTLANDS LÄN</t>
        </is>
      </c>
      <c r="E776" t="inlineStr">
        <is>
          <t>FINSPÅNG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10215-2022</t>
        </is>
      </c>
      <c r="B777" s="1" t="n">
        <v>44622</v>
      </c>
      <c r="C777" s="1" t="n">
        <v>46198</v>
      </c>
      <c r="D777" t="inlineStr">
        <is>
          <t>ÖSTERGÖTLANDS LÄN</t>
        </is>
      </c>
      <c r="E777" t="inlineStr">
        <is>
          <t>FINSPÅNG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54299-2023</t>
        </is>
      </c>
      <c r="B778" s="1" t="n">
        <v>45232</v>
      </c>
      <c r="C778" s="1" t="n">
        <v>46198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56288-2022</t>
        </is>
      </c>
      <c r="B779" s="1" t="n">
        <v>44887</v>
      </c>
      <c r="C779" s="1" t="n">
        <v>46198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18356-2024</t>
        </is>
      </c>
      <c r="B780" s="1" t="n">
        <v>45422</v>
      </c>
      <c r="C780" s="1" t="n">
        <v>46198</v>
      </c>
      <c r="D780" t="inlineStr">
        <is>
          <t>ÖSTERGÖTLANDS LÄN</t>
        </is>
      </c>
      <c r="E780" t="inlineStr">
        <is>
          <t>FINSPÅNG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10206-2022</t>
        </is>
      </c>
      <c r="B781" s="1" t="n">
        <v>44622</v>
      </c>
      <c r="C781" s="1" t="n">
        <v>46198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45314-2023</t>
        </is>
      </c>
      <c r="B782" s="1" t="n">
        <v>45191</v>
      </c>
      <c r="C782" s="1" t="n">
        <v>46198</v>
      </c>
      <c r="D782" t="inlineStr">
        <is>
          <t>ÖSTERGÖTLANDS LÄN</t>
        </is>
      </c>
      <c r="E782" t="inlineStr">
        <is>
          <t>FINSPÅNG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5616-2022</t>
        </is>
      </c>
      <c r="B783" s="1" t="n">
        <v>44595</v>
      </c>
      <c r="C783" s="1" t="n">
        <v>46198</v>
      </c>
      <c r="D783" t="inlineStr">
        <is>
          <t>ÖSTERGÖTLANDS LÄN</t>
        </is>
      </c>
      <c r="E783" t="inlineStr">
        <is>
          <t>FINSPÅNG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4351-2022</t>
        </is>
      </c>
      <c r="B784" s="1" t="n">
        <v>44589</v>
      </c>
      <c r="C784" s="1" t="n">
        <v>46198</v>
      </c>
      <c r="D784" t="inlineStr">
        <is>
          <t>ÖSTERGÖTLANDS LÄN</t>
        </is>
      </c>
      <c r="E784" t="inlineStr">
        <is>
          <t>FINSPÅNG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2047-2024</t>
        </is>
      </c>
      <c r="B785" s="1" t="n">
        <v>45308</v>
      </c>
      <c r="C785" s="1" t="n">
        <v>46198</v>
      </c>
      <c r="D785" t="inlineStr">
        <is>
          <t>ÖSTERGÖTLANDS LÄN</t>
        </is>
      </c>
      <c r="E785" t="inlineStr">
        <is>
          <t>FINSPÅNG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62168-2022</t>
        </is>
      </c>
      <c r="B786" s="1" t="n">
        <v>44922</v>
      </c>
      <c r="C786" s="1" t="n">
        <v>46198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53670-2024</t>
        </is>
      </c>
      <c r="B787" s="1" t="n">
        <v>45615</v>
      </c>
      <c r="C787" s="1" t="n">
        <v>46198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36110-2023</t>
        </is>
      </c>
      <c r="B788" s="1" t="n">
        <v>45149</v>
      </c>
      <c r="C788" s="1" t="n">
        <v>46198</v>
      </c>
      <c r="D788" t="inlineStr">
        <is>
          <t>ÖSTERGÖTLANDS LÄN</t>
        </is>
      </c>
      <c r="E788" t="inlineStr">
        <is>
          <t>FINSPÅNG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43965-2024</t>
        </is>
      </c>
      <c r="B789" s="1" t="n">
        <v>45572</v>
      </c>
      <c r="C789" s="1" t="n">
        <v>46198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18349-2025</t>
        </is>
      </c>
      <c r="B790" s="1" t="n">
        <v>45762</v>
      </c>
      <c r="C790" s="1" t="n">
        <v>46198</v>
      </c>
      <c r="D790" t="inlineStr">
        <is>
          <t>ÖSTERGÖTLANDS LÄN</t>
        </is>
      </c>
      <c r="E790" t="inlineStr">
        <is>
          <t>FINSPÅNG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18370-2025</t>
        </is>
      </c>
      <c r="B791" s="1" t="n">
        <v>45762</v>
      </c>
      <c r="C791" s="1" t="n">
        <v>46198</v>
      </c>
      <c r="D791" t="inlineStr">
        <is>
          <t>ÖSTERGÖTLANDS LÄN</t>
        </is>
      </c>
      <c r="E791" t="inlineStr">
        <is>
          <t>FINSPÅNG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39358-2022</t>
        </is>
      </c>
      <c r="B792" s="1" t="n">
        <v>44817</v>
      </c>
      <c r="C792" s="1" t="n">
        <v>46198</v>
      </c>
      <c r="D792" t="inlineStr">
        <is>
          <t>ÖSTERGÖTLANDS LÄN</t>
        </is>
      </c>
      <c r="E792" t="inlineStr">
        <is>
          <t>FINSPÅNG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36191-2023</t>
        </is>
      </c>
      <c r="B793" s="1" t="n">
        <v>45149</v>
      </c>
      <c r="C793" s="1" t="n">
        <v>46198</v>
      </c>
      <c r="D793" t="inlineStr">
        <is>
          <t>ÖSTERGÖTLANDS LÄN</t>
        </is>
      </c>
      <c r="E793" t="inlineStr">
        <is>
          <t>FINSPÅNG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55457-2024</t>
        </is>
      </c>
      <c r="B794" s="1" t="n">
        <v>45622</v>
      </c>
      <c r="C794" s="1" t="n">
        <v>46198</v>
      </c>
      <c r="D794" t="inlineStr">
        <is>
          <t>ÖSTERGÖTLANDS LÄN</t>
        </is>
      </c>
      <c r="E794" t="inlineStr">
        <is>
          <t>FINSPÅNG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40065-2024</t>
        </is>
      </c>
      <c r="B795" s="1" t="n">
        <v>45554</v>
      </c>
      <c r="C795" s="1" t="n">
        <v>46198</v>
      </c>
      <c r="D795" t="inlineStr">
        <is>
          <t>ÖSTERGÖTLANDS LÄN</t>
        </is>
      </c>
      <c r="E795" t="inlineStr">
        <is>
          <t>FINSPÅNG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27698-2023</t>
        </is>
      </c>
      <c r="B796" s="1" t="n">
        <v>45095</v>
      </c>
      <c r="C796" s="1" t="n">
        <v>46198</v>
      </c>
      <c r="D796" t="inlineStr">
        <is>
          <t>ÖSTERGÖTLANDS LÄN</t>
        </is>
      </c>
      <c r="E796" t="inlineStr">
        <is>
          <t>FINSPÅNG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48691-2024</t>
        </is>
      </c>
      <c r="B797" s="1" t="n">
        <v>45593</v>
      </c>
      <c r="C797" s="1" t="n">
        <v>46198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63585-2023</t>
        </is>
      </c>
      <c r="B798" s="1" t="n">
        <v>45275</v>
      </c>
      <c r="C798" s="1" t="n">
        <v>46198</v>
      </c>
      <c r="D798" t="inlineStr">
        <is>
          <t>ÖSTERGÖTLANDS LÄN</t>
        </is>
      </c>
      <c r="E798" t="inlineStr">
        <is>
          <t>FINSPÅNG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189-2022</t>
        </is>
      </c>
      <c r="B799" s="1" t="n">
        <v>44564</v>
      </c>
      <c r="C799" s="1" t="n">
        <v>46198</v>
      </c>
      <c r="D799" t="inlineStr">
        <is>
          <t>ÖSTERGÖTLANDS LÄN</t>
        </is>
      </c>
      <c r="E799" t="inlineStr">
        <is>
          <t>FINSPÅNG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15129-2025</t>
        </is>
      </c>
      <c r="B800" s="1" t="n">
        <v>45744</v>
      </c>
      <c r="C800" s="1" t="n">
        <v>46198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Naturvårdsverket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16229-2024</t>
        </is>
      </c>
      <c r="B801" s="1" t="n">
        <v>45407</v>
      </c>
      <c r="C801" s="1" t="n">
        <v>46198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22586-2023</t>
        </is>
      </c>
      <c r="B802" s="1" t="n">
        <v>45071</v>
      </c>
      <c r="C802" s="1" t="n">
        <v>46198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47836-2021</t>
        </is>
      </c>
      <c r="B803" s="1" t="n">
        <v>44448</v>
      </c>
      <c r="C803" s="1" t="n">
        <v>46198</v>
      </c>
      <c r="D803" t="inlineStr">
        <is>
          <t>ÖSTERGÖTLANDS LÄN</t>
        </is>
      </c>
      <c r="E803" t="inlineStr">
        <is>
          <t>FINSPÅNG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59777-2023</t>
        </is>
      </c>
      <c r="B804" s="1" t="n">
        <v>45257</v>
      </c>
      <c r="C804" s="1" t="n">
        <v>46198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59827-2023</t>
        </is>
      </c>
      <c r="B805" s="1" t="n">
        <v>45257</v>
      </c>
      <c r="C805" s="1" t="n">
        <v>46198</v>
      </c>
      <c r="D805" t="inlineStr">
        <is>
          <t>ÖSTERGÖTLANDS LÄN</t>
        </is>
      </c>
      <c r="E805" t="inlineStr">
        <is>
          <t>FINSPÅNG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42682-2024</t>
        </is>
      </c>
      <c r="B806" s="1" t="n">
        <v>45566</v>
      </c>
      <c r="C806" s="1" t="n">
        <v>46198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42678-2024</t>
        </is>
      </c>
      <c r="B807" s="1" t="n">
        <v>45566</v>
      </c>
      <c r="C807" s="1" t="n">
        <v>46198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42699-2024</t>
        </is>
      </c>
      <c r="B808" s="1" t="n">
        <v>45566</v>
      </c>
      <c r="C808" s="1" t="n">
        <v>46198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13392-2025</t>
        </is>
      </c>
      <c r="B809" s="1" t="n">
        <v>45735</v>
      </c>
      <c r="C809" s="1" t="n">
        <v>46198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13457-2025</t>
        </is>
      </c>
      <c r="B810" s="1" t="n">
        <v>45736</v>
      </c>
      <c r="C810" s="1" t="n">
        <v>46198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60249-2024</t>
        </is>
      </c>
      <c r="B811" s="1" t="n">
        <v>45642</v>
      </c>
      <c r="C811" s="1" t="n">
        <v>46198</v>
      </c>
      <c r="D811" t="inlineStr">
        <is>
          <t>ÖSTERGÖTLANDS LÄN</t>
        </is>
      </c>
      <c r="E811" t="inlineStr">
        <is>
          <t>FINSPÅNG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35340-2024</t>
        </is>
      </c>
      <c r="B812" s="1" t="n">
        <v>45530</v>
      </c>
      <c r="C812" s="1" t="n">
        <v>46198</v>
      </c>
      <c r="D812" t="inlineStr">
        <is>
          <t>ÖSTERGÖTLANDS LÄN</t>
        </is>
      </c>
      <c r="E812" t="inlineStr">
        <is>
          <t>FINSPÅNG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35343-2024</t>
        </is>
      </c>
      <c r="B813" s="1" t="n">
        <v>45530</v>
      </c>
      <c r="C813" s="1" t="n">
        <v>46198</v>
      </c>
      <c r="D813" t="inlineStr">
        <is>
          <t>ÖSTERGÖTLANDS LÄN</t>
        </is>
      </c>
      <c r="E813" t="inlineStr">
        <is>
          <t>FINSPÅNG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11149-2024</t>
        </is>
      </c>
      <c r="B814" s="1" t="n">
        <v>45371</v>
      </c>
      <c r="C814" s="1" t="n">
        <v>46198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Kyrkan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11523-2025</t>
        </is>
      </c>
      <c r="B815" s="1" t="n">
        <v>45727</v>
      </c>
      <c r="C815" s="1" t="n">
        <v>46198</v>
      </c>
      <c r="D815" t="inlineStr">
        <is>
          <t>ÖSTERGÖTLANDS LÄN</t>
        </is>
      </c>
      <c r="E815" t="inlineStr">
        <is>
          <t>FINSPÅNG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62155-2023</t>
        </is>
      </c>
      <c r="B816" s="1" t="n">
        <v>45267</v>
      </c>
      <c r="C816" s="1" t="n">
        <v>46198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24328-2025</t>
        </is>
      </c>
      <c r="B817" s="1" t="n">
        <v>45797</v>
      </c>
      <c r="C817" s="1" t="n">
        <v>46198</v>
      </c>
      <c r="D817" t="inlineStr">
        <is>
          <t>ÖSTERGÖTLANDS LÄN</t>
        </is>
      </c>
      <c r="E817" t="inlineStr">
        <is>
          <t>FINSPÅNG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24363-2025</t>
        </is>
      </c>
      <c r="B818" s="1" t="n">
        <v>45797</v>
      </c>
      <c r="C818" s="1" t="n">
        <v>46198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24021-2025</t>
        </is>
      </c>
      <c r="B819" s="1" t="n">
        <v>45796</v>
      </c>
      <c r="C819" s="1" t="n">
        <v>46198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Naturvårdsverket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24310-2025</t>
        </is>
      </c>
      <c r="B820" s="1" t="n">
        <v>45797</v>
      </c>
      <c r="C820" s="1" t="n">
        <v>46198</v>
      </c>
      <c r="D820" t="inlineStr">
        <is>
          <t>ÖSTERGÖTLANDS LÄN</t>
        </is>
      </c>
      <c r="E820" t="inlineStr">
        <is>
          <t>FINSPÅNG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24009-2025</t>
        </is>
      </c>
      <c r="B821" s="1" t="n">
        <v>45796</v>
      </c>
      <c r="C821" s="1" t="n">
        <v>46198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Naturvårdsverket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7131-2025</t>
        </is>
      </c>
      <c r="B822" s="1" t="n">
        <v>45702</v>
      </c>
      <c r="C822" s="1" t="n">
        <v>46198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Övriga Aktiebolag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3169-2024</t>
        </is>
      </c>
      <c r="B823" s="1" t="n">
        <v>45316</v>
      </c>
      <c r="C823" s="1" t="n">
        <v>46198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Övriga Aktiebolag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25272-2025</t>
        </is>
      </c>
      <c r="B824" s="1" t="n">
        <v>45800</v>
      </c>
      <c r="C824" s="1" t="n">
        <v>46198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Naturvårdsverket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25306-2025</t>
        </is>
      </c>
      <c r="B825" s="1" t="n">
        <v>45800</v>
      </c>
      <c r="C825" s="1" t="n">
        <v>46198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Naturvårdsverket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25319-2025</t>
        </is>
      </c>
      <c r="B826" s="1" t="n">
        <v>45800</v>
      </c>
      <c r="C826" s="1" t="n">
        <v>46198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Naturvårdsverket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25342-2025</t>
        </is>
      </c>
      <c r="B827" s="1" t="n">
        <v>45800</v>
      </c>
      <c r="C827" s="1" t="n">
        <v>46198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Naturvårdsverket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27208-2025</t>
        </is>
      </c>
      <c r="B828" s="1" t="n">
        <v>45812</v>
      </c>
      <c r="C828" s="1" t="n">
        <v>46198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27258-2025</t>
        </is>
      </c>
      <c r="B829" s="1" t="n">
        <v>45812</v>
      </c>
      <c r="C829" s="1" t="n">
        <v>46198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27192-2025</t>
        </is>
      </c>
      <c r="B830" s="1" t="n">
        <v>45812</v>
      </c>
      <c r="C830" s="1" t="n">
        <v>46198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27879-2025</t>
        </is>
      </c>
      <c r="B831" s="1" t="n">
        <v>45817</v>
      </c>
      <c r="C831" s="1" t="n">
        <v>46198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27890-2025</t>
        </is>
      </c>
      <c r="B832" s="1" t="n">
        <v>45817</v>
      </c>
      <c r="C832" s="1" t="n">
        <v>46198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59701-2024</t>
        </is>
      </c>
      <c r="B833" s="1" t="n">
        <v>45639</v>
      </c>
      <c r="C833" s="1" t="n">
        <v>46198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28428-2025</t>
        </is>
      </c>
      <c r="B834" s="1" t="n">
        <v>45819</v>
      </c>
      <c r="C834" s="1" t="n">
        <v>46198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28491-2025</t>
        </is>
      </c>
      <c r="B835" s="1" t="n">
        <v>45819</v>
      </c>
      <c r="C835" s="1" t="n">
        <v>46198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28508-2025</t>
        </is>
      </c>
      <c r="B836" s="1" t="n">
        <v>45819</v>
      </c>
      <c r="C836" s="1" t="n">
        <v>46198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28792-2025</t>
        </is>
      </c>
      <c r="B837" s="1" t="n">
        <v>45820</v>
      </c>
      <c r="C837" s="1" t="n">
        <v>46198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29441-2025</t>
        </is>
      </c>
      <c r="B838" s="1" t="n">
        <v>45824</v>
      </c>
      <c r="C838" s="1" t="n">
        <v>46198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29419-2025</t>
        </is>
      </c>
      <c r="B839" s="1" t="n">
        <v>45824</v>
      </c>
      <c r="C839" s="1" t="n">
        <v>46198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29454-2025</t>
        </is>
      </c>
      <c r="B840" s="1" t="n">
        <v>45824</v>
      </c>
      <c r="C840" s="1" t="n">
        <v>46198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29430-2025</t>
        </is>
      </c>
      <c r="B841" s="1" t="n">
        <v>45824</v>
      </c>
      <c r="C841" s="1" t="n">
        <v>46198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32246-2025</t>
        </is>
      </c>
      <c r="B842" s="1" t="n">
        <v>45835</v>
      </c>
      <c r="C842" s="1" t="n">
        <v>46198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33159-2025</t>
        </is>
      </c>
      <c r="B843" s="1" t="n">
        <v>45840</v>
      </c>
      <c r="C843" s="1" t="n">
        <v>46198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34172-2025</t>
        </is>
      </c>
      <c r="B844" s="1" t="n">
        <v>45845</v>
      </c>
      <c r="C844" s="1" t="n">
        <v>46198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34309-2025</t>
        </is>
      </c>
      <c r="B845" s="1" t="n">
        <v>45846</v>
      </c>
      <c r="C845" s="1" t="n">
        <v>46198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20831-2025</t>
        </is>
      </c>
      <c r="B846" s="1" t="n">
        <v>45776</v>
      </c>
      <c r="C846" s="1" t="n">
        <v>46198</v>
      </c>
      <c r="D846" t="inlineStr">
        <is>
          <t>ÖSTERGÖTLANDS LÄN</t>
        </is>
      </c>
      <c r="E846" t="inlineStr">
        <is>
          <t>FINSPÅNG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35375-2025</t>
        </is>
      </c>
      <c r="B847" s="1" t="n">
        <v>45854</v>
      </c>
      <c r="C847" s="1" t="n">
        <v>46198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35374-2025</t>
        </is>
      </c>
      <c r="B848" s="1" t="n">
        <v>45854</v>
      </c>
      <c r="C848" s="1" t="n">
        <v>46198</v>
      </c>
      <c r="D848" t="inlineStr">
        <is>
          <t>ÖSTERGÖTLANDS LÄN</t>
        </is>
      </c>
      <c r="E848" t="inlineStr">
        <is>
          <t>FINSPÅNG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35279-2025</t>
        </is>
      </c>
      <c r="B849" s="1" t="n">
        <v>45853</v>
      </c>
      <c r="C849" s="1" t="n">
        <v>46198</v>
      </c>
      <c r="D849" t="inlineStr">
        <is>
          <t>ÖSTERGÖTLANDS LÄN</t>
        </is>
      </c>
      <c r="E849" t="inlineStr">
        <is>
          <t>FINSPÅNG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35492-2025</t>
        </is>
      </c>
      <c r="B850" s="1" t="n">
        <v>45855</v>
      </c>
      <c r="C850" s="1" t="n">
        <v>46198</v>
      </c>
      <c r="D850" t="inlineStr">
        <is>
          <t>ÖSTERGÖTLANDS LÄN</t>
        </is>
      </c>
      <c r="E850" t="inlineStr">
        <is>
          <t>FINSPÅNG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33997-2024</t>
        </is>
      </c>
      <c r="B851" s="1" t="n">
        <v>45523</v>
      </c>
      <c r="C851" s="1" t="n">
        <v>46198</v>
      </c>
      <c r="D851" t="inlineStr">
        <is>
          <t>ÖSTERGÖTLANDS LÄN</t>
        </is>
      </c>
      <c r="E851" t="inlineStr">
        <is>
          <t>FINSPÅNG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35970-2025</t>
        </is>
      </c>
      <c r="B852" s="1" t="n">
        <v>45863</v>
      </c>
      <c r="C852" s="1" t="n">
        <v>46198</v>
      </c>
      <c r="D852" t="inlineStr">
        <is>
          <t>ÖSTERGÖTLANDS LÄN</t>
        </is>
      </c>
      <c r="E852" t="inlineStr">
        <is>
          <t>FINSPÅNG</t>
        </is>
      </c>
      <c r="G852" t="n">
        <v>22.6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31043-2025</t>
        </is>
      </c>
      <c r="B853" s="1" t="n">
        <v>45831</v>
      </c>
      <c r="C853" s="1" t="n">
        <v>46198</v>
      </c>
      <c r="D853" t="inlineStr">
        <is>
          <t>ÖSTERGÖTLANDS LÄN</t>
        </is>
      </c>
      <c r="E853" t="inlineStr">
        <is>
          <t>FINSPÅNG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2026-06-25T00:44:15Z</dcterms:created>
  <dcterms:modified xmlns:dcterms="http://purl.org/dc/terms/" xmlns:xsi="http://www.w3.org/2001/XMLSchema-instance" xsi:type="dcterms:W3CDTF">2026-06-25T00:44:16Z</dcterms:modified>
</cp:coreProperties>
</file>