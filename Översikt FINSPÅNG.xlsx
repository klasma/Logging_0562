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46251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46251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46251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18262-2024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45421</v>
      </c>
      <c r="E16" s="1" t="n">
        <v>46251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3.4</v>
      </c>
      <c r="J16" t="n">
        <v>1</v>
      </c>
      <c r="K16" t="n">
        <v>5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Tallticka
Björksplintborre
Flagellkvastmossa
Kornknutmossa
Mindre märgborre
Stor revmossa
Tjäder</t>
        </is>
      </c>
      <c r="W16">
        <f>HYPERLINK("https://klasma.github.io/Logging_0562/artfynd/A 18262-2024 artfynd.xlsx", "A 18262-2024")</f>
        <v/>
      </c>
      <c r="X16">
        <f>HYPERLINK("https://klasma.github.io/Logging_0562/kartor/A 18262-2024 karta.png", "A 18262-2024")</f>
        <v/>
      </c>
      <c r="Y16">
        <f>HYPERLINK("https://klasma.github.io/Logging_0562/kartor_geotiff/A 18262-2024 georefererad karta.tif", "A 18262-2024")</f>
        <v/>
      </c>
      <c r="AA16">
        <f>HYPERLINK("https://klasma.github.io/Logging_0562/klagomål/A 18262-2024 FSC-klagomål.docx", "A 18262-2024")</f>
        <v/>
      </c>
      <c r="AB16">
        <f>HYPERLINK("https://klasma.github.io/Logging_0562/klagomålsmail/A 18262-2024 FSC-klagomål mail.docx", "A 18262-2024")</f>
        <v/>
      </c>
      <c r="AC16">
        <f>HYPERLINK("https://klasma.github.io/Logging_0562/tillsyn/A 18262-2024 tillsynsbegäran.docx", "A 18262-2024")</f>
        <v/>
      </c>
      <c r="AD16">
        <f>HYPERLINK("https://klasma.github.io/Logging_0562/tillsynsmail/A 18262-2024 tillsynsbegäran mail.docx", "A 18262-2024")</f>
        <v/>
      </c>
      <c r="AE16">
        <f>HYPERLINK("https://klasma.github.io/Logging_0562/fåglar/A 18262-2024 prioriterade fågelarter.docx", "A 18262-2024")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46251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41742-2021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44425</v>
      </c>
      <c r="E21" s="1" t="n">
        <v>46251</v>
      </c>
      <c r="F21" t="inlineStr">
        <is>
          <t>ÖSTERGÖTLANDS LÄN</t>
        </is>
      </c>
      <c r="G21" t="inlineStr">
        <is>
          <t>FINSPÅNG</t>
        </is>
      </c>
      <c r="I21" t="n">
        <v>6</v>
      </c>
      <c r="J21" t="n">
        <v>5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5</v>
      </c>
      <c r="T21" t="n">
        <v>9</v>
      </c>
      <c r="U21" t="n">
        <v>9</v>
      </c>
      <c r="V21" s="2" t="inlineStr">
        <is>
          <t>Hasselsnok
Sandödla
Kopparödla
Skogsödla
Vanlig padda</t>
        </is>
      </c>
      <c r="W21">
        <f>HYPERLINK("https://klasma.github.io/Logging_0562/artfynd/A 41742-2021 artfynd.xlsx", "A 41742-2021")</f>
        <v/>
      </c>
      <c r="X21">
        <f>HYPERLINK("https://klasma.github.io/Logging_0562/kartor/A 41742-2021 karta.png", "A 41742-2021")</f>
        <v/>
      </c>
      <c r="Y21">
        <f>HYPERLINK("https://klasma.github.io/Logging_0562/kartor_geotiff/A 41742-2021 georefererad karta.tif", "A 41742-2021")</f>
        <v/>
      </c>
      <c r="AA21">
        <f>HYPERLINK("https://klasma.github.io/Logging_0562/klagomål/A 41742-2021 FSC-klagomål.docx", "A 41742-2021")</f>
        <v/>
      </c>
      <c r="AB21">
        <f>HYPERLINK("https://klasma.github.io/Logging_0562/klagomålsmail/A 41742-2021 FSC-klagomål mail.docx", "A 41742-2021")</f>
        <v/>
      </c>
      <c r="AC21">
        <f>HYPERLINK("https://klasma.github.io/Logging_0562/tillsyn/A 41742-2021 tillsynsbegäran.docx", "A 41742-2021")</f>
        <v/>
      </c>
      <c r="AD21">
        <f>HYPERLINK("https://klasma.github.io/Logging_0562/tillsynsmail/A 41742-2021 tillsynsbegäran mail.docx", "A 41742-2021")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46251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27354-2025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2.8</v>
      </c>
      <c r="J23" t="n">
        <v>1</v>
      </c>
      <c r="K23" t="n">
        <v>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6</v>
      </c>
      <c r="U23" t="n">
        <v>0</v>
      </c>
      <c r="V23" s="2" t="inlineStr">
        <is>
          <t>Aspvedgnagare
Barkticka
Fällmossa
Rävticka
Blåsippa</t>
        </is>
      </c>
      <c r="W23">
        <f>HYPERLINK("https://klasma.github.io/Logging_0562/artfynd/A 27354-2025 artfynd.xlsx", "A 27354-2025")</f>
        <v/>
      </c>
      <c r="X23">
        <f>HYPERLINK("https://klasma.github.io/Logging_0562/kartor/A 27354-2025 karta.png", "A 27354-2025")</f>
        <v/>
      </c>
      <c r="Y23">
        <f>HYPERLINK("https://klasma.github.io/Logging_0562/kartor_geotiff/A 27354-2025 georefererad karta.tif", "A 27354-2025")</f>
        <v/>
      </c>
      <c r="AA23">
        <f>HYPERLINK("https://klasma.github.io/Logging_0562/klagomål/A 27354-2025 FSC-klagomål.docx", "A 27354-2025")</f>
        <v/>
      </c>
      <c r="AB23">
        <f>HYPERLINK("https://klasma.github.io/Logging_0562/klagomålsmail/A 27354-2025 FSC-klagomål mail.docx", "A 27354-2025")</f>
        <v/>
      </c>
      <c r="AC23">
        <f>HYPERLINK("https://klasma.github.io/Logging_0562/tillsyn/A 27354-2025 tillsynsbegäran.docx", "A 27354-2025")</f>
        <v/>
      </c>
      <c r="AD23">
        <f>HYPERLINK("https://klasma.github.io/Logging_0562/tillsynsmail/A 27354-2025 tillsynsbegäran mail.docx", "A 27354-2025")</f>
        <v/>
      </c>
    </row>
    <row r="24" ht="15" customHeight="1">
      <c r="A24" t="inlineStr">
        <is>
          <t>A 16106-2022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44665</v>
      </c>
      <c r="E24" s="1" t="n">
        <v>46251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Övriga Aktiebolag</t>
        </is>
      </c>
      <c r="I24" t="n">
        <v>5.6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4</v>
      </c>
      <c r="U24" t="n">
        <v>1</v>
      </c>
      <c r="V24" s="2" t="inlineStr">
        <is>
          <t>Raggbock
Tallticka
Vedskivlav
Revlummer</t>
        </is>
      </c>
      <c r="W24">
        <f>HYPERLINK("https://klasma.github.io/Logging_0562/artfynd/A 16106-2022 artfynd.xlsx", "A 16106-2022")</f>
        <v/>
      </c>
      <c r="X24">
        <f>HYPERLINK("https://klasma.github.io/Logging_0562/kartor/A 16106-2022 karta.png", "A 16106-2022")</f>
        <v/>
      </c>
      <c r="Y24">
        <f>HYPERLINK("https://klasma.github.io/Logging_0562/kartor_geotiff/A 16106-2022 georefererad karta.tif", "A 16106-2022")</f>
        <v/>
      </c>
      <c r="AA24">
        <f>HYPERLINK("https://klasma.github.io/Logging_0562/klagomål/A 16106-2022 FSC-klagomål.docx", "A 16106-2022")</f>
        <v/>
      </c>
      <c r="AB24">
        <f>HYPERLINK("https://klasma.github.io/Logging_0562/klagomålsmail/A 16106-2022 FSC-klagomål mail.docx", "A 16106-2022")</f>
        <v/>
      </c>
      <c r="AC24">
        <f>HYPERLINK("https://klasma.github.io/Logging_0562/tillsyn/A 16106-2022 tillsynsbegäran.docx", "A 16106-2022")</f>
        <v/>
      </c>
      <c r="AD24">
        <f>HYPERLINK("https://klasma.github.io/Logging_0562/tillsynsmail/A 16106-2022 tillsynsbegäran mail.docx", "A 16106-2022")</f>
        <v/>
      </c>
    </row>
    <row r="25" ht="15" customHeight="1">
      <c r="A25" t="inlineStr">
        <is>
          <t>A 3617-2025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45681</v>
      </c>
      <c r="E25" s="1" t="n">
        <v>46251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6.7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6</v>
      </c>
      <c r="V25" s="2" t="inlineStr">
        <is>
          <t>Vedskivlav
Blåmossa
Flagellkvastmossa
Tjäder</t>
        </is>
      </c>
      <c r="W25">
        <f>HYPERLINK("https://klasma.github.io/Logging_0562/artfynd/A 3617-2025 artfynd.xlsx", "A 3617-2025")</f>
        <v/>
      </c>
      <c r="X25">
        <f>HYPERLINK("https://klasma.github.io/Logging_0562/kartor/A 3617-2025 karta.png", "A 3617-2025")</f>
        <v/>
      </c>
      <c r="Y25">
        <f>HYPERLINK("https://klasma.github.io/Logging_0562/kartor_geotiff/A 3617-2025 georefererad karta.tif", "A 3617-2025")</f>
        <v/>
      </c>
      <c r="AA25">
        <f>HYPERLINK("https://klasma.github.io/Logging_0562/klagomål/A 3617-2025 FSC-klagomål.docx", "A 3617-2025")</f>
        <v/>
      </c>
      <c r="AB25">
        <f>HYPERLINK("https://klasma.github.io/Logging_0562/klagomålsmail/A 3617-2025 FSC-klagomål mail.docx", "A 3617-2025")</f>
        <v/>
      </c>
      <c r="AC25">
        <f>HYPERLINK("https://klasma.github.io/Logging_0562/tillsyn/A 3617-2025 tillsynsbegäran.docx", "A 3617-2025")</f>
        <v/>
      </c>
      <c r="AD25">
        <f>HYPERLINK("https://klasma.github.io/Logging_0562/tillsynsmail/A 3617-2025 tillsynsbegäran mail.docx", "A 3617-2025")</f>
        <v/>
      </c>
      <c r="AE25">
        <f>HYPERLINK("https://klasma.github.io/Logging_0562/fåglar/A 3617-2025 prioriterade fågelarter.docx", "A 3617-2025")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46251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46251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46251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46251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28382-2026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46196</v>
      </c>
      <c r="E31" s="1" t="n">
        <v>46251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Kommuner</t>
        </is>
      </c>
      <c r="I31" t="n">
        <v>2.4</v>
      </c>
      <c r="J31" t="n">
        <v>0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Mindre bastardsvärmare
Noshornsoxe
Svart trolldruva</t>
        </is>
      </c>
      <c r="W31">
        <f>HYPERLINK("https://klasma.github.io/Logging_0562/artfynd/A 28382-2026 artfynd.xlsx", "A 28382-2026")</f>
        <v/>
      </c>
      <c r="X31">
        <f>HYPERLINK("https://klasma.github.io/Logging_0562/kartor/A 28382-2026 karta.png", "A 28382-2026")</f>
        <v/>
      </c>
      <c r="Y31">
        <f>HYPERLINK("https://klasma.github.io/Logging_0562/kartor_geotiff/A 28382-2026 georefererad karta.tif", "A 28382-2026")</f>
        <v/>
      </c>
      <c r="AA31">
        <f>HYPERLINK("https://klasma.github.io/Logging_0562/klagomål/A 28382-2026 FSC-klagomål.docx", "A 28382-2026")</f>
        <v/>
      </c>
      <c r="AB31">
        <f>HYPERLINK("https://klasma.github.io/Logging_0562/klagomålsmail/A 28382-2026 FSC-klagomål mail.docx", "A 28382-2026")</f>
        <v/>
      </c>
      <c r="AC31">
        <f>HYPERLINK("https://klasma.github.io/Logging_0562/tillsyn/A 28382-2026 tillsynsbegäran.docx", "A 28382-2026")</f>
        <v/>
      </c>
      <c r="AD31">
        <f>HYPERLINK("https://klasma.github.io/Logging_0562/tillsynsmail/A 28382-2026 tillsynsbegäran mail.docx", "A 28382-2026")</f>
        <v/>
      </c>
    </row>
    <row r="32" ht="15" customHeight="1">
      <c r="A32" t="inlineStr">
        <is>
          <t>A 18935-2022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44690</v>
      </c>
      <c r="E32" s="1" t="n">
        <v>46251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1.5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Gullklöver
Skogsklocka</t>
        </is>
      </c>
      <c r="W32">
        <f>HYPERLINK("https://klasma.github.io/Logging_0562/artfynd/A 18935-2022 artfynd.xlsx", "A 18935-2022")</f>
        <v/>
      </c>
      <c r="X32">
        <f>HYPERLINK("https://klasma.github.io/Logging_0562/kartor/A 18935-2022 karta.png", "A 18935-2022")</f>
        <v/>
      </c>
      <c r="Y32">
        <f>HYPERLINK("https://klasma.github.io/Logging_0562/kartor_geotiff/A 18935-2022 georefererad karta.tif", "A 18935-2022")</f>
        <v/>
      </c>
      <c r="AA32">
        <f>HYPERLINK("https://klasma.github.io/Logging_0562/klagomål/A 18935-2022 FSC-klagomål.docx", "A 18935-2022")</f>
        <v/>
      </c>
      <c r="AB32">
        <f>HYPERLINK("https://klasma.github.io/Logging_0562/klagomålsmail/A 18935-2022 FSC-klagomål mail.docx", "A 18935-2022")</f>
        <v/>
      </c>
      <c r="AC32">
        <f>HYPERLINK("https://klasma.github.io/Logging_0562/tillsyn/A 18935-2022 tillsynsbegäran.docx", "A 18935-2022")</f>
        <v/>
      </c>
      <c r="AD32">
        <f>HYPERLINK("https://klasma.github.io/Logging_0562/tillsynsmail/A 18935-2022 tillsynsbegäran mail.docx", "A 18935-2022")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46251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46251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46251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38963-2022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44816</v>
      </c>
      <c r="E37" s="1" t="n">
        <v>46251</v>
      </c>
      <c r="F37" t="inlineStr">
        <is>
          <t>ÖSTERGÖTLANDS LÄN</t>
        </is>
      </c>
      <c r="G37" t="inlineStr">
        <is>
          <t>FINSPÅNG</t>
        </is>
      </c>
      <c r="I37" t="n">
        <v>3.1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Gullklöver
Grönvit nattviol</t>
        </is>
      </c>
      <c r="W37">
        <f>HYPERLINK("https://klasma.github.io/Logging_0562/artfynd/A 38963-2022 artfynd.xlsx", "A 38963-2022")</f>
        <v/>
      </c>
      <c r="X37">
        <f>HYPERLINK("https://klasma.github.io/Logging_0562/kartor/A 38963-2022 karta.png", "A 38963-2022")</f>
        <v/>
      </c>
      <c r="Y37">
        <f>HYPERLINK("https://klasma.github.io/Logging_0562/kartor_geotiff/A 38963-2022 georefererad karta.tif", "A 38963-2022")</f>
        <v/>
      </c>
      <c r="AA37">
        <f>HYPERLINK("https://klasma.github.io/Logging_0562/klagomål/A 38963-2022 FSC-klagomål.docx", "A 38963-2022")</f>
        <v/>
      </c>
      <c r="AB37">
        <f>HYPERLINK("https://klasma.github.io/Logging_0562/klagomålsmail/A 38963-2022 FSC-klagomål mail.docx", "A 38963-2022")</f>
        <v/>
      </c>
      <c r="AC37">
        <f>HYPERLINK("https://klasma.github.io/Logging_0562/tillsyn/A 38963-2022 tillsynsbegäran.docx", "A 38963-2022")</f>
        <v/>
      </c>
      <c r="AD37">
        <f>HYPERLINK("https://klasma.github.io/Logging_0562/tillsynsmail/A 38963-2022 tillsynsbegäran mail.docx", "A 38963-2022")</f>
        <v/>
      </c>
    </row>
    <row r="38" ht="15" customHeight="1">
      <c r="A38" t="inlineStr">
        <is>
          <t>A 54654-2023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45235</v>
      </c>
      <c r="E38" s="1" t="n">
        <v>46251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Bronshjon</t>
        </is>
      </c>
      <c r="W38">
        <f>HYPERLINK("https://klasma.github.io/Logging_0562/artfynd/A 54654-2023 artfynd.xlsx", "A 54654-2023")</f>
        <v/>
      </c>
      <c r="X38">
        <f>HYPERLINK("https://klasma.github.io/Logging_0562/kartor/A 54654-2023 karta.png", "A 54654-2023")</f>
        <v/>
      </c>
      <c r="Y38">
        <f>HYPERLINK("https://klasma.github.io/Logging_0562/kartor_geotiff/A 54654-2023 georefererad karta.tif", "A 54654-2023")</f>
        <v/>
      </c>
      <c r="AA38">
        <f>HYPERLINK("https://klasma.github.io/Logging_0562/klagomål/A 54654-2023 FSC-klagomål.docx", "A 54654-2023")</f>
        <v/>
      </c>
      <c r="AB38">
        <f>HYPERLINK("https://klasma.github.io/Logging_0562/klagomålsmail/A 54654-2023 FSC-klagomål mail.docx", "A 54654-2023")</f>
        <v/>
      </c>
      <c r="AC38">
        <f>HYPERLINK("https://klasma.github.io/Logging_0562/tillsyn/A 54654-2023 tillsynsbegäran.docx", "A 54654-2023")</f>
        <v/>
      </c>
      <c r="AD38">
        <f>HYPERLINK("https://klasma.github.io/Logging_0562/tillsynsmail/A 54654-2023 tillsynsbegäran mail.docx", "A 54654-2023")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46251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60890-2024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46251</v>
      </c>
      <c r="F40" t="inlineStr">
        <is>
          <t>ÖSTERGÖTLANDS LÄN</t>
        </is>
      </c>
      <c r="G40" t="inlineStr">
        <is>
          <t>FINSPÅNG</t>
        </is>
      </c>
      <c r="I40" t="n">
        <v>2.2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Fläcknycklar
Grönvit nattviol</t>
        </is>
      </c>
      <c r="W40">
        <f>HYPERLINK("https://klasma.github.io/Logging_0562/artfynd/A 60890-2024 artfynd.xlsx", "A 60890-2024")</f>
        <v/>
      </c>
      <c r="X40">
        <f>HYPERLINK("https://klasma.github.io/Logging_0562/kartor/A 60890-2024 karta.png", "A 60890-2024")</f>
        <v/>
      </c>
      <c r="Y40">
        <f>HYPERLINK("https://klasma.github.io/Logging_0562/kartor_geotiff/A 60890-2024 georefererad karta.tif", "A 60890-2024")</f>
        <v/>
      </c>
      <c r="AA40">
        <f>HYPERLINK("https://klasma.github.io/Logging_0562/klagomål/A 60890-2024 FSC-klagomål.docx", "A 60890-2024")</f>
        <v/>
      </c>
      <c r="AB40">
        <f>HYPERLINK("https://klasma.github.io/Logging_0562/klagomålsmail/A 60890-2024 FSC-klagomål mail.docx", "A 60890-2024")</f>
        <v/>
      </c>
      <c r="AC40">
        <f>HYPERLINK("https://klasma.github.io/Logging_0562/tillsyn/A 60890-2024 tillsynsbegäran.docx", "A 60890-2024")</f>
        <v/>
      </c>
      <c r="AD40">
        <f>HYPERLINK("https://klasma.github.io/Logging_0562/tillsynsmail/A 60890-2024 tillsynsbegäran mail.docx", "A 60890-2024")</f>
        <v/>
      </c>
    </row>
    <row r="41" ht="15" customHeight="1">
      <c r="A41" t="inlineStr">
        <is>
          <t>A 58806-2022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46251</v>
      </c>
      <c r="F41" t="inlineStr">
        <is>
          <t>ÖSTERGÖTLANDS LÄN</t>
        </is>
      </c>
      <c r="G41" t="inlineStr">
        <is>
          <t>FINSPÅNG</t>
        </is>
      </c>
      <c r="I41" t="n">
        <v>3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Flagellkvastmossa</t>
        </is>
      </c>
      <c r="W41">
        <f>HYPERLINK("https://klasma.github.io/Logging_0562/artfynd/A 58806-2022 artfynd.xlsx", "A 58806-2022")</f>
        <v/>
      </c>
      <c r="X41">
        <f>HYPERLINK("https://klasma.github.io/Logging_0562/kartor/A 58806-2022 karta.png", "A 58806-2022")</f>
        <v/>
      </c>
      <c r="Y41">
        <f>HYPERLINK("https://klasma.github.io/Logging_0562/kartor_geotiff/A 58806-2022 georefererad karta.tif", "A 58806-2022")</f>
        <v/>
      </c>
      <c r="Z41">
        <f>HYPERLINK("https://klasma.github.io/Logging_0562/knärot/A 58806-2022 karta knärot.png", "A 58806-2022")</f>
        <v/>
      </c>
      <c r="AA41">
        <f>HYPERLINK("https://klasma.github.io/Logging_0562/klagomål/A 58806-2022 FSC-klagomål.docx", "A 58806-2022")</f>
        <v/>
      </c>
      <c r="AB41">
        <f>HYPERLINK("https://klasma.github.io/Logging_0562/klagomålsmail/A 58806-2022 FSC-klagomål mail.docx", "A 58806-2022")</f>
        <v/>
      </c>
      <c r="AC41">
        <f>HYPERLINK("https://klasma.github.io/Logging_0562/tillsyn/A 58806-2022 tillsynsbegäran.docx", "A 58806-2022")</f>
        <v/>
      </c>
      <c r="AD41">
        <f>HYPERLINK("https://klasma.github.io/Logging_0562/tillsynsmail/A 58806-2022 tillsynsbegäran mail.docx", "A 58806-2022")</f>
        <v/>
      </c>
    </row>
    <row r="42" ht="15" customHeight="1">
      <c r="A42" t="inlineStr">
        <is>
          <t>A 9412-2023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46251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0.5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Bronshjon
Fläcknycklar</t>
        </is>
      </c>
      <c r="W42">
        <f>HYPERLINK("https://klasma.github.io/Logging_0562/artfynd/A 9412-2023 artfynd.xlsx", "A 9412-2023")</f>
        <v/>
      </c>
      <c r="X42">
        <f>HYPERLINK("https://klasma.github.io/Logging_0562/kartor/A 9412-2023 karta.png", "A 9412-2023")</f>
        <v/>
      </c>
      <c r="Y42">
        <f>HYPERLINK("https://klasma.github.io/Logging_0562/kartor_geotiff/A 9412-2023 georefererad karta.tif", "A 9412-2023")</f>
        <v/>
      </c>
      <c r="AA42">
        <f>HYPERLINK("https://klasma.github.io/Logging_0562/klagomål/A 9412-2023 FSC-klagomål.docx", "A 9412-2023")</f>
        <v/>
      </c>
      <c r="AB42">
        <f>HYPERLINK("https://klasma.github.io/Logging_0562/klagomålsmail/A 9412-2023 FSC-klagomål mail.docx", "A 9412-2023")</f>
        <v/>
      </c>
      <c r="AC42">
        <f>HYPERLINK("https://klasma.github.io/Logging_0562/tillsyn/A 9412-2023 tillsynsbegäran.docx", "A 9412-2023")</f>
        <v/>
      </c>
      <c r="AD42">
        <f>HYPERLINK("https://klasma.github.io/Logging_0562/tillsynsmail/A 9412-2023 tillsynsbegäran mail.docx", "A 9412-2023")</f>
        <v/>
      </c>
    </row>
    <row r="43" ht="15" customHeight="1">
      <c r="A43" t="inlineStr">
        <is>
          <t>A 28395-2024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45477</v>
      </c>
      <c r="E43" s="1" t="n">
        <v>46251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Naturvårdsverket</t>
        </is>
      </c>
      <c r="I43" t="n">
        <v>0.6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Fläcknycklar</t>
        </is>
      </c>
      <c r="W43">
        <f>HYPERLINK("https://klasma.github.io/Logging_0562/artfynd/A 28395-2024 artfynd.xlsx", "A 28395-2024")</f>
        <v/>
      </c>
      <c r="X43">
        <f>HYPERLINK("https://klasma.github.io/Logging_0562/kartor/A 28395-2024 karta.png", "A 28395-2024")</f>
        <v/>
      </c>
      <c r="Y43">
        <f>HYPERLINK("https://klasma.github.io/Logging_0562/kartor_geotiff/A 28395-2024 georefererad karta.tif", "A 28395-2024")</f>
        <v/>
      </c>
      <c r="AA43">
        <f>HYPERLINK("https://klasma.github.io/Logging_0562/klagomål/A 28395-2024 FSC-klagomål.docx", "A 28395-2024")</f>
        <v/>
      </c>
      <c r="AB43">
        <f>HYPERLINK("https://klasma.github.io/Logging_0562/klagomålsmail/A 28395-2024 FSC-klagomål mail.docx", "A 28395-2024")</f>
        <v/>
      </c>
      <c r="AC43">
        <f>HYPERLINK("https://klasma.github.io/Logging_0562/tillsyn/A 28395-2024 tillsynsbegäran.docx", "A 28395-2024")</f>
        <v/>
      </c>
      <c r="AD43">
        <f>HYPERLINK("https://klasma.github.io/Logging_0562/tillsynsmail/A 28395-2024 tillsynsbegäran mail.docx", "A 28395-2024")</f>
        <v/>
      </c>
      <c r="AE43">
        <f>HYPERLINK("https://klasma.github.io/Logging_0562/fåglar/A 28395-2024 prioriterade fågelarter.docx", "A 28395-2024")</f>
        <v/>
      </c>
    </row>
    <row r="44" ht="15" customHeight="1">
      <c r="A44" t="inlineStr">
        <is>
          <t>A 21566-2024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45441</v>
      </c>
      <c r="E44" s="1" t="n">
        <v>46251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5.8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Tallticka
Blompraktbagge</t>
        </is>
      </c>
      <c r="W44">
        <f>HYPERLINK("https://klasma.github.io/Logging_0562/artfynd/A 21566-2024 artfynd.xlsx", "A 21566-2024")</f>
        <v/>
      </c>
      <c r="X44">
        <f>HYPERLINK("https://klasma.github.io/Logging_0562/kartor/A 21566-2024 karta.png", "A 21566-2024")</f>
        <v/>
      </c>
      <c r="Y44">
        <f>HYPERLINK("https://klasma.github.io/Logging_0562/kartor_geotiff/A 21566-2024 georefererad karta.tif", "A 21566-2024")</f>
        <v/>
      </c>
      <c r="AA44">
        <f>HYPERLINK("https://klasma.github.io/Logging_0562/klagomål/A 21566-2024 FSC-klagomål.docx", "A 21566-2024")</f>
        <v/>
      </c>
      <c r="AB44">
        <f>HYPERLINK("https://klasma.github.io/Logging_0562/klagomålsmail/A 21566-2024 FSC-klagomål mail.docx", "A 21566-2024")</f>
        <v/>
      </c>
      <c r="AC44">
        <f>HYPERLINK("https://klasma.github.io/Logging_0562/tillsyn/A 21566-2024 tillsynsbegäran.docx", "A 21566-2024")</f>
        <v/>
      </c>
      <c r="AD44">
        <f>HYPERLINK("https://klasma.github.io/Logging_0562/tillsynsmail/A 21566-2024 tillsynsbegäran mail.docx", "A 21566-2024")</f>
        <v/>
      </c>
    </row>
    <row r="45" ht="15" customHeight="1">
      <c r="A45" t="inlineStr">
        <is>
          <t>A 24834-2026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46251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6.5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Backruta
Fläcknycklar</t>
        </is>
      </c>
      <c r="W45">
        <f>HYPERLINK("https://klasma.github.io/Logging_0562/artfynd/A 24834-2026 artfynd.xlsx", "A 24834-2026")</f>
        <v/>
      </c>
      <c r="X45">
        <f>HYPERLINK("https://klasma.github.io/Logging_0562/kartor/A 24834-2026 karta.png", "A 24834-2026")</f>
        <v/>
      </c>
      <c r="Y45">
        <f>HYPERLINK("https://klasma.github.io/Logging_0562/kartor_geotiff/A 24834-2026 georefererad karta.tif", "A 24834-2026")</f>
        <v/>
      </c>
      <c r="AA45">
        <f>HYPERLINK("https://klasma.github.io/Logging_0562/klagomål/A 24834-2026 FSC-klagomål.docx", "A 24834-2026")</f>
        <v/>
      </c>
      <c r="AB45">
        <f>HYPERLINK("https://klasma.github.io/Logging_0562/klagomålsmail/A 24834-2026 FSC-klagomål mail.docx", "A 24834-2026")</f>
        <v/>
      </c>
      <c r="AC45">
        <f>HYPERLINK("https://klasma.github.io/Logging_0562/tillsyn/A 24834-2026 tillsynsbegäran.docx", "A 24834-2026")</f>
        <v/>
      </c>
      <c r="AD45">
        <f>HYPERLINK("https://klasma.github.io/Logging_0562/tillsynsmail/A 24834-2026 tillsynsbegäran mail.docx", "A 24834-2026")</f>
        <v/>
      </c>
    </row>
    <row r="46" ht="15" customHeight="1">
      <c r="A46" t="inlineStr">
        <is>
          <t>A 25940-2026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5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25940-2026 artfynd.xlsx", "A 25940-2026")</f>
        <v/>
      </c>
      <c r="X46">
        <f>HYPERLINK("https://klasma.github.io/Logging_0562/kartor/A 25940-2026 karta.png", "A 25940-2026")</f>
        <v/>
      </c>
      <c r="Y46">
        <f>HYPERLINK("https://klasma.github.io/Logging_0562/kartor_geotiff/A 25940-2026 georefererad karta.tif", "A 25940-2026")</f>
        <v/>
      </c>
      <c r="AA46">
        <f>HYPERLINK("https://klasma.github.io/Logging_0562/klagomål/A 25940-2026 FSC-klagomål.docx", "A 25940-2026")</f>
        <v/>
      </c>
      <c r="AB46">
        <f>HYPERLINK("https://klasma.github.io/Logging_0562/klagomålsmail/A 25940-2026 FSC-klagomål mail.docx", "A 25940-2026")</f>
        <v/>
      </c>
      <c r="AC46">
        <f>HYPERLINK("https://klasma.github.io/Logging_0562/tillsyn/A 25940-2026 tillsynsbegäran.docx", "A 25940-2026")</f>
        <v/>
      </c>
      <c r="AD46">
        <f>HYPERLINK("https://klasma.github.io/Logging_0562/tillsynsmail/A 25940-2026 tillsynsbegäran mail.docx", "A 25940-2026")</f>
        <v/>
      </c>
    </row>
    <row r="47" ht="15" customHeight="1">
      <c r="A47" t="inlineStr">
        <is>
          <t>A 25941-2026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46251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14.4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Motaggsvamp
Flagellkvastmossa</t>
        </is>
      </c>
      <c r="W47">
        <f>HYPERLINK("https://klasma.github.io/Logging_0562/artfynd/A 25941-2026 artfynd.xlsx", "A 25941-2026")</f>
        <v/>
      </c>
      <c r="X47">
        <f>HYPERLINK("https://klasma.github.io/Logging_0562/kartor/A 25941-2026 karta.png", "A 25941-2026")</f>
        <v/>
      </c>
      <c r="Y47">
        <f>HYPERLINK("https://klasma.github.io/Logging_0562/kartor_geotiff/A 25941-2026 georefererad karta.tif", "A 25941-2026")</f>
        <v/>
      </c>
      <c r="AA47">
        <f>HYPERLINK("https://klasma.github.io/Logging_0562/klagomål/A 25941-2026 FSC-klagomål.docx", "A 25941-2026")</f>
        <v/>
      </c>
      <c r="AB47">
        <f>HYPERLINK("https://klasma.github.io/Logging_0562/klagomålsmail/A 25941-2026 FSC-klagomål mail.docx", "A 25941-2026")</f>
        <v/>
      </c>
      <c r="AC47">
        <f>HYPERLINK("https://klasma.github.io/Logging_0562/tillsyn/A 25941-2026 tillsynsbegäran.docx", "A 25941-2026")</f>
        <v/>
      </c>
      <c r="AD47">
        <f>HYPERLINK("https://klasma.github.io/Logging_0562/tillsynsmail/A 25941-2026 tillsynsbegäran mail.docx", "A 25941-2026")</f>
        <v/>
      </c>
    </row>
    <row r="48" ht="15" customHeight="1">
      <c r="A48" t="inlineStr">
        <is>
          <t>S 7749-2021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44480</v>
      </c>
      <c r="E48" s="1" t="n">
        <v>46251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Sveaskog</t>
        </is>
      </c>
      <c r="I48" t="n">
        <v>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Lopplummer (aggregat)
Revlummer</t>
        </is>
      </c>
      <c r="W48">
        <f>HYPERLINK("https://klasma.github.io/Logging_0562/artfynd/S 7749-2021 artfynd.xlsx", "S 7749-2021")</f>
        <v/>
      </c>
      <c r="X48">
        <f>HYPERLINK("https://klasma.github.io/Logging_0562/kartor/S 7749-2021 karta.png", "S 7749-2021")</f>
        <v/>
      </c>
      <c r="Y48">
        <f>HYPERLINK("https://klasma.github.io/Logging_0562/kartor_geotiff/S 7749-2021 georefererad karta.tif", "S 7749-2021")</f>
        <v/>
      </c>
      <c r="AA48">
        <f>HYPERLINK("https://klasma.github.io/Logging_0562/klagomål/S 7749-2021 FSC-klagomål.docx", "S 7749-2021")</f>
        <v/>
      </c>
      <c r="AB48">
        <f>HYPERLINK("https://klasma.github.io/Logging_0562/klagomålsmail/S 7749-2021 FSC-klagomål mail.docx", "S 7749-2021")</f>
        <v/>
      </c>
      <c r="AC48">
        <f>HYPERLINK("https://klasma.github.io/Logging_0562/tillsyn/S 7749-2021 tillsynsbegäran.docx", "S 7749-2021")</f>
        <v/>
      </c>
      <c r="AD48">
        <f>HYPERLINK("https://klasma.github.io/Logging_0562/tillsynsmail/S 7749-2021 tillsynsbegäran mail.docx", "S 7749-2021")</f>
        <v/>
      </c>
    </row>
    <row r="49" ht="15" customHeight="1">
      <c r="A49" t="inlineStr">
        <is>
          <t>A 17960-2022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44683</v>
      </c>
      <c r="E49" s="1" t="n">
        <v>46251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Källpraktmossa</t>
        </is>
      </c>
      <c r="W49">
        <f>HYPERLINK("https://klasma.github.io/Logging_0562/artfynd/A 17960-2022 artfynd.xlsx", "A 17960-2022")</f>
        <v/>
      </c>
      <c r="X49">
        <f>HYPERLINK("https://klasma.github.io/Logging_0562/kartor/A 17960-2022 karta.png", "A 17960-2022")</f>
        <v/>
      </c>
      <c r="Y49">
        <f>HYPERLINK("https://klasma.github.io/Logging_0562/kartor_geotiff/A 17960-2022 georefererad karta.tif", "A 17960-2022")</f>
        <v/>
      </c>
      <c r="AA49">
        <f>HYPERLINK("https://klasma.github.io/Logging_0562/klagomål/A 17960-2022 FSC-klagomål.docx", "A 17960-2022")</f>
        <v/>
      </c>
      <c r="AB49">
        <f>HYPERLINK("https://klasma.github.io/Logging_0562/klagomålsmail/A 17960-2022 FSC-klagomål mail.docx", "A 17960-2022")</f>
        <v/>
      </c>
      <c r="AC49">
        <f>HYPERLINK("https://klasma.github.io/Logging_0562/tillsyn/A 17960-2022 tillsynsbegäran.docx", "A 17960-2022")</f>
        <v/>
      </c>
      <c r="AD49">
        <f>HYPERLINK("https://klasma.github.io/Logging_0562/tillsynsmail/A 17960-2022 tillsynsbegäran mail.docx", "A 17960-2022")</f>
        <v/>
      </c>
    </row>
    <row r="50" ht="15" customHeight="1">
      <c r="A50" t="inlineStr">
        <is>
          <t>A 31750-2022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46251</v>
      </c>
      <c r="F50" t="inlineStr">
        <is>
          <t>ÖSTERGÖTLANDS LÄN</t>
        </is>
      </c>
      <c r="G50" t="inlineStr">
        <is>
          <t>FINSPÅNG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HYPERLINK("https://klasma.github.io/Logging_0562/artfynd/A 31750-2022 artfynd.xlsx", "A 31750-2022")</f>
        <v/>
      </c>
      <c r="X50">
        <f>HYPERLINK("https://klasma.github.io/Logging_0562/kartor/A 31750-2022 karta.png", "A 31750-2022")</f>
        <v/>
      </c>
      <c r="Y50">
        <f>HYPERLINK("https://klasma.github.io/Logging_0562/kartor_geotiff/A 31750-2022 georefererad karta.tif", "A 31750-2022")</f>
        <v/>
      </c>
      <c r="AA50">
        <f>HYPERLINK("https://klasma.github.io/Logging_0562/klagomål/A 31750-2022 FSC-klagomål.docx", "A 31750-2022")</f>
        <v/>
      </c>
      <c r="AB50">
        <f>HYPERLINK("https://klasma.github.io/Logging_0562/klagomålsmail/A 31750-2022 FSC-klagomål mail.docx", "A 31750-2022")</f>
        <v/>
      </c>
      <c r="AC50">
        <f>HYPERLINK("https://klasma.github.io/Logging_0562/tillsyn/A 31750-2022 tillsynsbegäran.docx", "A 31750-2022")</f>
        <v/>
      </c>
      <c r="AD50">
        <f>HYPERLINK("https://klasma.github.io/Logging_0562/tillsynsmail/A 31750-2022 tillsynsbegäran mail.docx", "A 31750-2022")</f>
        <v/>
      </c>
    </row>
    <row r="51" ht="15" customHeight="1">
      <c r="A51" t="inlineStr">
        <is>
          <t>A 62736-2021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44504</v>
      </c>
      <c r="E51" s="1" t="n">
        <v>46251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HYPERLINK("https://klasma.github.io/Logging_0562/artfynd/A 62736-2021 artfynd.xlsx", "A 62736-2021")</f>
        <v/>
      </c>
      <c r="X51">
        <f>HYPERLINK("https://klasma.github.io/Logging_0562/kartor/A 62736-2021 karta.png", "A 62736-2021")</f>
        <v/>
      </c>
      <c r="Y51">
        <f>HYPERLINK("https://klasma.github.io/Logging_0562/kartor_geotiff/A 62736-2021 georefererad karta.tif", "A 62736-2021")</f>
        <v/>
      </c>
      <c r="AA51">
        <f>HYPERLINK("https://klasma.github.io/Logging_0562/klagomål/A 62736-2021 FSC-klagomål.docx", "A 62736-2021")</f>
        <v/>
      </c>
      <c r="AB51">
        <f>HYPERLINK("https://klasma.github.io/Logging_0562/klagomålsmail/A 62736-2021 FSC-klagomål mail.docx", "A 62736-2021")</f>
        <v/>
      </c>
      <c r="AC51">
        <f>HYPERLINK("https://klasma.github.io/Logging_0562/tillsyn/A 62736-2021 tillsynsbegäran.docx", "A 62736-2021")</f>
        <v/>
      </c>
      <c r="AD51">
        <f>HYPERLINK("https://klasma.github.io/Logging_0562/tillsynsmail/A 62736-2021 tillsynsbegäran mail.docx", "A 62736-2021")</f>
        <v/>
      </c>
    </row>
    <row r="52" ht="15" customHeight="1">
      <c r="A52" t="inlineStr">
        <is>
          <t>A 68414-2021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44529</v>
      </c>
      <c r="E52" s="1" t="n">
        <v>46251</v>
      </c>
      <c r="F52" t="inlineStr">
        <is>
          <t>ÖSTERGÖTLANDS LÄN</t>
        </is>
      </c>
      <c r="G52" t="inlineStr">
        <is>
          <t>FINSPÅNG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HYPERLINK("https://klasma.github.io/Logging_0562/artfynd/A 68414-2021 artfynd.xlsx", "A 68414-2021")</f>
        <v/>
      </c>
      <c r="X52">
        <f>HYPERLINK("https://klasma.github.io/Logging_0562/kartor/A 68414-2021 karta.png", "A 68414-2021")</f>
        <v/>
      </c>
      <c r="Y52">
        <f>HYPERLINK("https://klasma.github.io/Logging_0562/kartor_geotiff/A 68414-2021 georefererad karta.tif", "A 68414-2021")</f>
        <v/>
      </c>
      <c r="AA52">
        <f>HYPERLINK("https://klasma.github.io/Logging_0562/klagomål/A 68414-2021 FSC-klagomål.docx", "A 68414-2021")</f>
        <v/>
      </c>
      <c r="AB52">
        <f>HYPERLINK("https://klasma.github.io/Logging_0562/klagomålsmail/A 68414-2021 FSC-klagomål mail.docx", "A 68414-2021")</f>
        <v/>
      </c>
      <c r="AC52">
        <f>HYPERLINK("https://klasma.github.io/Logging_0562/tillsyn/A 68414-2021 tillsynsbegäran.docx", "A 68414-2021")</f>
        <v/>
      </c>
      <c r="AD52">
        <f>HYPERLINK("https://klasma.github.io/Logging_0562/tillsynsmail/A 68414-2021 tillsynsbegäran mail.docx", "A 68414-2021")</f>
        <v/>
      </c>
    </row>
    <row r="53" ht="15" customHeight="1">
      <c r="A53" t="inlineStr">
        <is>
          <t>A 54302-2023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46251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HYPERLINK("https://klasma.github.io/Logging_0562/artfynd/A 54302-2023 artfynd.xlsx", "A 54302-2023")</f>
        <v/>
      </c>
      <c r="X53">
        <f>HYPERLINK("https://klasma.github.io/Logging_0562/kartor/A 54302-2023 karta.png", "A 54302-2023")</f>
        <v/>
      </c>
      <c r="Y53">
        <f>HYPERLINK("https://klasma.github.io/Logging_0562/kartor_geotiff/A 54302-2023 georefererad karta.tif", "A 54302-2023")</f>
        <v/>
      </c>
      <c r="AA53">
        <f>HYPERLINK("https://klasma.github.io/Logging_0562/klagomål/A 54302-2023 FSC-klagomål.docx", "A 54302-2023")</f>
        <v/>
      </c>
      <c r="AB53">
        <f>HYPERLINK("https://klasma.github.io/Logging_0562/klagomålsmail/A 54302-2023 FSC-klagomål mail.docx", "A 54302-2023")</f>
        <v/>
      </c>
      <c r="AC53">
        <f>HYPERLINK("https://klasma.github.io/Logging_0562/tillsyn/A 54302-2023 tillsynsbegäran.docx", "A 54302-2023")</f>
        <v/>
      </c>
      <c r="AD53">
        <f>HYPERLINK("https://klasma.github.io/Logging_0562/tillsynsmail/A 54302-2023 tillsynsbegäran mail.docx", "A 54302-2023")</f>
        <v/>
      </c>
    </row>
    <row r="54" ht="15" customHeight="1">
      <c r="A54" t="inlineStr">
        <is>
          <t>A 61254-2022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46251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HYPERLINK("https://klasma.github.io/Logging_0562/artfynd/A 61254-2022 artfynd.xlsx", "A 61254-2022")</f>
        <v/>
      </c>
      <c r="X54">
        <f>HYPERLINK("https://klasma.github.io/Logging_0562/kartor/A 61254-2022 karta.png", "A 61254-2022")</f>
        <v/>
      </c>
      <c r="Y54">
        <f>HYPERLINK("https://klasma.github.io/Logging_0562/kartor_geotiff/A 61254-2022 georefererad karta.tif", "A 61254-2022")</f>
        <v/>
      </c>
      <c r="AA54">
        <f>HYPERLINK("https://klasma.github.io/Logging_0562/klagomål/A 61254-2022 FSC-klagomål.docx", "A 61254-2022")</f>
        <v/>
      </c>
      <c r="AB54">
        <f>HYPERLINK("https://klasma.github.io/Logging_0562/klagomålsmail/A 61254-2022 FSC-klagomål mail.docx", "A 61254-2022")</f>
        <v/>
      </c>
      <c r="AC54">
        <f>HYPERLINK("https://klasma.github.io/Logging_0562/tillsyn/A 61254-2022 tillsynsbegäran.docx", "A 61254-2022")</f>
        <v/>
      </c>
      <c r="AD54">
        <f>HYPERLINK("https://klasma.github.io/Logging_0562/tillsynsmail/A 61254-2022 tillsynsbegäran mail.docx", "A 61254-2022")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46251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37748-2025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45880</v>
      </c>
      <c r="E56" s="1" t="n">
        <v>46251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HYPERLINK("https://klasma.github.io/Logging_0562/artfynd/A 37748-2025 artfynd.xlsx", "A 37748-2025")</f>
        <v/>
      </c>
      <c r="X56">
        <f>HYPERLINK("https://klasma.github.io/Logging_0562/kartor/A 37748-2025 karta.png", "A 37748-2025")</f>
        <v/>
      </c>
      <c r="Y56">
        <f>HYPERLINK("https://klasma.github.io/Logging_0562/kartor_geotiff/A 37748-2025 georefererad karta.tif", "A 37748-2025")</f>
        <v/>
      </c>
      <c r="AA56">
        <f>HYPERLINK("https://klasma.github.io/Logging_0562/klagomål/A 37748-2025 FSC-klagomål.docx", "A 37748-2025")</f>
        <v/>
      </c>
      <c r="AB56">
        <f>HYPERLINK("https://klasma.github.io/Logging_0562/klagomålsmail/A 37748-2025 FSC-klagomål mail.docx", "A 37748-2025")</f>
        <v/>
      </c>
      <c r="AC56">
        <f>HYPERLINK("https://klasma.github.io/Logging_0562/tillsyn/A 37748-2025 tillsynsbegäran.docx", "A 37748-2025")</f>
        <v/>
      </c>
      <c r="AD56">
        <f>HYPERLINK("https://klasma.github.io/Logging_0562/tillsynsmail/A 37748-2025 tillsynsbegäran mail.docx", "A 37748-2025")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46251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1177-2024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45302</v>
      </c>
      <c r="E58" s="1" t="n">
        <v>46251</v>
      </c>
      <c r="F58" t="inlineStr">
        <is>
          <t>ÖSTERGÖTLANDS LÄN</t>
        </is>
      </c>
      <c r="G58" t="inlineStr">
        <is>
          <t>FINSPÅNG</t>
        </is>
      </c>
      <c r="I58" t="n">
        <v>6.7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1177-2024 artfynd.xlsx", "A 1177-2024")</f>
        <v/>
      </c>
      <c r="X58">
        <f>HYPERLINK("https://klasma.github.io/Logging_0562/kartor/A 1177-2024 karta.png", "A 1177-2024")</f>
        <v/>
      </c>
      <c r="Y58">
        <f>HYPERLINK("https://klasma.github.io/Logging_0562/kartor_geotiff/A 1177-2024 georefererad karta.tif", "A 1177-2024")</f>
        <v/>
      </c>
      <c r="Z58">
        <f>HYPERLINK("https://klasma.github.io/Logging_0562/knärot/A 1177-2024 karta knärot.png", "A 1177-2024")</f>
        <v/>
      </c>
      <c r="AA58">
        <f>HYPERLINK("https://klasma.github.io/Logging_0562/klagomål/A 1177-2024 FSC-klagomål.docx", "A 1177-2024")</f>
        <v/>
      </c>
      <c r="AB58">
        <f>HYPERLINK("https://klasma.github.io/Logging_0562/klagomålsmail/A 1177-2024 FSC-klagomål mail.docx", "A 1177-2024")</f>
        <v/>
      </c>
      <c r="AC58">
        <f>HYPERLINK("https://klasma.github.io/Logging_0562/tillsyn/A 1177-2024 tillsynsbegäran.docx", "A 1177-2024")</f>
        <v/>
      </c>
      <c r="AD58">
        <f>HYPERLINK("https://klasma.github.io/Logging_0562/tillsynsmail/A 1177-2024 tillsynsbegäran mail.docx", "A 1177-2024")</f>
        <v/>
      </c>
    </row>
    <row r="59" ht="15" customHeight="1">
      <c r="A59" t="inlineStr">
        <is>
          <t>A 43858-2021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44434</v>
      </c>
      <c r="E59" s="1" t="n">
        <v>46251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Övriga Aktiebolag</t>
        </is>
      </c>
      <c r="I59" t="n">
        <v>12.2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Kavelhirs</t>
        </is>
      </c>
      <c r="W59">
        <f>HYPERLINK("https://klasma.github.io/Logging_0562/artfynd/A 43858-2021 artfynd.xlsx", "A 43858-2021")</f>
        <v/>
      </c>
      <c r="X59">
        <f>HYPERLINK("https://klasma.github.io/Logging_0562/kartor/A 43858-2021 karta.png", "A 43858-2021")</f>
        <v/>
      </c>
      <c r="Y59">
        <f>HYPERLINK("https://klasma.github.io/Logging_0562/kartor_geotiff/A 43858-2021 georefererad karta.tif", "A 43858-2021")</f>
        <v/>
      </c>
      <c r="AA59">
        <f>HYPERLINK("https://klasma.github.io/Logging_0562/klagomål/A 43858-2021 FSC-klagomål.docx", "A 43858-2021")</f>
        <v/>
      </c>
      <c r="AB59">
        <f>HYPERLINK("https://klasma.github.io/Logging_0562/klagomålsmail/A 43858-2021 FSC-klagomål mail.docx", "A 43858-2021")</f>
        <v/>
      </c>
      <c r="AC59">
        <f>HYPERLINK("https://klasma.github.io/Logging_0562/tillsyn/A 43858-2021 tillsynsbegäran.docx", "A 43858-2021")</f>
        <v/>
      </c>
      <c r="AD59">
        <f>HYPERLINK("https://klasma.github.io/Logging_0562/tillsynsmail/A 43858-2021 tillsynsbegäran mail.docx", "A 43858-2021")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46251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46251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61104-2022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46251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HYPERLINK("https://klasma.github.io/Logging_0562/artfynd/A 61104-2022 artfynd.xlsx", "A 61104-2022")</f>
        <v/>
      </c>
      <c r="X62">
        <f>HYPERLINK("https://klasma.github.io/Logging_0562/kartor/A 61104-2022 karta.png", "A 61104-2022")</f>
        <v/>
      </c>
      <c r="Y62">
        <f>HYPERLINK("https://klasma.github.io/Logging_0562/kartor_geotiff/A 61104-2022 georefererad karta.tif", "A 61104-2022")</f>
        <v/>
      </c>
      <c r="AA62">
        <f>HYPERLINK("https://klasma.github.io/Logging_0562/klagomål/A 61104-2022 FSC-klagomål.docx", "A 61104-2022")</f>
        <v/>
      </c>
      <c r="AB62">
        <f>HYPERLINK("https://klasma.github.io/Logging_0562/klagomålsmail/A 61104-2022 FSC-klagomål mail.docx", "A 61104-2022")</f>
        <v/>
      </c>
      <c r="AC62">
        <f>HYPERLINK("https://klasma.github.io/Logging_0562/tillsyn/A 61104-2022 tillsynsbegäran.docx", "A 61104-2022")</f>
        <v/>
      </c>
      <c r="AD62">
        <f>HYPERLINK("https://klasma.github.io/Logging_0562/tillsynsmail/A 61104-2022 tillsynsbegäran mail.docx", "A 61104-2022")</f>
        <v/>
      </c>
    </row>
    <row r="63" ht="15" customHeight="1">
      <c r="A63" t="inlineStr">
        <is>
          <t>A 42837-2024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46251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HYPERLINK("https://klasma.github.io/Logging_0562/artfynd/A 42837-2024 artfynd.xlsx", "A 42837-2024")</f>
        <v/>
      </c>
      <c r="X63">
        <f>HYPERLINK("https://klasma.github.io/Logging_0562/kartor/A 42837-2024 karta.png", "A 42837-2024")</f>
        <v/>
      </c>
      <c r="Y63">
        <f>HYPERLINK("https://klasma.github.io/Logging_0562/kartor_geotiff/A 42837-2024 georefererad karta.tif", "A 42837-2024")</f>
        <v/>
      </c>
      <c r="Z63">
        <f>HYPERLINK("https://klasma.github.io/Logging_0562/knärot/A 42837-2024 karta knärot.png", "A 42837-2024")</f>
        <v/>
      </c>
      <c r="AA63">
        <f>HYPERLINK("https://klasma.github.io/Logging_0562/klagomål/A 42837-2024 FSC-klagomål.docx", "A 42837-2024")</f>
        <v/>
      </c>
      <c r="AB63">
        <f>HYPERLINK("https://klasma.github.io/Logging_0562/klagomålsmail/A 42837-2024 FSC-klagomål mail.docx", "A 42837-2024")</f>
        <v/>
      </c>
      <c r="AC63">
        <f>HYPERLINK("https://klasma.github.io/Logging_0562/tillsyn/A 42837-2024 tillsynsbegäran.docx", "A 42837-2024")</f>
        <v/>
      </c>
      <c r="AD63">
        <f>HYPERLINK("https://klasma.github.io/Logging_0562/tillsynsmail/A 42837-2024 tillsynsbegäran mail.docx", "A 42837-2024")</f>
        <v/>
      </c>
    </row>
    <row r="64" ht="15" customHeight="1">
      <c r="A64" t="inlineStr">
        <is>
          <t>A 40385-2024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46251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Talltita</t>
        </is>
      </c>
      <c r="W64">
        <f>HYPERLINK("https://klasma.github.io/Logging_0562/artfynd/A 40385-2024 artfynd.xlsx", "A 40385-2024")</f>
        <v/>
      </c>
      <c r="X64">
        <f>HYPERLINK("https://klasma.github.io/Logging_0562/kartor/A 40385-2024 karta.png", "A 40385-2024")</f>
        <v/>
      </c>
      <c r="Y64">
        <f>HYPERLINK("https://klasma.github.io/Logging_0562/kartor_geotiff/A 40385-2024 georefererad karta.tif", "A 40385-2024")</f>
        <v/>
      </c>
      <c r="AA64">
        <f>HYPERLINK("https://klasma.github.io/Logging_0562/klagomål/A 40385-2024 FSC-klagomål.docx", "A 40385-2024")</f>
        <v/>
      </c>
      <c r="AB64">
        <f>HYPERLINK("https://klasma.github.io/Logging_0562/klagomålsmail/A 40385-2024 FSC-klagomål mail.docx", "A 40385-2024")</f>
        <v/>
      </c>
      <c r="AC64">
        <f>HYPERLINK("https://klasma.github.io/Logging_0562/tillsyn/A 40385-2024 tillsynsbegäran.docx", "A 40385-2024")</f>
        <v/>
      </c>
      <c r="AD64">
        <f>HYPERLINK("https://klasma.github.io/Logging_0562/tillsynsmail/A 40385-2024 tillsynsbegäran mail.docx", "A 40385-2024")</f>
        <v/>
      </c>
      <c r="AE64">
        <f>HYPERLINK("https://klasma.github.io/Logging_0562/fåglar/A 40385-2024 prioriterade fågelarter.docx", "A 40385-2024")</f>
        <v/>
      </c>
    </row>
    <row r="65" ht="15" customHeight="1">
      <c r="A65" t="inlineStr">
        <is>
          <t>A 6035-2022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46251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Bred kärrtrollslända</t>
        </is>
      </c>
      <c r="W65">
        <f>HYPERLINK("https://klasma.github.io/Logging_0562/artfynd/A 6035-2022 artfynd.xlsx", "A 6035-2022")</f>
        <v/>
      </c>
      <c r="X65">
        <f>HYPERLINK("https://klasma.github.io/Logging_0562/kartor/A 6035-2022 karta.png", "A 6035-2022")</f>
        <v/>
      </c>
      <c r="Y65">
        <f>HYPERLINK("https://klasma.github.io/Logging_0562/kartor_geotiff/A 6035-2022 georefererad karta.tif", "A 6035-2022")</f>
        <v/>
      </c>
      <c r="AA65">
        <f>HYPERLINK("https://klasma.github.io/Logging_0562/klagomål/A 6035-2022 FSC-klagomål.docx", "A 6035-2022")</f>
        <v/>
      </c>
      <c r="AB65">
        <f>HYPERLINK("https://klasma.github.io/Logging_0562/klagomålsmail/A 6035-2022 FSC-klagomål mail.docx", "A 6035-2022")</f>
        <v/>
      </c>
      <c r="AC65">
        <f>HYPERLINK("https://klasma.github.io/Logging_0562/tillsyn/A 6035-2022 tillsynsbegäran.docx", "A 6035-2022")</f>
        <v/>
      </c>
      <c r="AD65">
        <f>HYPERLINK("https://klasma.github.io/Logging_0562/tillsynsmail/A 6035-2022 tillsynsbegäran mail.docx", "A 6035-2022")</f>
        <v/>
      </c>
    </row>
    <row r="66" ht="15" customHeight="1">
      <c r="A66" t="inlineStr">
        <is>
          <t>A 61695-2021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44501</v>
      </c>
      <c r="E66" s="1" t="n">
        <v>46251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Sveaskog</t>
        </is>
      </c>
      <c r="I66" t="n">
        <v>1.7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Kornknutmossa</t>
        </is>
      </c>
      <c r="W66">
        <f>HYPERLINK("https://klasma.github.io/Logging_0562/artfynd/A 61695-2021 artfynd.xlsx", "A 61695-2021")</f>
        <v/>
      </c>
      <c r="X66">
        <f>HYPERLINK("https://klasma.github.io/Logging_0562/kartor/A 61695-2021 karta.png", "A 61695-2021")</f>
        <v/>
      </c>
      <c r="Y66">
        <f>HYPERLINK("https://klasma.github.io/Logging_0562/kartor_geotiff/A 61695-2021 georefererad karta.tif", "A 61695-2021")</f>
        <v/>
      </c>
      <c r="AA66">
        <f>HYPERLINK("https://klasma.github.io/Logging_0562/klagomål/A 61695-2021 FSC-klagomål.docx", "A 61695-2021")</f>
        <v/>
      </c>
      <c r="AB66">
        <f>HYPERLINK("https://klasma.github.io/Logging_0562/klagomålsmail/A 61695-2021 FSC-klagomål mail.docx", "A 61695-2021")</f>
        <v/>
      </c>
      <c r="AC66">
        <f>HYPERLINK("https://klasma.github.io/Logging_0562/tillsyn/A 61695-2021 tillsynsbegäran.docx", "A 61695-2021")</f>
        <v/>
      </c>
      <c r="AD66">
        <f>HYPERLINK("https://klasma.github.io/Logging_0562/tillsynsmail/A 61695-2021 tillsynsbegäran mail.docx", "A 61695-2021")</f>
        <v/>
      </c>
    </row>
    <row r="67" ht="15" customHeight="1">
      <c r="A67" t="inlineStr">
        <is>
          <t>A 4644-2024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46251</v>
      </c>
      <c r="F67" t="inlineStr">
        <is>
          <t>ÖSTERGÖTLANDS LÄN</t>
        </is>
      </c>
      <c r="G67" t="inlineStr">
        <is>
          <t>FINSPÅNG</t>
        </is>
      </c>
      <c r="I67" t="n">
        <v>5.3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Kungsörn</t>
        </is>
      </c>
      <c r="W67">
        <f>HYPERLINK("https://klasma.github.io/Logging_0562/artfynd/A 4644-2024 artfynd.xlsx", "A 4644-2024")</f>
        <v/>
      </c>
      <c r="X67">
        <f>HYPERLINK("https://klasma.github.io/Logging_0562/kartor/A 4644-2024 karta.png", "A 4644-2024")</f>
        <v/>
      </c>
      <c r="Y67">
        <f>HYPERLINK("https://klasma.github.io/Logging_0562/kartor_geotiff/A 4644-2024 georefererad karta.tif", "A 4644-2024")</f>
        <v/>
      </c>
      <c r="AA67">
        <f>HYPERLINK("https://klasma.github.io/Logging_0562/klagomål/A 4644-2024 FSC-klagomål.docx", "A 4644-2024")</f>
        <v/>
      </c>
      <c r="AB67">
        <f>HYPERLINK("https://klasma.github.io/Logging_0562/klagomålsmail/A 4644-2024 FSC-klagomål mail.docx", "A 4644-2024")</f>
        <v/>
      </c>
      <c r="AC67">
        <f>HYPERLINK("https://klasma.github.io/Logging_0562/tillsyn/A 4644-2024 tillsynsbegäran.docx", "A 4644-2024")</f>
        <v/>
      </c>
      <c r="AD67">
        <f>HYPERLINK("https://klasma.github.io/Logging_0562/tillsynsmail/A 4644-2024 tillsynsbegäran mail.docx", "A 4644-2024")</f>
        <v/>
      </c>
      <c r="AE67">
        <f>HYPERLINK("https://klasma.github.io/Logging_0562/fåglar/A 4644-2024 prioriterade fågelarter.docx", "A 4644-2024")</f>
        <v/>
      </c>
    </row>
    <row r="68" ht="15" customHeight="1">
      <c r="A68" t="inlineStr">
        <is>
          <t>A 18915-2026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46129</v>
      </c>
      <c r="E68" s="1" t="n">
        <v>46251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HYPERLINK("https://klasma.github.io/Logging_0562/artfynd/A 18915-2026 artfynd.xlsx", "A 18915-2026")</f>
        <v/>
      </c>
      <c r="X68">
        <f>HYPERLINK("https://klasma.github.io/Logging_0562/kartor/A 18915-2026 karta.png", "A 18915-2026")</f>
        <v/>
      </c>
      <c r="Y68">
        <f>HYPERLINK("https://klasma.github.io/Logging_0562/kartor_geotiff/A 18915-2026 georefererad karta.tif", "A 18915-2026")</f>
        <v/>
      </c>
      <c r="AA68">
        <f>HYPERLINK("https://klasma.github.io/Logging_0562/klagomål/A 18915-2026 FSC-klagomål.docx", "A 18915-2026")</f>
        <v/>
      </c>
      <c r="AB68">
        <f>HYPERLINK("https://klasma.github.io/Logging_0562/klagomålsmail/A 18915-2026 FSC-klagomål mail.docx", "A 18915-2026")</f>
        <v/>
      </c>
      <c r="AC68">
        <f>HYPERLINK("https://klasma.github.io/Logging_0562/tillsyn/A 18915-2026 tillsynsbegäran.docx", "A 18915-2026")</f>
        <v/>
      </c>
      <c r="AD68">
        <f>HYPERLINK("https://klasma.github.io/Logging_0562/tillsynsmail/A 18915-2026 tillsynsbegäran mail.docx", "A 18915-2026")</f>
        <v/>
      </c>
      <c r="AE68">
        <f>HYPERLINK("https://klasma.github.io/Logging_0562/fåglar/A 18915-2026 prioriterade fågelarter.docx", "A 18915-2026")</f>
        <v/>
      </c>
    </row>
    <row r="69" ht="15" customHeight="1">
      <c r="A69" t="inlineStr">
        <is>
          <t>A 663-2023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44930</v>
      </c>
      <c r="E69" s="1" t="n">
        <v>46251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HYPERLINK("https://klasma.github.io/Logging_0562/artfynd/A 663-2023 artfynd.xlsx", "A 663-2023")</f>
        <v/>
      </c>
      <c r="X69">
        <f>HYPERLINK("https://klasma.github.io/Logging_0562/kartor/A 663-2023 karta.png", "A 663-2023")</f>
        <v/>
      </c>
      <c r="Y69">
        <f>HYPERLINK("https://klasma.github.io/Logging_0562/kartor_geotiff/A 663-2023 georefererad karta.tif", "A 663-2023")</f>
        <v/>
      </c>
      <c r="AA69">
        <f>HYPERLINK("https://klasma.github.io/Logging_0562/klagomål/A 663-2023 FSC-klagomål.docx", "A 663-2023")</f>
        <v/>
      </c>
      <c r="AB69">
        <f>HYPERLINK("https://klasma.github.io/Logging_0562/klagomålsmail/A 663-2023 FSC-klagomål mail.docx", "A 663-2023")</f>
        <v/>
      </c>
      <c r="AC69">
        <f>HYPERLINK("https://klasma.github.io/Logging_0562/tillsyn/A 663-2023 tillsynsbegäran.docx", "A 663-2023")</f>
        <v/>
      </c>
      <c r="AD69">
        <f>HYPERLINK("https://klasma.github.io/Logging_0562/tillsynsmail/A 663-2023 tillsynsbegäran mail.docx", "A 663-2023")</f>
        <v/>
      </c>
    </row>
    <row r="70" ht="15" customHeight="1">
      <c r="A70" t="inlineStr">
        <is>
          <t>A 53673-2024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46251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HYPERLINK("https://klasma.github.io/Logging_0562/artfynd/A 53673-2024 artfynd.xlsx", "A 53673-2024")</f>
        <v/>
      </c>
      <c r="X70">
        <f>HYPERLINK("https://klasma.github.io/Logging_0562/kartor/A 53673-2024 karta.png", "A 53673-2024")</f>
        <v/>
      </c>
      <c r="Y70">
        <f>HYPERLINK("https://klasma.github.io/Logging_0562/kartor_geotiff/A 53673-2024 georefererad karta.tif", "A 53673-2024")</f>
        <v/>
      </c>
      <c r="Z70">
        <f>HYPERLINK("https://klasma.github.io/Logging_0562/knärot/A 53673-2024 karta knärot.png", "A 53673-2024")</f>
        <v/>
      </c>
      <c r="AA70">
        <f>HYPERLINK("https://klasma.github.io/Logging_0562/klagomål/A 53673-2024 FSC-klagomål.docx", "A 53673-2024")</f>
        <v/>
      </c>
      <c r="AB70">
        <f>HYPERLINK("https://klasma.github.io/Logging_0562/klagomålsmail/A 53673-2024 FSC-klagomål mail.docx", "A 53673-2024")</f>
        <v/>
      </c>
      <c r="AC70">
        <f>HYPERLINK("https://klasma.github.io/Logging_0562/tillsyn/A 53673-2024 tillsynsbegäran.docx", "A 53673-2024")</f>
        <v/>
      </c>
      <c r="AD70">
        <f>HYPERLINK("https://klasma.github.io/Logging_0562/tillsynsmail/A 53673-2024 tillsynsbegäran mail.docx", "A 53673-2024")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46251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39078-2022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46251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HYPERLINK("https://klasma.github.io/Logging_0562/artfynd/A 39078-2022 artfynd.xlsx", "A 39078-2022")</f>
        <v/>
      </c>
      <c r="X72">
        <f>HYPERLINK("https://klasma.github.io/Logging_0562/kartor/A 39078-2022 karta.png", "A 39078-2022")</f>
        <v/>
      </c>
      <c r="Y72">
        <f>HYPERLINK("https://klasma.github.io/Logging_0562/kartor_geotiff/A 39078-2022 georefererad karta.tif", "A 39078-2022")</f>
        <v/>
      </c>
      <c r="AA72">
        <f>HYPERLINK("https://klasma.github.io/Logging_0562/klagomål/A 39078-2022 FSC-klagomål.docx", "A 39078-2022")</f>
        <v/>
      </c>
      <c r="AB72">
        <f>HYPERLINK("https://klasma.github.io/Logging_0562/klagomålsmail/A 39078-2022 FSC-klagomål mail.docx", "A 39078-2022")</f>
        <v/>
      </c>
      <c r="AC72">
        <f>HYPERLINK("https://klasma.github.io/Logging_0562/tillsyn/A 39078-2022 tillsynsbegäran.docx", "A 39078-2022")</f>
        <v/>
      </c>
      <c r="AD72">
        <f>HYPERLINK("https://klasma.github.io/Logging_0562/tillsynsmail/A 39078-2022 tillsynsbegäran mail.docx", "A 39078-2022")</f>
        <v/>
      </c>
    </row>
    <row r="73" ht="15" customHeight="1">
      <c r="A73" t="inlineStr">
        <is>
          <t>A 59061-2024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46251</v>
      </c>
      <c r="F73" t="inlineStr">
        <is>
          <t>ÖSTERGÖTLANDS LÄN</t>
        </is>
      </c>
      <c r="G73" t="inlineStr">
        <is>
          <t>FINSPÅNG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Ängsnycklar</t>
        </is>
      </c>
      <c r="W73">
        <f>HYPERLINK("https://klasma.github.io/Logging_0562/artfynd/A 59061-2024 artfynd.xlsx", "A 59061-2024")</f>
        <v/>
      </c>
      <c r="X73">
        <f>HYPERLINK("https://klasma.github.io/Logging_0562/kartor/A 59061-2024 karta.png", "A 59061-2024")</f>
        <v/>
      </c>
      <c r="Y73">
        <f>HYPERLINK("https://klasma.github.io/Logging_0562/kartor_geotiff/A 59061-2024 georefererad karta.tif", "A 59061-2024")</f>
        <v/>
      </c>
      <c r="AA73">
        <f>HYPERLINK("https://klasma.github.io/Logging_0562/klagomål/A 59061-2024 FSC-klagomål.docx", "A 59061-2024")</f>
        <v/>
      </c>
      <c r="AB73">
        <f>HYPERLINK("https://klasma.github.io/Logging_0562/klagomålsmail/A 59061-2024 FSC-klagomål mail.docx", "A 59061-2024")</f>
        <v/>
      </c>
      <c r="AC73">
        <f>HYPERLINK("https://klasma.github.io/Logging_0562/tillsyn/A 59061-2024 tillsynsbegäran.docx", "A 59061-2024")</f>
        <v/>
      </c>
      <c r="AD73">
        <f>HYPERLINK("https://klasma.github.io/Logging_0562/tillsynsmail/A 59061-2024 tillsynsbegäran mail.docx", "A 59061-2024")</f>
        <v/>
      </c>
    </row>
    <row r="74" ht="15" customHeight="1">
      <c r="A74" t="inlineStr">
        <is>
          <t>A 22555-2024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46251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Hasselsnok</t>
        </is>
      </c>
      <c r="W74">
        <f>HYPERLINK("https://klasma.github.io/Logging_0562/artfynd/A 22555-2024 artfynd.xlsx", "A 22555-2024")</f>
        <v/>
      </c>
      <c r="X74">
        <f>HYPERLINK("https://klasma.github.io/Logging_0562/kartor/A 22555-2024 karta.png", "A 22555-2024")</f>
        <v/>
      </c>
      <c r="Y74">
        <f>HYPERLINK("https://klasma.github.io/Logging_0562/kartor_geotiff/A 22555-2024 georefererad karta.tif", "A 22555-2024")</f>
        <v/>
      </c>
      <c r="AA74">
        <f>HYPERLINK("https://klasma.github.io/Logging_0562/klagomål/A 22555-2024 FSC-klagomål.docx", "A 22555-2024")</f>
        <v/>
      </c>
      <c r="AB74">
        <f>HYPERLINK("https://klasma.github.io/Logging_0562/klagomålsmail/A 22555-2024 FSC-klagomål mail.docx", "A 22555-2024")</f>
        <v/>
      </c>
      <c r="AC74">
        <f>HYPERLINK("https://klasma.github.io/Logging_0562/tillsyn/A 22555-2024 tillsynsbegäran.docx", "A 22555-2024")</f>
        <v/>
      </c>
      <c r="AD74">
        <f>HYPERLINK("https://klasma.github.io/Logging_0562/tillsynsmail/A 22555-2024 tillsynsbegäran mail.docx", "A 22555-2024")</f>
        <v/>
      </c>
    </row>
    <row r="75" ht="15" customHeight="1">
      <c r="A75" t="inlineStr">
        <is>
          <t>A 11140-2023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46251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Grönvit nattviol</t>
        </is>
      </c>
      <c r="W75">
        <f>HYPERLINK("https://klasma.github.io/Logging_0562/artfynd/A 11140-2023 artfynd.xlsx", "A 11140-2023")</f>
        <v/>
      </c>
      <c r="X75">
        <f>HYPERLINK("https://klasma.github.io/Logging_0562/kartor/A 11140-2023 karta.png", "A 11140-2023")</f>
        <v/>
      </c>
      <c r="Y75">
        <f>HYPERLINK("https://klasma.github.io/Logging_0562/kartor_geotiff/A 11140-2023 georefererad karta.tif", "A 11140-2023")</f>
        <v/>
      </c>
      <c r="AA75">
        <f>HYPERLINK("https://klasma.github.io/Logging_0562/klagomål/A 11140-2023 FSC-klagomål.docx", "A 11140-2023")</f>
        <v/>
      </c>
      <c r="AB75">
        <f>HYPERLINK("https://klasma.github.io/Logging_0562/klagomålsmail/A 11140-2023 FSC-klagomål mail.docx", "A 11140-2023")</f>
        <v/>
      </c>
      <c r="AC75">
        <f>HYPERLINK("https://klasma.github.io/Logging_0562/tillsyn/A 11140-2023 tillsynsbegäran.docx", "A 11140-2023")</f>
        <v/>
      </c>
      <c r="AD75">
        <f>HYPERLINK("https://klasma.github.io/Logging_0562/tillsynsmail/A 11140-2023 tillsynsbegäran mail.docx", "A 11140-2023")</f>
        <v/>
      </c>
    </row>
    <row r="76" ht="15" customHeight="1">
      <c r="A76" t="inlineStr">
        <is>
          <t>A 10203-2022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44622</v>
      </c>
      <c r="E76" s="1" t="n">
        <v>46251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Vanlig backsmörblomma</t>
        </is>
      </c>
      <c r="W76">
        <f>HYPERLINK("https://klasma.github.io/Logging_0562/artfynd/A 10203-2022 artfynd.xlsx", "A 10203-2022")</f>
        <v/>
      </c>
      <c r="X76">
        <f>HYPERLINK("https://klasma.github.io/Logging_0562/kartor/A 10203-2022 karta.png", "A 10203-2022")</f>
        <v/>
      </c>
      <c r="Y76">
        <f>HYPERLINK("https://klasma.github.io/Logging_0562/kartor_geotiff/A 10203-2022 georefererad karta.tif", "A 10203-2022")</f>
        <v/>
      </c>
      <c r="AA76">
        <f>HYPERLINK("https://klasma.github.io/Logging_0562/klagomål/A 10203-2022 FSC-klagomål.docx", "A 10203-2022")</f>
        <v/>
      </c>
      <c r="AB76">
        <f>HYPERLINK("https://klasma.github.io/Logging_0562/klagomålsmail/A 10203-2022 FSC-klagomål mail.docx", "A 10203-2022")</f>
        <v/>
      </c>
      <c r="AC76">
        <f>HYPERLINK("https://klasma.github.io/Logging_0562/tillsyn/A 10203-2022 tillsynsbegäran.docx", "A 10203-2022")</f>
        <v/>
      </c>
      <c r="AD76">
        <f>HYPERLINK("https://klasma.github.io/Logging_0562/tillsynsmail/A 10203-2022 tillsynsbegäran mail.docx", "A 10203-2022")</f>
        <v/>
      </c>
    </row>
    <row r="77" ht="15" customHeight="1">
      <c r="A77" t="inlineStr">
        <is>
          <t>A 24411-2023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46251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Blåmossa</t>
        </is>
      </c>
      <c r="W77">
        <f>HYPERLINK("https://klasma.github.io/Logging_0562/artfynd/A 24411-2023 artfynd.xlsx", "A 24411-2023")</f>
        <v/>
      </c>
      <c r="X77">
        <f>HYPERLINK("https://klasma.github.io/Logging_0562/kartor/A 24411-2023 karta.png", "A 24411-2023")</f>
        <v/>
      </c>
      <c r="Y77">
        <f>HYPERLINK("https://klasma.github.io/Logging_0562/kartor_geotiff/A 24411-2023 georefererad karta.tif", "A 24411-2023")</f>
        <v/>
      </c>
      <c r="AA77">
        <f>HYPERLINK("https://klasma.github.io/Logging_0562/klagomål/A 24411-2023 FSC-klagomål.docx", "A 24411-2023")</f>
        <v/>
      </c>
      <c r="AB77">
        <f>HYPERLINK("https://klasma.github.io/Logging_0562/klagomålsmail/A 24411-2023 FSC-klagomål mail.docx", "A 24411-2023")</f>
        <v/>
      </c>
      <c r="AC77">
        <f>HYPERLINK("https://klasma.github.io/Logging_0562/tillsyn/A 24411-2023 tillsynsbegäran.docx", "A 24411-2023")</f>
        <v/>
      </c>
      <c r="AD77">
        <f>HYPERLINK("https://klasma.github.io/Logging_0562/tillsynsmail/A 24411-2023 tillsynsbegäran mail.docx", "A 24411-2023")</f>
        <v/>
      </c>
    </row>
    <row r="78" ht="15" customHeight="1">
      <c r="A78" t="inlineStr">
        <is>
          <t>A 15123-2025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45744</v>
      </c>
      <c r="E78" s="1" t="n">
        <v>46251</v>
      </c>
      <c r="F78" t="inlineStr">
        <is>
          <t>ÖSTERGÖTLANDS LÄN</t>
        </is>
      </c>
      <c r="G78" t="inlineStr">
        <is>
          <t>FINSPÅNG</t>
        </is>
      </c>
      <c r="H78" t="inlineStr">
        <is>
          <t>Naturvårdsverket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Orre</t>
        </is>
      </c>
      <c r="W78">
        <f>HYPERLINK("https://klasma.github.io/Logging_0562/artfynd/A 15123-2025 artfynd.xlsx", "A 15123-2025")</f>
        <v/>
      </c>
      <c r="X78">
        <f>HYPERLINK("https://klasma.github.io/Logging_0562/kartor/A 15123-2025 karta.png", "A 15123-2025")</f>
        <v/>
      </c>
      <c r="Y78">
        <f>HYPERLINK("https://klasma.github.io/Logging_0562/kartor_geotiff/A 15123-2025 georefererad karta.tif", "A 15123-2025")</f>
        <v/>
      </c>
      <c r="AA78">
        <f>HYPERLINK("https://klasma.github.io/Logging_0562/klagomål/A 15123-2025 FSC-klagomål.docx", "A 15123-2025")</f>
        <v/>
      </c>
      <c r="AB78">
        <f>HYPERLINK("https://klasma.github.io/Logging_0562/klagomålsmail/A 15123-2025 FSC-klagomål mail.docx", "A 15123-2025")</f>
        <v/>
      </c>
      <c r="AC78">
        <f>HYPERLINK("https://klasma.github.io/Logging_0562/tillsyn/A 15123-2025 tillsynsbegäran.docx", "A 15123-2025")</f>
        <v/>
      </c>
      <c r="AD78">
        <f>HYPERLINK("https://klasma.github.io/Logging_0562/tillsynsmail/A 15123-2025 tillsynsbegäran mail.docx", "A 15123-2025")</f>
        <v/>
      </c>
      <c r="AE78">
        <f>HYPERLINK("https://klasma.github.io/Logging_0562/fåglar/A 15123-2025 prioriterade fågelarter.docx", "A 15123-2025")</f>
        <v/>
      </c>
    </row>
    <row r="79" ht="15" customHeight="1">
      <c r="A79" t="inlineStr">
        <is>
          <t>A 22439-2023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45070</v>
      </c>
      <c r="E79" s="1" t="n">
        <v>46251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1.3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Hasselsnok</t>
        </is>
      </c>
      <c r="W79">
        <f>HYPERLINK("https://klasma.github.io/Logging_0562/artfynd/A 22439-2023 artfynd.xlsx", "A 22439-2023")</f>
        <v/>
      </c>
      <c r="X79">
        <f>HYPERLINK("https://klasma.github.io/Logging_0562/kartor/A 22439-2023 karta.png", "A 22439-2023")</f>
        <v/>
      </c>
      <c r="Y79">
        <f>HYPERLINK("https://klasma.github.io/Logging_0562/kartor_geotiff/A 22439-2023 georefererad karta.tif", "A 22439-2023")</f>
        <v/>
      </c>
      <c r="AA79">
        <f>HYPERLINK("https://klasma.github.io/Logging_0562/klagomål/A 22439-2023 FSC-klagomål.docx", "A 22439-2023")</f>
        <v/>
      </c>
      <c r="AB79">
        <f>HYPERLINK("https://klasma.github.io/Logging_0562/klagomålsmail/A 22439-2023 FSC-klagomål mail.docx", "A 22439-2023")</f>
        <v/>
      </c>
      <c r="AC79">
        <f>HYPERLINK("https://klasma.github.io/Logging_0562/tillsyn/A 22439-2023 tillsynsbegäran.docx", "A 22439-2023")</f>
        <v/>
      </c>
      <c r="AD79">
        <f>HYPERLINK("https://klasma.github.io/Logging_0562/tillsynsmail/A 22439-2023 tillsynsbegäran mail.docx", "A 22439-2023")</f>
        <v/>
      </c>
    </row>
    <row r="80" ht="15" customHeight="1">
      <c r="A80" t="inlineStr">
        <is>
          <t>A 7265-2026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46251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7265-2026 artfynd.xlsx", "A 7265-2026")</f>
        <v/>
      </c>
      <c r="X80">
        <f>HYPERLINK("https://klasma.github.io/Logging_0562/kartor/A 7265-2026 karta.png", "A 7265-2026")</f>
        <v/>
      </c>
      <c r="Y80">
        <f>HYPERLINK("https://klasma.github.io/Logging_0562/kartor_geotiff/A 7265-2026 georefererad karta.tif", "A 7265-2026")</f>
        <v/>
      </c>
      <c r="AA80">
        <f>HYPERLINK("https://klasma.github.io/Logging_0562/klagomål/A 7265-2026 FSC-klagomål.docx", "A 7265-2026")</f>
        <v/>
      </c>
      <c r="AB80">
        <f>HYPERLINK("https://klasma.github.io/Logging_0562/klagomålsmail/A 7265-2026 FSC-klagomål mail.docx", "A 7265-2026")</f>
        <v/>
      </c>
      <c r="AC80">
        <f>HYPERLINK("https://klasma.github.io/Logging_0562/tillsyn/A 7265-2026 tillsynsbegäran.docx", "A 7265-2026")</f>
        <v/>
      </c>
      <c r="AD80">
        <f>HYPERLINK("https://klasma.github.io/Logging_0562/tillsynsmail/A 7265-2026 tillsynsbegäran mail.docx", "A 7265-2026")</f>
        <v/>
      </c>
      <c r="AE80">
        <f>HYPERLINK("https://klasma.github.io/Logging_0562/fåglar/A 7265-2026 prioriterade fågelarter.docx", "A 7265-2026")</f>
        <v/>
      </c>
    </row>
    <row r="81" ht="15" customHeight="1">
      <c r="A81" t="inlineStr">
        <is>
          <t>A 22259-2024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46251</v>
      </c>
      <c r="F81" t="inlineStr">
        <is>
          <t>ÖSTERGÖTLANDS LÄN</t>
        </is>
      </c>
      <c r="G81" t="inlineStr">
        <is>
          <t>FINSPÅNG</t>
        </is>
      </c>
      <c r="I81" t="n">
        <v>2.7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HYPERLINK("https://klasma.github.io/Logging_0562/artfynd/A 22259-2024 artfynd.xlsx", "A 22259-2024")</f>
        <v/>
      </c>
      <c r="X81">
        <f>HYPERLINK("https://klasma.github.io/Logging_0562/kartor/A 22259-2024 karta.png", "A 22259-2024")</f>
        <v/>
      </c>
      <c r="Y81">
        <f>HYPERLINK("https://klasma.github.io/Logging_0562/kartor_geotiff/A 22259-2024 georefererad karta.tif", "A 22259-2024")</f>
        <v/>
      </c>
      <c r="AA81">
        <f>HYPERLINK("https://klasma.github.io/Logging_0562/klagomål/A 22259-2024 FSC-klagomål.docx", "A 22259-2024")</f>
        <v/>
      </c>
      <c r="AB81">
        <f>HYPERLINK("https://klasma.github.io/Logging_0562/klagomålsmail/A 22259-2024 FSC-klagomål mail.docx", "A 22259-2024")</f>
        <v/>
      </c>
      <c r="AC81">
        <f>HYPERLINK("https://klasma.github.io/Logging_0562/tillsyn/A 22259-2024 tillsynsbegäran.docx", "A 22259-2024")</f>
        <v/>
      </c>
      <c r="AD81">
        <f>HYPERLINK("https://klasma.github.io/Logging_0562/tillsynsmail/A 22259-2024 tillsynsbegäran mail.docx", "A 22259-2024")</f>
        <v/>
      </c>
    </row>
    <row r="82" ht="15" customHeight="1">
      <c r="A82" t="inlineStr">
        <is>
          <t>A 43167-2021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46251</v>
      </c>
      <c r="F82" t="inlineStr">
        <is>
          <t>ÖSTERGÖTLANDS LÄN</t>
        </is>
      </c>
      <c r="G82" t="inlineStr">
        <is>
          <t>FINSPÅNG</t>
        </is>
      </c>
      <c r="I82" t="n">
        <v>6.9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Lopplummer (aggregat)</t>
        </is>
      </c>
      <c r="W82">
        <f>HYPERLINK("https://klasma.github.io/Logging_0562/artfynd/A 43167-2021 artfynd.xlsx", "A 43167-2021")</f>
        <v/>
      </c>
      <c r="X82">
        <f>HYPERLINK("https://klasma.github.io/Logging_0562/kartor/A 43167-2021 karta.png", "A 43167-2021")</f>
        <v/>
      </c>
      <c r="Y82">
        <f>HYPERLINK("https://klasma.github.io/Logging_0562/kartor_geotiff/A 43167-2021 georefererad karta.tif", "A 43167-2021")</f>
        <v/>
      </c>
      <c r="AA82">
        <f>HYPERLINK("https://klasma.github.io/Logging_0562/klagomål/A 43167-2021 FSC-klagomål.docx", "A 43167-2021")</f>
        <v/>
      </c>
      <c r="AB82">
        <f>HYPERLINK("https://klasma.github.io/Logging_0562/klagomålsmail/A 43167-2021 FSC-klagomål mail.docx", "A 43167-2021")</f>
        <v/>
      </c>
      <c r="AC82">
        <f>HYPERLINK("https://klasma.github.io/Logging_0562/tillsyn/A 43167-2021 tillsynsbegäran.docx", "A 43167-2021")</f>
        <v/>
      </c>
      <c r="AD82">
        <f>HYPERLINK("https://klasma.github.io/Logging_0562/tillsynsmail/A 43167-2021 tillsynsbegäran mail.docx", "A 43167-2021")</f>
        <v/>
      </c>
    </row>
    <row r="83" ht="15" customHeight="1">
      <c r="A83" t="inlineStr">
        <is>
          <t>A 43166-2021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46251</v>
      </c>
      <c r="F83" t="inlineStr">
        <is>
          <t>ÖSTERGÖTLANDS LÄN</t>
        </is>
      </c>
      <c r="G83" t="inlineStr">
        <is>
          <t>FINSPÅNG</t>
        </is>
      </c>
      <c r="I83" t="n">
        <v>6.3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HYPERLINK("https://klasma.github.io/Logging_0562/artfynd/A 43166-2021 artfynd.xlsx", "A 43166-2021")</f>
        <v/>
      </c>
      <c r="X83">
        <f>HYPERLINK("https://klasma.github.io/Logging_0562/kartor/A 43166-2021 karta.png", "A 43166-2021")</f>
        <v/>
      </c>
      <c r="Y83">
        <f>HYPERLINK("https://klasma.github.io/Logging_0562/kartor_geotiff/A 43166-2021 georefererad karta.tif", "A 43166-2021")</f>
        <v/>
      </c>
      <c r="AA83">
        <f>HYPERLINK("https://klasma.github.io/Logging_0562/klagomål/A 43166-2021 FSC-klagomål.docx", "A 43166-2021")</f>
        <v/>
      </c>
      <c r="AB83">
        <f>HYPERLINK("https://klasma.github.io/Logging_0562/klagomålsmail/A 43166-2021 FSC-klagomål mail.docx", "A 43166-2021")</f>
        <v/>
      </c>
      <c r="AC83">
        <f>HYPERLINK("https://klasma.github.io/Logging_0562/tillsyn/A 43166-2021 tillsynsbegäran.docx", "A 43166-2021")</f>
        <v/>
      </c>
      <c r="AD83">
        <f>HYPERLINK("https://klasma.github.io/Logging_0562/tillsynsmail/A 43166-2021 tillsynsbegäran mail.docx", "A 43166-2021")</f>
        <v/>
      </c>
    </row>
    <row r="84" ht="15" customHeight="1">
      <c r="A84" t="inlineStr">
        <is>
          <t>A 6407-2023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46251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HYPERLINK("https://klasma.github.io/Logging_0562/artfynd/A 6407-2023 artfynd.xlsx", "A 6407-2023")</f>
        <v/>
      </c>
      <c r="X84">
        <f>HYPERLINK("https://klasma.github.io/Logging_0562/kartor/A 6407-2023 karta.png", "A 6407-2023")</f>
        <v/>
      </c>
      <c r="Y84">
        <f>HYPERLINK("https://klasma.github.io/Logging_0562/kartor_geotiff/A 6407-2023 georefererad karta.tif", "A 6407-2023")</f>
        <v/>
      </c>
      <c r="AA84">
        <f>HYPERLINK("https://klasma.github.io/Logging_0562/klagomål/A 6407-2023 FSC-klagomål.docx", "A 6407-2023")</f>
        <v/>
      </c>
      <c r="AB84">
        <f>HYPERLINK("https://klasma.github.io/Logging_0562/klagomålsmail/A 6407-2023 FSC-klagomål mail.docx", "A 6407-2023")</f>
        <v/>
      </c>
      <c r="AC84">
        <f>HYPERLINK("https://klasma.github.io/Logging_0562/tillsyn/A 6407-2023 tillsynsbegäran.docx", "A 6407-2023")</f>
        <v/>
      </c>
      <c r="AD84">
        <f>HYPERLINK("https://klasma.github.io/Logging_0562/tillsynsmail/A 6407-2023 tillsynsbegäran mail.docx", "A 6407-2023")</f>
        <v/>
      </c>
      <c r="AE84">
        <f>HYPERLINK("https://klasma.github.io/Logging_0562/fåglar/A 6407-2023 prioriterade fågelarter.docx", "A 6407-2023")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46251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42947-2024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46251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42947-2024 artfynd.xlsx", "A 42947-2024")</f>
        <v/>
      </c>
      <c r="X86">
        <f>HYPERLINK("https://klasma.github.io/Logging_0562/kartor/A 42947-2024 karta.png", "A 42947-2024")</f>
        <v/>
      </c>
      <c r="Y86">
        <f>HYPERLINK("https://klasma.github.io/Logging_0562/kartor_geotiff/A 42947-2024 georefererad karta.tif", "A 42947-2024")</f>
        <v/>
      </c>
      <c r="Z86">
        <f>HYPERLINK("https://klasma.github.io/Logging_0562/knärot/A 42947-2024 karta knärot.png", "A 42947-2024")</f>
        <v/>
      </c>
      <c r="AA86">
        <f>HYPERLINK("https://klasma.github.io/Logging_0562/klagomål/A 42947-2024 FSC-klagomål.docx", "A 42947-2024")</f>
        <v/>
      </c>
      <c r="AB86">
        <f>HYPERLINK("https://klasma.github.io/Logging_0562/klagomålsmail/A 42947-2024 FSC-klagomål mail.docx", "A 42947-2024")</f>
        <v/>
      </c>
      <c r="AC86">
        <f>HYPERLINK("https://klasma.github.io/Logging_0562/tillsyn/A 42947-2024 tillsynsbegäran.docx", "A 42947-2024")</f>
        <v/>
      </c>
      <c r="AD86">
        <f>HYPERLINK("https://klasma.github.io/Logging_0562/tillsynsmail/A 42947-2024 tillsynsbegäran mail.docx", "A 42947-2024")</f>
        <v/>
      </c>
    </row>
    <row r="87" ht="15" customHeight="1">
      <c r="A87" t="inlineStr">
        <is>
          <t>A 25942-2026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HYPERLINK("https://klasma.github.io/Logging_0562/artfynd/A 25942-2026 artfynd.xlsx", "A 25942-2026")</f>
        <v/>
      </c>
      <c r="X87">
        <f>HYPERLINK("https://klasma.github.io/Logging_0562/kartor/A 25942-2026 karta.png", "A 25942-2026")</f>
        <v/>
      </c>
      <c r="Y87">
        <f>HYPERLINK("https://klasma.github.io/Logging_0562/kartor_geotiff/A 25942-2026 georefererad karta.tif", "A 25942-2026")</f>
        <v/>
      </c>
      <c r="AA87">
        <f>HYPERLINK("https://klasma.github.io/Logging_0562/klagomål/A 25942-2026 FSC-klagomål.docx", "A 25942-2026")</f>
        <v/>
      </c>
      <c r="AB87">
        <f>HYPERLINK("https://klasma.github.io/Logging_0562/klagomålsmail/A 25942-2026 FSC-klagomål mail.docx", "A 25942-2026")</f>
        <v/>
      </c>
      <c r="AC87">
        <f>HYPERLINK("https://klasma.github.io/Logging_0562/tillsyn/A 25942-2026 tillsynsbegäran.docx", "A 25942-2026")</f>
        <v/>
      </c>
      <c r="AD87">
        <f>HYPERLINK("https://klasma.github.io/Logging_0562/tillsynsmail/A 25942-2026 tillsynsbegäran mail.docx", "A 25942-2026")</f>
        <v/>
      </c>
    </row>
    <row r="88" ht="15" customHeight="1">
      <c r="A88" t="inlineStr">
        <is>
          <t>A 27861-2025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46251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3.1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HYPERLINK("https://klasma.github.io/Logging_0562/artfynd/A 27861-2025 artfynd.xlsx", "A 27861-2025")</f>
        <v/>
      </c>
      <c r="X88">
        <f>HYPERLINK("https://klasma.github.io/Logging_0562/kartor/A 27861-2025 karta.png", "A 27861-2025")</f>
        <v/>
      </c>
      <c r="Y88">
        <f>HYPERLINK("https://klasma.github.io/Logging_0562/kartor_geotiff/A 27861-2025 georefererad karta.tif", "A 27861-2025")</f>
        <v/>
      </c>
      <c r="AA88">
        <f>HYPERLINK("https://klasma.github.io/Logging_0562/klagomål/A 27861-2025 FSC-klagomål.docx", "A 27861-2025")</f>
        <v/>
      </c>
      <c r="AB88">
        <f>HYPERLINK("https://klasma.github.io/Logging_0562/klagomålsmail/A 27861-2025 FSC-klagomål mail.docx", "A 27861-2025")</f>
        <v/>
      </c>
      <c r="AC88">
        <f>HYPERLINK("https://klasma.github.io/Logging_0562/tillsyn/A 27861-2025 tillsynsbegäran.docx", "A 27861-2025")</f>
        <v/>
      </c>
      <c r="AD88">
        <f>HYPERLINK("https://klasma.github.io/Logging_0562/tillsynsmail/A 27861-2025 tillsynsbegäran mail.docx", "A 27861-2025")</f>
        <v/>
      </c>
    </row>
    <row r="89" ht="15" customHeight="1">
      <c r="A89" t="inlineStr">
        <is>
          <t>A 27456-2026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46251</v>
      </c>
      <c r="F89" t="inlineStr">
        <is>
          <t>ÖSTERGÖTLANDS LÄN</t>
        </is>
      </c>
      <c r="G89" t="inlineStr">
        <is>
          <t>FINSPÅNG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HYPERLINK("https://klasma.github.io/Logging_0562/artfynd/A 27456-2026 artfynd.xlsx", "A 27456-2026")</f>
        <v/>
      </c>
      <c r="X89">
        <f>HYPERLINK("https://klasma.github.io/Logging_0562/kartor/A 27456-2026 karta.png", "A 27456-2026")</f>
        <v/>
      </c>
      <c r="Y89">
        <f>HYPERLINK("https://klasma.github.io/Logging_0562/kartor_geotiff/A 27456-2026 georefererad karta.tif", "A 27456-2026")</f>
        <v/>
      </c>
      <c r="AA89">
        <f>HYPERLINK("https://klasma.github.io/Logging_0562/klagomål/A 27456-2026 FSC-klagomål.docx", "A 27456-2026")</f>
        <v/>
      </c>
      <c r="AB89">
        <f>HYPERLINK("https://klasma.github.io/Logging_0562/klagomålsmail/A 27456-2026 FSC-klagomål mail.docx", "A 27456-2026")</f>
        <v/>
      </c>
      <c r="AC89">
        <f>HYPERLINK("https://klasma.github.io/Logging_0562/tillsyn/A 27456-2026 tillsynsbegäran.docx", "A 27456-2026")</f>
        <v/>
      </c>
      <c r="AD89">
        <f>HYPERLINK("https://klasma.github.io/Logging_0562/tillsynsmail/A 27456-2026 tillsynsbegäran mail.docx", "A 27456-2026")</f>
        <v/>
      </c>
    </row>
    <row r="90" ht="15" customHeight="1">
      <c r="A90" t="inlineStr">
        <is>
          <t>A 36128-2023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45149</v>
      </c>
      <c r="E90" s="1" t="n">
        <v>46251</v>
      </c>
      <c r="F90" t="inlineStr">
        <is>
          <t>ÖSTERGÖTLANDS LÄN</t>
        </is>
      </c>
      <c r="G90" t="inlineStr">
        <is>
          <t>FINSPÅNG</t>
        </is>
      </c>
      <c r="I90" t="n">
        <v>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Talltita</t>
        </is>
      </c>
      <c r="W90">
        <f>HYPERLINK("https://klasma.github.io/Logging_0562/artfynd/A 36128-2023 artfynd.xlsx", "A 36128-2023")</f>
        <v/>
      </c>
      <c r="X90">
        <f>HYPERLINK("https://klasma.github.io/Logging_0562/kartor/A 36128-2023 karta.png", "A 36128-2023")</f>
        <v/>
      </c>
      <c r="Y90">
        <f>HYPERLINK("https://klasma.github.io/Logging_0562/kartor_geotiff/A 36128-2023 georefererad karta.tif", "A 36128-2023")</f>
        <v/>
      </c>
      <c r="AA90">
        <f>HYPERLINK("https://klasma.github.io/Logging_0562/klagomål/A 36128-2023 FSC-klagomål.docx", "A 36128-2023")</f>
        <v/>
      </c>
      <c r="AB90">
        <f>HYPERLINK("https://klasma.github.io/Logging_0562/klagomålsmail/A 36128-2023 FSC-klagomål mail.docx", "A 36128-2023")</f>
        <v/>
      </c>
      <c r="AC90">
        <f>HYPERLINK("https://klasma.github.io/Logging_0562/tillsyn/A 36128-2023 tillsynsbegäran.docx", "A 36128-2023")</f>
        <v/>
      </c>
      <c r="AD90">
        <f>HYPERLINK("https://klasma.github.io/Logging_0562/tillsynsmail/A 36128-2023 tillsynsbegäran mail.docx", "A 36128-2023")</f>
        <v/>
      </c>
      <c r="AE90">
        <f>HYPERLINK("https://klasma.github.io/Logging_0562/fåglar/A 36128-2023 prioriterade fågelarter.docx", "A 36128-2023")</f>
        <v/>
      </c>
    </row>
    <row r="91" ht="15" customHeight="1">
      <c r="A91" t="inlineStr">
        <is>
          <t>A 34310-2025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46251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HYPERLINK("https://klasma.github.io/Logging_0562/artfynd/A 34310-2025 artfynd.xlsx", "A 34310-2025")</f>
        <v/>
      </c>
      <c r="X91">
        <f>HYPERLINK("https://klasma.github.io/Logging_0562/kartor/A 34310-2025 karta.png", "A 34310-2025")</f>
        <v/>
      </c>
      <c r="Y91">
        <f>HYPERLINK("https://klasma.github.io/Logging_0562/kartor_geotiff/A 34310-2025 georefererad karta.tif", "A 34310-2025")</f>
        <v/>
      </c>
      <c r="AA91">
        <f>HYPERLINK("https://klasma.github.io/Logging_0562/klagomål/A 34310-2025 FSC-klagomål.docx", "A 34310-2025")</f>
        <v/>
      </c>
      <c r="AB91">
        <f>HYPERLINK("https://klasma.github.io/Logging_0562/klagomålsmail/A 34310-2025 FSC-klagomål mail.docx", "A 34310-2025")</f>
        <v/>
      </c>
      <c r="AC91">
        <f>HYPERLINK("https://klasma.github.io/Logging_0562/tillsyn/A 34310-2025 tillsynsbegäran.docx", "A 34310-2025")</f>
        <v/>
      </c>
      <c r="AD91">
        <f>HYPERLINK("https://klasma.github.io/Logging_0562/tillsynsmail/A 34310-2025 tillsynsbegäran mail.docx", "A 34310-2025")</f>
        <v/>
      </c>
    </row>
    <row r="92" ht="15" customHeight="1">
      <c r="A92" t="inlineStr">
        <is>
          <t>A 34220-2025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46251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HYPERLINK("https://klasma.github.io/Logging_0562/artfynd/A 34220-2025 artfynd.xlsx", "A 34220-2025")</f>
        <v/>
      </c>
      <c r="X92">
        <f>HYPERLINK("https://klasma.github.io/Logging_0562/kartor/A 34220-2025 karta.png", "A 34220-2025")</f>
        <v/>
      </c>
      <c r="Y92">
        <f>HYPERLINK("https://klasma.github.io/Logging_0562/kartor_geotiff/A 34220-2025 georefererad karta.tif", "A 34220-2025")</f>
        <v/>
      </c>
      <c r="AA92">
        <f>HYPERLINK("https://klasma.github.io/Logging_0562/klagomål/A 34220-2025 FSC-klagomål.docx", "A 34220-2025")</f>
        <v/>
      </c>
      <c r="AB92">
        <f>HYPERLINK("https://klasma.github.io/Logging_0562/klagomålsmail/A 34220-2025 FSC-klagomål mail.docx", "A 34220-2025")</f>
        <v/>
      </c>
      <c r="AC92">
        <f>HYPERLINK("https://klasma.github.io/Logging_0562/tillsyn/A 34220-2025 tillsynsbegäran.docx", "A 34220-2025")</f>
        <v/>
      </c>
      <c r="AD92">
        <f>HYPERLINK("https://klasma.github.io/Logging_0562/tillsynsmail/A 34220-2025 tillsynsbegäran mail.docx", "A 34220-2025")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46251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46251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46251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46251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46251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46251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46251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46251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46251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46251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46251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46251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46251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44795</v>
      </c>
      <c r="E106" s="1" t="n">
        <v>46251</v>
      </c>
      <c r="F106" t="inlineStr">
        <is>
          <t>ÖSTERGÖTLANDS LÄN</t>
        </is>
      </c>
      <c r="G106" t="inlineStr">
        <is>
          <t>FINSPÅNG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46251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46251</v>
      </c>
      <c r="F108" t="inlineStr">
        <is>
          <t>ÖSTERGÖTLANDS LÄN</t>
        </is>
      </c>
      <c r="G108" t="inlineStr">
        <is>
          <t>FINSPÅNG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46251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44675</v>
      </c>
      <c r="E110" s="1" t="n">
        <v>46251</v>
      </c>
      <c r="F110" t="inlineStr">
        <is>
          <t>ÖSTERGÖTLANDS LÄN</t>
        </is>
      </c>
      <c r="G110" t="inlineStr">
        <is>
          <t>FINSPÅNG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46251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46251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46251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44426</v>
      </c>
      <c r="E114" s="1" t="n">
        <v>46251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73657-2021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44551</v>
      </c>
      <c r="E115" s="1" t="n">
        <v>46251</v>
      </c>
      <c r="F115" t="inlineStr">
        <is>
          <t>ÖSTERGÖTLANDS LÄN</t>
        </is>
      </c>
      <c r="G115" t="inlineStr">
        <is>
          <t>FINSPÅNG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68009-2021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46251</v>
      </c>
      <c r="F116" t="inlineStr">
        <is>
          <t>ÖSTERGÖTLANDS LÄN</t>
        </is>
      </c>
      <c r="G116" t="inlineStr">
        <is>
          <t>FINSPÅNG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46251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46251</v>
      </c>
      <c r="F118" t="inlineStr">
        <is>
          <t>ÖSTERGÖTLANDS LÄN</t>
        </is>
      </c>
      <c r="G118" t="inlineStr">
        <is>
          <t>FINSPÅNG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46251</v>
      </c>
      <c r="F119" t="inlineStr">
        <is>
          <t>ÖSTERGÖTLANDS LÄN</t>
        </is>
      </c>
      <c r="G119" t="inlineStr">
        <is>
          <t>FINSPÅNG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46251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46251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46251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46251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46251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67767-2021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46251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46251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62445-2021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44503</v>
      </c>
      <c r="E127" s="1" t="n">
        <v>46251</v>
      </c>
      <c r="F127" t="inlineStr">
        <is>
          <t>ÖSTERGÖTLANDS LÄN</t>
        </is>
      </c>
      <c r="G127" t="inlineStr">
        <is>
          <t>FINSPÅNG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46251</v>
      </c>
      <c r="F128" t="inlineStr">
        <is>
          <t>ÖSTERGÖTLANDS LÄN</t>
        </is>
      </c>
      <c r="G128" t="inlineStr">
        <is>
          <t>FINSPÅNG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62196-2021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46251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Övriga Aktiebolag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73659-2021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46251</v>
      </c>
      <c r="F130" t="inlineStr">
        <is>
          <t>ÖSTERGÖTLANDS LÄN</t>
        </is>
      </c>
      <c r="G130" t="inlineStr">
        <is>
          <t>FINSPÅNG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44712</v>
      </c>
      <c r="E131" s="1" t="n">
        <v>46251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46251</v>
      </c>
      <c r="F132" t="inlineStr">
        <is>
          <t>ÖSTERGÖTLANDS LÄN</t>
        </is>
      </c>
      <c r="G132" t="inlineStr">
        <is>
          <t>FINSPÅNG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46251</v>
      </c>
      <c r="F133" t="inlineStr">
        <is>
          <t>ÖSTERGÖTLANDS LÄN</t>
        </is>
      </c>
      <c r="G133" t="inlineStr">
        <is>
          <t>FINSPÅNG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46251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46251</v>
      </c>
      <c r="F135" t="inlineStr">
        <is>
          <t>ÖSTERGÖTLANDS LÄN</t>
        </is>
      </c>
      <c r="G135" t="inlineStr">
        <is>
          <t>FINSPÅNG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46251</v>
      </c>
      <c r="F136" t="inlineStr">
        <is>
          <t>ÖSTERGÖTLANDS LÄN</t>
        </is>
      </c>
      <c r="G136" t="inlineStr">
        <is>
          <t>FINSPÅNG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46251</v>
      </c>
      <c r="F137" t="inlineStr">
        <is>
          <t>ÖSTERGÖTLANDS LÄN</t>
        </is>
      </c>
      <c r="G137" t="inlineStr">
        <is>
          <t>FINSPÅNG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46251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51808-2021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44462</v>
      </c>
      <c r="E139" s="1" t="n">
        <v>46251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46251</v>
      </c>
      <c r="F140" t="inlineStr">
        <is>
          <t>ÖSTERGÖTLANDS LÄN</t>
        </is>
      </c>
      <c r="G140" t="inlineStr">
        <is>
          <t>FINSPÅNG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44782</v>
      </c>
      <c r="E141" s="1" t="n">
        <v>46251</v>
      </c>
      <c r="F141" t="inlineStr">
        <is>
          <t>ÖSTERGÖTLANDS LÄN</t>
        </is>
      </c>
      <c r="G141" t="inlineStr">
        <is>
          <t>FINSPÅNG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44741</v>
      </c>
      <c r="E142" s="1" t="n">
        <v>46251</v>
      </c>
      <c r="F142" t="inlineStr">
        <is>
          <t>ÖSTERGÖTLANDS LÄN</t>
        </is>
      </c>
      <c r="G142" t="inlineStr">
        <is>
          <t>FINSPÅNG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46251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46251</v>
      </c>
      <c r="F144" t="inlineStr">
        <is>
          <t>ÖSTERGÖTLANDS LÄN</t>
        </is>
      </c>
      <c r="G144" t="inlineStr">
        <is>
          <t>FINSPÅNG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44678</v>
      </c>
      <c r="E145" s="1" t="n">
        <v>46251</v>
      </c>
      <c r="F145" t="inlineStr">
        <is>
          <t>ÖSTERGÖTLANDS LÄN</t>
        </is>
      </c>
      <c r="G145" t="inlineStr">
        <is>
          <t>FINSPÅNG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46251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46251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46251</v>
      </c>
      <c r="F148" t="inlineStr">
        <is>
          <t>ÖSTERGÖTLANDS LÄN</t>
        </is>
      </c>
      <c r="G148" t="inlineStr">
        <is>
          <t>FINSPÅNG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44860</v>
      </c>
      <c r="E149" s="1" t="n">
        <v>46251</v>
      </c>
      <c r="F149" t="inlineStr">
        <is>
          <t>ÖSTERGÖTLANDS LÄN</t>
        </is>
      </c>
      <c r="G149" t="inlineStr">
        <is>
          <t>FINSPÅNG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44753</v>
      </c>
      <c r="E150" s="1" t="n">
        <v>46251</v>
      </c>
      <c r="F150" t="inlineStr">
        <is>
          <t>ÖSTERGÖTLANDS LÄN</t>
        </is>
      </c>
      <c r="G150" t="inlineStr">
        <is>
          <t>FINSPÅNG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36075-2022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44802</v>
      </c>
      <c r="E151" s="1" t="n">
        <v>46251</v>
      </c>
      <c r="F151" t="inlineStr">
        <is>
          <t>ÖSTERGÖTLANDS LÄN</t>
        </is>
      </c>
      <c r="G151" t="inlineStr">
        <is>
          <t>FINSPÅNG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46251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46251</v>
      </c>
      <c r="F153" t="inlineStr">
        <is>
          <t>ÖSTERGÖTLANDS LÄN</t>
        </is>
      </c>
      <c r="G153" t="inlineStr">
        <is>
          <t>FINSPÅNG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43908-2021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46251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  <c r="Z154">
        <f>HYPERLINK("https://klasma.github.io/Logging_0562/knärot/A 43908-2021 karta knärot.png", "A 43908-2021")</f>
        <v/>
      </c>
      <c r="AA154">
        <f>HYPERLINK("https://klasma.github.io/Logging_0562/klagomål/A 43908-2021 FSC-klagomål.docx", "A 43908-2021")</f>
        <v/>
      </c>
      <c r="AB154">
        <f>HYPERLINK("https://klasma.github.io/Logging_0562/klagomålsmail/A 43908-2021 FSC-klagomål mail.docx", "A 43908-2021")</f>
        <v/>
      </c>
      <c r="AC154">
        <f>HYPERLINK("https://klasma.github.io/Logging_0562/tillsyn/A 43908-2021 tillsynsbegäran.docx", "A 43908-2021")</f>
        <v/>
      </c>
      <c r="AD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44541</v>
      </c>
      <c r="E155" s="1" t="n">
        <v>46251</v>
      </c>
      <c r="F155" t="inlineStr">
        <is>
          <t>ÖSTERGÖTLANDS LÄN</t>
        </is>
      </c>
      <c r="G155" t="inlineStr">
        <is>
          <t>FINSPÅNG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44564</v>
      </c>
      <c r="E156" s="1" t="n">
        <v>46251</v>
      </c>
      <c r="F156" t="inlineStr">
        <is>
          <t>ÖSTERGÖTLANDS LÄN</t>
        </is>
      </c>
      <c r="G156" t="inlineStr">
        <is>
          <t>FINSPÅNG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51448-2021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44462</v>
      </c>
      <c r="E157" s="1" t="n">
        <v>46251</v>
      </c>
      <c r="F157" t="inlineStr">
        <is>
          <t>ÖSTERGÖTLANDS LÄN</t>
        </is>
      </c>
      <c r="G157" t="inlineStr">
        <is>
          <t>FINSPÅNG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46251</v>
      </c>
      <c r="F158" t="inlineStr">
        <is>
          <t>ÖSTERGÖTLANDS LÄN</t>
        </is>
      </c>
      <c r="G158" t="inlineStr">
        <is>
          <t>FINSPÅNG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53741-2021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44469</v>
      </c>
      <c r="E159" s="1" t="n">
        <v>46251</v>
      </c>
      <c r="F159" t="inlineStr">
        <is>
          <t>ÖSTERGÖTLANDS LÄN</t>
        </is>
      </c>
      <c r="G159" t="inlineStr">
        <is>
          <t>FINSPÅNG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43165-2021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44431</v>
      </c>
      <c r="E160" s="1" t="n">
        <v>46251</v>
      </c>
      <c r="F160" t="inlineStr">
        <is>
          <t>ÖSTERGÖTLANDS LÄN</t>
        </is>
      </c>
      <c r="G160" t="inlineStr">
        <is>
          <t>FINSPÅNG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44595</v>
      </c>
      <c r="E161" s="1" t="n">
        <v>46251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46251</v>
      </c>
      <c r="F162" t="inlineStr">
        <is>
          <t>ÖSTERGÖTLANDS LÄN</t>
        </is>
      </c>
      <c r="G162" t="inlineStr">
        <is>
          <t>FINSPÅNG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46251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46251</v>
      </c>
      <c r="F164" t="inlineStr">
        <is>
          <t>ÖSTERGÖTLANDS LÄN</t>
        </is>
      </c>
      <c r="G164" t="inlineStr">
        <is>
          <t>FINSPÅNG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46251</v>
      </c>
      <c r="F165" t="inlineStr">
        <is>
          <t>ÖSTERGÖTLANDS LÄN</t>
        </is>
      </c>
      <c r="G165" t="inlineStr">
        <is>
          <t>FINSPÅNG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44627</v>
      </c>
      <c r="E166" s="1" t="n">
        <v>46251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46251</v>
      </c>
      <c r="F167" t="inlineStr">
        <is>
          <t>ÖSTERGÖTLANDS LÄN</t>
        </is>
      </c>
      <c r="G167" t="inlineStr">
        <is>
          <t>FINSPÅNG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44434</v>
      </c>
      <c r="E168" s="1" t="n">
        <v>46251</v>
      </c>
      <c r="F168" t="inlineStr">
        <is>
          <t>ÖSTERGÖTLANDS LÄN</t>
        </is>
      </c>
      <c r="G168" t="inlineStr">
        <is>
          <t>FINSPÅNG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46251</v>
      </c>
      <c r="F169" t="inlineStr">
        <is>
          <t>ÖSTERGÖTLANDS LÄN</t>
        </is>
      </c>
      <c r="G169" t="inlineStr">
        <is>
          <t>FINSPÅNG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44425</v>
      </c>
      <c r="E170" s="1" t="n">
        <v>46251</v>
      </c>
      <c r="F170" t="inlineStr">
        <is>
          <t>ÖSTERGÖTLANDS LÄN</t>
        </is>
      </c>
      <c r="G170" t="inlineStr">
        <is>
          <t>FINSPÅNG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69717-2021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46251</v>
      </c>
      <c r="F171" t="inlineStr">
        <is>
          <t>ÖSTERGÖTLANDS LÄN</t>
        </is>
      </c>
      <c r="G171" t="inlineStr">
        <is>
          <t>FINSPÅNG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46251</v>
      </c>
      <c r="F172" t="inlineStr">
        <is>
          <t>ÖSTERGÖTLANDS LÄN</t>
        </is>
      </c>
      <c r="G172" t="inlineStr">
        <is>
          <t>FINSPÅNG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46251</v>
      </c>
      <c r="F173" t="inlineStr">
        <is>
          <t>ÖSTERGÖTLANDS LÄN</t>
        </is>
      </c>
      <c r="G173" t="inlineStr">
        <is>
          <t>FINSPÅNG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46251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44588</v>
      </c>
      <c r="E175" s="1" t="n">
        <v>46251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Övriga Aktiebolag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53028-2022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46251</v>
      </c>
      <c r="F176" t="inlineStr">
        <is>
          <t>ÖSTERGÖTLANDS LÄN</t>
        </is>
      </c>
      <c r="G176" t="inlineStr">
        <is>
          <t>FINSPÅNG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44463</v>
      </c>
      <c r="E177" s="1" t="n">
        <v>46251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27657-2022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44743</v>
      </c>
      <c r="E178" s="1" t="n">
        <v>46251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46251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46251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44581</v>
      </c>
      <c r="E181" s="1" t="n">
        <v>46251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44630</v>
      </c>
      <c r="E182" s="1" t="n">
        <v>46251</v>
      </c>
      <c r="F182" t="inlineStr">
        <is>
          <t>ÖSTERGÖTLANDS LÄN</t>
        </is>
      </c>
      <c r="G182" t="inlineStr">
        <is>
          <t>FINSPÅNG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45374</v>
      </c>
      <c r="E183" s="1" t="n">
        <v>46251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Kyrkan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46251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46251</v>
      </c>
      <c r="F185" t="inlineStr">
        <is>
          <t>ÖSTERGÖTLANDS LÄN</t>
        </is>
      </c>
      <c r="G185" t="inlineStr">
        <is>
          <t>FINSPÅNG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46251</v>
      </c>
      <c r="F186" t="inlineStr">
        <is>
          <t>ÖSTERGÖTLANDS LÄN</t>
        </is>
      </c>
      <c r="G186" t="inlineStr">
        <is>
          <t>FINSPÅNG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46251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44664</v>
      </c>
      <c r="E188" s="1" t="n">
        <v>46251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46251</v>
      </c>
      <c r="F189" t="inlineStr">
        <is>
          <t>ÖSTERGÖTLANDS LÄN</t>
        </is>
      </c>
      <c r="G189" t="inlineStr">
        <is>
          <t>FINSPÅNG</t>
        </is>
      </c>
      <c r="I189" t="n">
        <v>16.6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46251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46251</v>
      </c>
      <c r="F191" t="inlineStr">
        <is>
          <t>ÖSTERGÖTLANDS LÄN</t>
        </is>
      </c>
      <c r="G191" t="inlineStr">
        <is>
          <t>FINSPÅNG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46251</v>
      </c>
      <c r="F192" t="inlineStr">
        <is>
          <t>ÖSTERGÖTLANDS LÄN</t>
        </is>
      </c>
      <c r="G192" t="inlineStr">
        <is>
          <t>FINSPÅNG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44806</v>
      </c>
      <c r="E193" s="1" t="n">
        <v>46251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46251</v>
      </c>
      <c r="F194" t="inlineStr">
        <is>
          <t>ÖSTERGÖTLANDS LÄN</t>
        </is>
      </c>
      <c r="G194" t="inlineStr">
        <is>
          <t>FINSPÅNG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46251</v>
      </c>
      <c r="F195" t="inlineStr">
        <is>
          <t>ÖSTERGÖTLANDS LÄN</t>
        </is>
      </c>
      <c r="G195" t="inlineStr">
        <is>
          <t>FINSPÅNG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46251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44481</v>
      </c>
      <c r="E197" s="1" t="n">
        <v>46251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46251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46251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44816</v>
      </c>
      <c r="E200" s="1" t="n">
        <v>46251</v>
      </c>
      <c r="F200" t="inlineStr">
        <is>
          <t>ÖSTERGÖTLANDS LÄN</t>
        </is>
      </c>
      <c r="G200" t="inlineStr">
        <is>
          <t>FINSPÅNG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46251</v>
      </c>
      <c r="F201" t="inlineStr">
        <is>
          <t>ÖSTERGÖTLANDS LÄN</t>
        </is>
      </c>
      <c r="G201" t="inlineStr">
        <is>
          <t>FINSPÅNG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45744</v>
      </c>
      <c r="E202" s="1" t="n">
        <v>46251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46251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44776</v>
      </c>
      <c r="E204" s="1" t="n">
        <v>46251</v>
      </c>
      <c r="F204" t="inlineStr">
        <is>
          <t>ÖSTERGÖTLANDS LÄN</t>
        </is>
      </c>
      <c r="G204" t="inlineStr">
        <is>
          <t>FINSPÅNG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46251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46251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41805-2021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46251</v>
      </c>
      <c r="F207" t="inlineStr">
        <is>
          <t>ÖSTERGÖTLANDS LÄN</t>
        </is>
      </c>
      <c r="G207" t="inlineStr">
        <is>
          <t>FINSPÅNG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44438</v>
      </c>
      <c r="E208" s="1" t="n">
        <v>46251</v>
      </c>
      <c r="F208" t="inlineStr">
        <is>
          <t>ÖSTERGÖTLANDS LÄN</t>
        </is>
      </c>
      <c r="G208" t="inlineStr">
        <is>
          <t>FINSPÅNG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46251</v>
      </c>
      <c r="F209" t="inlineStr">
        <is>
          <t>ÖSTERGÖTLANDS LÄN</t>
        </is>
      </c>
      <c r="G209" t="inlineStr">
        <is>
          <t>FINSPÅNG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46251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46251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44444</v>
      </c>
      <c r="E212" s="1" t="n">
        <v>46251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46251</v>
      </c>
      <c r="F213" t="inlineStr">
        <is>
          <t>ÖSTERGÖTLANDS LÄN</t>
        </is>
      </c>
      <c r="G213" t="inlineStr">
        <is>
          <t>FINSPÅNG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22412-2022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44713</v>
      </c>
      <c r="E214" s="1" t="n">
        <v>46251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46251</v>
      </c>
      <c r="F215" t="inlineStr">
        <is>
          <t>ÖSTERGÖTLANDS LÄN</t>
        </is>
      </c>
      <c r="G215" t="inlineStr">
        <is>
          <t>FINSPÅNG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46251</v>
      </c>
      <c r="F216" t="inlineStr">
        <is>
          <t>ÖSTERGÖTLANDS LÄN</t>
        </is>
      </c>
      <c r="G216" t="inlineStr">
        <is>
          <t>FINSPÅNG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44729</v>
      </c>
      <c r="E217" s="1" t="n">
        <v>46251</v>
      </c>
      <c r="F217" t="inlineStr">
        <is>
          <t>ÖSTERGÖTLANDS LÄN</t>
        </is>
      </c>
      <c r="G217" t="inlineStr">
        <is>
          <t>FINSPÅNG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46251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44697</v>
      </c>
      <c r="E219" s="1" t="n">
        <v>46251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46251</v>
      </c>
      <c r="F220" t="inlineStr">
        <is>
          <t>ÖSTERGÖTLANDS LÄN</t>
        </is>
      </c>
      <c r="G220" t="inlineStr">
        <is>
          <t>FINSPÅNG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46251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55620-2021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44476</v>
      </c>
      <c r="E222" s="1" t="n">
        <v>46251</v>
      </c>
      <c r="F222" t="inlineStr">
        <is>
          <t>ÖSTERGÖTLANDS LÄN</t>
        </is>
      </c>
      <c r="G222" t="inlineStr">
        <is>
          <t>FINSPÅNG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53475-2021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44468</v>
      </c>
      <c r="E223" s="1" t="n">
        <v>46251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44481</v>
      </c>
      <c r="E224" s="1" t="n">
        <v>46251</v>
      </c>
      <c r="F224" t="inlineStr">
        <is>
          <t>ÖSTERGÖTLANDS LÄN</t>
        </is>
      </c>
      <c r="G224" t="inlineStr">
        <is>
          <t>FINSPÅNG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44533</v>
      </c>
      <c r="E225" s="1" t="n">
        <v>46251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46251</v>
      </c>
      <c r="F226" t="inlineStr">
        <is>
          <t>ÖSTERGÖTLANDS LÄN</t>
        </is>
      </c>
      <c r="G226" t="inlineStr">
        <is>
          <t>FINSPÅNG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45442</v>
      </c>
      <c r="E227" s="1" t="n">
        <v>46251</v>
      </c>
      <c r="F227" t="inlineStr">
        <is>
          <t>ÖSTERGÖTLANDS LÄN</t>
        </is>
      </c>
      <c r="G227" t="inlineStr">
        <is>
          <t>FINSPÅNG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46251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46251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44601</v>
      </c>
      <c r="E230" s="1" t="n">
        <v>46251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44767</v>
      </c>
      <c r="E231" s="1" t="n">
        <v>46251</v>
      </c>
      <c r="F231" t="inlineStr">
        <is>
          <t>ÖSTERGÖTLANDS LÄN</t>
        </is>
      </c>
      <c r="G231" t="inlineStr">
        <is>
          <t>FINSPÅNG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44672</v>
      </c>
      <c r="E232" s="1" t="n">
        <v>46251</v>
      </c>
      <c r="F232" t="inlineStr">
        <is>
          <t>ÖSTERGÖTLANDS LÄN</t>
        </is>
      </c>
      <c r="G232" t="inlineStr">
        <is>
          <t>FINSPÅNG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10184-2023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44986</v>
      </c>
      <c r="E233" s="1" t="n">
        <v>46251</v>
      </c>
      <c r="F233" t="inlineStr">
        <is>
          <t>ÖSTERGÖTLANDS LÄN</t>
        </is>
      </c>
      <c r="G233" t="inlineStr">
        <is>
          <t>FINSPÅNG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45308</v>
      </c>
      <c r="E234" s="1" t="n">
        <v>46251</v>
      </c>
      <c r="F234" t="inlineStr">
        <is>
          <t>ÖSTERGÖTLANDS LÄN</t>
        </is>
      </c>
      <c r="G234" t="inlineStr">
        <is>
          <t>FINSPÅNG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46251</v>
      </c>
      <c r="F235" t="inlineStr">
        <is>
          <t>ÖSTERGÖTLANDS LÄN</t>
        </is>
      </c>
      <c r="G235" t="inlineStr">
        <is>
          <t>FINSPÅNG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44678</v>
      </c>
      <c r="E236" s="1" t="n">
        <v>46251</v>
      </c>
      <c r="F236" t="inlineStr">
        <is>
          <t>ÖSTERGÖTLANDS LÄN</t>
        </is>
      </c>
      <c r="G236" t="inlineStr">
        <is>
          <t>FINSPÅNG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46251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44823</v>
      </c>
      <c r="E238" s="1" t="n">
        <v>46251</v>
      </c>
      <c r="F238" t="inlineStr">
        <is>
          <t>ÖSTERGÖTLANDS LÄN</t>
        </is>
      </c>
      <c r="G238" t="inlineStr">
        <is>
          <t>FINSPÅNG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46251</v>
      </c>
      <c r="F239" t="inlineStr">
        <is>
          <t>ÖSTERGÖTLANDS LÄN</t>
        </is>
      </c>
      <c r="G239" t="inlineStr">
        <is>
          <t>FINSPÅNG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46251</v>
      </c>
      <c r="F240" t="inlineStr">
        <is>
          <t>ÖSTERGÖTLANDS LÄN</t>
        </is>
      </c>
      <c r="G240" t="inlineStr">
        <is>
          <t>FINSPÅNG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46251</v>
      </c>
      <c r="F241" t="inlineStr">
        <is>
          <t>ÖSTERGÖTLANDS LÄN</t>
        </is>
      </c>
      <c r="G241" t="inlineStr">
        <is>
          <t>FINSPÅNG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46251</v>
      </c>
      <c r="F242" t="inlineStr">
        <is>
          <t>ÖSTERGÖTLANDS LÄN</t>
        </is>
      </c>
      <c r="G242" t="inlineStr">
        <is>
          <t>FINSPÅNG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46251</v>
      </c>
      <c r="F243" t="inlineStr">
        <is>
          <t>ÖSTERGÖTLANDS LÄN</t>
        </is>
      </c>
      <c r="G243" t="inlineStr">
        <is>
          <t>FINSPÅNG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46251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73260-2021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44550</v>
      </c>
      <c r="E245" s="1" t="n">
        <v>46251</v>
      </c>
      <c r="F245" t="inlineStr">
        <is>
          <t>ÖSTERGÖTLANDS LÄN</t>
        </is>
      </c>
      <c r="G245" t="inlineStr">
        <is>
          <t>FINSPÅNG</t>
        </is>
      </c>
      <c r="I245" t="n">
        <v>10.3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44508</v>
      </c>
      <c r="E246" s="1" t="n">
        <v>46251</v>
      </c>
      <c r="F246" t="inlineStr">
        <is>
          <t>ÖSTERGÖTLANDS LÄN</t>
        </is>
      </c>
      <c r="G246" t="inlineStr">
        <is>
          <t>FINSPÅNG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45323</v>
      </c>
      <c r="E247" s="1" t="n">
        <v>46251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21190-2022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44704</v>
      </c>
      <c r="E248" s="1" t="n">
        <v>46251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44564</v>
      </c>
      <c r="E249" s="1" t="n">
        <v>46251</v>
      </c>
      <c r="F249" t="inlineStr">
        <is>
          <t>ÖSTERGÖTLANDS LÄN</t>
        </is>
      </c>
      <c r="G249" t="inlineStr">
        <is>
          <t>FINSPÅNG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44642</v>
      </c>
      <c r="E250" s="1" t="n">
        <v>46251</v>
      </c>
      <c r="F250" t="inlineStr">
        <is>
          <t>ÖSTERGÖTLANDS LÄN</t>
        </is>
      </c>
      <c r="G250" t="inlineStr">
        <is>
          <t>FINSPÅNG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44891</v>
      </c>
      <c r="E251" s="1" t="n">
        <v>46251</v>
      </c>
      <c r="F251" t="inlineStr">
        <is>
          <t>ÖSTERGÖTLANDS LÄN</t>
        </is>
      </c>
      <c r="G251" t="inlineStr">
        <is>
          <t>FINSPÅNG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44813</v>
      </c>
      <c r="E252" s="1" t="n">
        <v>46251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44833</v>
      </c>
      <c r="E253" s="1" t="n">
        <v>46251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44659</v>
      </c>
      <c r="E254" s="1" t="n">
        <v>46251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26195-2024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45468</v>
      </c>
      <c r="E255" s="1" t="n">
        <v>46251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41932-2021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44425</v>
      </c>
      <c r="E256" s="1" t="n">
        <v>46251</v>
      </c>
      <c r="F256" t="inlineStr">
        <is>
          <t>ÖSTERGÖTLANDS LÄN</t>
        </is>
      </c>
      <c r="G256" t="inlineStr">
        <is>
          <t>FINSPÅNG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45551</v>
      </c>
      <c r="E257" s="1" t="n">
        <v>46251</v>
      </c>
      <c r="F257" t="inlineStr">
        <is>
          <t>ÖSTERGÖTLANDS LÄN</t>
        </is>
      </c>
      <c r="G257" t="inlineStr">
        <is>
          <t>FINSPÅNG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46251</v>
      </c>
      <c r="F258" t="inlineStr">
        <is>
          <t>ÖSTERGÖTLANDS LÄN</t>
        </is>
      </c>
      <c r="G258" t="inlineStr">
        <is>
          <t>FINSPÅNG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45095</v>
      </c>
      <c r="E259" s="1" t="n">
        <v>46251</v>
      </c>
      <c r="F259" t="inlineStr">
        <is>
          <t>ÖSTERGÖTLANDS LÄN</t>
        </is>
      </c>
      <c r="G259" t="inlineStr">
        <is>
          <t>FINSPÅNG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45463</v>
      </c>
      <c r="E260" s="1" t="n">
        <v>46251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46251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46251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46251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45621</v>
      </c>
      <c r="E264" s="1" t="n">
        <v>46251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46251</v>
      </c>
      <c r="F265" t="inlineStr">
        <is>
          <t>ÖSTERGÖTLANDS LÄN</t>
        </is>
      </c>
      <c r="G265" t="inlineStr">
        <is>
          <t>FINSPÅNG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29630-2022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44754</v>
      </c>
      <c r="E266" s="1" t="n">
        <v>46251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36100-2022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44802</v>
      </c>
      <c r="E267" s="1" t="n">
        <v>46251</v>
      </c>
      <c r="F267" t="inlineStr">
        <is>
          <t>ÖSTERGÖTLANDS LÄN</t>
        </is>
      </c>
      <c r="G267" t="inlineStr">
        <is>
          <t>FINSPÅNG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45042</v>
      </c>
      <c r="E268" s="1" t="n">
        <v>46251</v>
      </c>
      <c r="F268" t="inlineStr">
        <is>
          <t>ÖSTERGÖTLANDS LÄN</t>
        </is>
      </c>
      <c r="G268" t="inlineStr">
        <is>
          <t>FINSPÅNG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45293</v>
      </c>
      <c r="E269" s="1" t="n">
        <v>46251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45330</v>
      </c>
      <c r="E270" s="1" t="n">
        <v>46251</v>
      </c>
      <c r="F270" t="inlineStr">
        <is>
          <t>ÖSTERGÖTLANDS LÄN</t>
        </is>
      </c>
      <c r="G270" t="inlineStr">
        <is>
          <t>FINSPÅNG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32044-2022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46251</v>
      </c>
      <c r="F271" t="inlineStr">
        <is>
          <t>ÖSTERGÖTLANDS LÄN</t>
        </is>
      </c>
      <c r="G271" t="inlineStr">
        <is>
          <t>FINSPÅNG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44860</v>
      </c>
      <c r="E272" s="1" t="n">
        <v>46251</v>
      </c>
      <c r="F272" t="inlineStr">
        <is>
          <t>ÖSTERGÖTLANDS LÄN</t>
        </is>
      </c>
      <c r="G272" t="inlineStr">
        <is>
          <t>FINSPÅNG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46251</v>
      </c>
      <c r="F273" t="inlineStr">
        <is>
          <t>ÖSTERGÖTLANDS LÄN</t>
        </is>
      </c>
      <c r="G273" t="inlineStr">
        <is>
          <t>FINSPÅNG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46251</v>
      </c>
      <c r="F274" t="inlineStr">
        <is>
          <t>ÖSTERGÖTLANDS LÄN</t>
        </is>
      </c>
      <c r="G274" t="inlineStr">
        <is>
          <t>FINSPÅNG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55812-2021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44476</v>
      </c>
      <c r="E275" s="1" t="n">
        <v>46251</v>
      </c>
      <c r="F275" t="inlineStr">
        <is>
          <t>ÖSTERGÖTLANDS LÄN</t>
        </is>
      </c>
      <c r="G275" t="inlineStr">
        <is>
          <t>FINSPÅNG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46251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46251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Allmännings- och besparingsskogar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46251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46251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40472-2025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46251</v>
      </c>
      <c r="F280" t="inlineStr">
        <is>
          <t>ÖSTERGÖTLANDS LÄN</t>
        </is>
      </c>
      <c r="G280" t="inlineStr">
        <is>
          <t>FINSPÅNG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46251</v>
      </c>
      <c r="F281" t="inlineStr">
        <is>
          <t>ÖSTERGÖTLANDS LÄN</t>
        </is>
      </c>
      <c r="G281" t="inlineStr">
        <is>
          <t>FINSPÅNG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45903</v>
      </c>
      <c r="E282" s="1" t="n">
        <v>46251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43221-2022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44833</v>
      </c>
      <c r="E283" s="1" t="n">
        <v>46251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Övriga Aktiebolag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46251</v>
      </c>
      <c r="F284" t="inlineStr">
        <is>
          <t>ÖSTERGÖTLANDS LÄN</t>
        </is>
      </c>
      <c r="G284" t="inlineStr">
        <is>
          <t>FINSPÅNG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46251</v>
      </c>
      <c r="F285" t="inlineStr">
        <is>
          <t>ÖSTERGÖTLANDS LÄN</t>
        </is>
      </c>
      <c r="G285" t="inlineStr">
        <is>
          <t>FINSPÅNG</t>
        </is>
      </c>
      <c r="I285" t="n">
        <v>11.9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46251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46251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46251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45309</v>
      </c>
      <c r="E289" s="1" t="n">
        <v>46251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45309</v>
      </c>
      <c r="E290" s="1" t="n">
        <v>46251</v>
      </c>
      <c r="F290" t="inlineStr">
        <is>
          <t>ÖSTERGÖTLANDS LÄN</t>
        </is>
      </c>
      <c r="G290" t="inlineStr">
        <is>
          <t>FINSPÅNG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46251</v>
      </c>
      <c r="F291" t="inlineStr">
        <is>
          <t>ÖSTERGÖTLANDS LÄN</t>
        </is>
      </c>
      <c r="G291" t="inlineStr">
        <is>
          <t>FINSPÅNG</t>
        </is>
      </c>
      <c r="I291" t="n">
        <v>15.1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45903</v>
      </c>
      <c r="E292" s="1" t="n">
        <v>46251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36406-2024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45535</v>
      </c>
      <c r="E293" s="1" t="n">
        <v>46251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Kommuner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44770</v>
      </c>
      <c r="E294" s="1" t="n">
        <v>46251</v>
      </c>
      <c r="F294" t="inlineStr">
        <is>
          <t>ÖSTERGÖTLANDS LÄN</t>
        </is>
      </c>
      <c r="G294" t="inlineStr">
        <is>
          <t>FINSPÅNG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46251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45428</v>
      </c>
      <c r="E296" s="1" t="n">
        <v>46251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46251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46251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64408-2023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45280</v>
      </c>
      <c r="E299" s="1" t="n">
        <v>46251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Övriga Aktiebolag</t>
        </is>
      </c>
      <c r="I299" t="n">
        <v>13.6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46251</v>
      </c>
      <c r="F300" t="inlineStr">
        <is>
          <t>ÖSTERGÖTLANDS LÄN</t>
        </is>
      </c>
      <c r="G300" t="inlineStr">
        <is>
          <t>FINSPÅNG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46251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45407-2022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44844</v>
      </c>
      <c r="E302" s="1" t="n">
        <v>46251</v>
      </c>
      <c r="F302" t="inlineStr">
        <is>
          <t>ÖSTERGÖTLANDS LÄN</t>
        </is>
      </c>
      <c r="G302" t="inlineStr">
        <is>
          <t>FINSPÅNG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44844</v>
      </c>
      <c r="E303" s="1" t="n">
        <v>46251</v>
      </c>
      <c r="F303" t="inlineStr">
        <is>
          <t>ÖSTERGÖTLANDS LÄN</t>
        </is>
      </c>
      <c r="G303" t="inlineStr">
        <is>
          <t>FINSPÅNG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50542-2022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44866</v>
      </c>
      <c r="E304" s="1" t="n">
        <v>46251</v>
      </c>
      <c r="F304" t="inlineStr">
        <is>
          <t>ÖSTERGÖTLANDS LÄN</t>
        </is>
      </c>
      <c r="G304" t="inlineStr">
        <is>
          <t>FINSPÅNG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46251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46251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44571-2022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44840</v>
      </c>
      <c r="E307" s="1" t="n">
        <v>46251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46251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46251</v>
      </c>
      <c r="F309" t="inlineStr">
        <is>
          <t>ÖSTERGÖTLANDS LÄN</t>
        </is>
      </c>
      <c r="G309" t="inlineStr">
        <is>
          <t>FINSPÅNG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46251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46251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46251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46251</v>
      </c>
      <c r="F313" t="inlineStr">
        <is>
          <t>ÖSTERGÖTLANDS LÄN</t>
        </is>
      </c>
      <c r="G313" t="inlineStr">
        <is>
          <t>FINSPÅNG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44656</v>
      </c>
      <c r="E314" s="1" t="n">
        <v>46251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45362</v>
      </c>
      <c r="E315" s="1" t="n">
        <v>46251</v>
      </c>
      <c r="F315" t="inlineStr">
        <is>
          <t>ÖSTERGÖTLANDS LÄN</t>
        </is>
      </c>
      <c r="G315" t="inlineStr">
        <is>
          <t>FINSPÅNG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44865</v>
      </c>
      <c r="E316" s="1" t="n">
        <v>46251</v>
      </c>
      <c r="F316" t="inlineStr">
        <is>
          <t>ÖSTERGÖTLANDS LÄN</t>
        </is>
      </c>
      <c r="G316" t="inlineStr">
        <is>
          <t>FINSPÅNG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56246-2022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46251</v>
      </c>
      <c r="F317" t="inlineStr">
        <is>
          <t>ÖSTERGÖTLANDS LÄN</t>
        </is>
      </c>
      <c r="G317" t="inlineStr">
        <is>
          <t>FINSPÅNG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44887</v>
      </c>
      <c r="E318" s="1" t="n">
        <v>46251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46080</v>
      </c>
      <c r="E319" s="1" t="n">
        <v>46251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Kyrkan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46251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44637</v>
      </c>
      <c r="E321" s="1" t="n">
        <v>46251</v>
      </c>
      <c r="F321" t="inlineStr">
        <is>
          <t>ÖSTERGÖTLANDS LÄN</t>
        </is>
      </c>
      <c r="G321" t="inlineStr">
        <is>
          <t>FINSPÅNG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46251</v>
      </c>
      <c r="F322" t="inlineStr">
        <is>
          <t>ÖSTERGÖTLANDS LÄN</t>
        </is>
      </c>
      <c r="G322" t="inlineStr">
        <is>
          <t>FINSPÅNG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46251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59971-2024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45642</v>
      </c>
      <c r="E324" s="1" t="n">
        <v>46251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46251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46251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11807-2026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46085</v>
      </c>
      <c r="E327" s="1" t="n">
        <v>46251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46251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46251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46251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46251</v>
      </c>
      <c r="F331" t="inlineStr">
        <is>
          <t>ÖSTERGÖTLANDS LÄN</t>
        </is>
      </c>
      <c r="G331" t="inlineStr">
        <is>
          <t>FINSPÅNG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45302</v>
      </c>
      <c r="E332" s="1" t="n">
        <v>46251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47567-2025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45931</v>
      </c>
      <c r="E333" s="1" t="n">
        <v>46251</v>
      </c>
      <c r="F333" t="inlineStr">
        <is>
          <t>ÖSTERGÖTLANDS LÄN</t>
        </is>
      </c>
      <c r="G333" t="inlineStr">
        <is>
          <t>FINSPÅNG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46251</v>
      </c>
      <c r="F334" t="inlineStr">
        <is>
          <t>ÖSTERGÖTLANDS LÄN</t>
        </is>
      </c>
      <c r="G334" t="inlineStr">
        <is>
          <t>FINSPÅNG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46251</v>
      </c>
      <c r="F335" t="inlineStr">
        <is>
          <t>ÖSTERGÖTLANDS LÄN</t>
        </is>
      </c>
      <c r="G335" t="inlineStr">
        <is>
          <t>FINSPÅNG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46251</v>
      </c>
      <c r="F336" t="inlineStr">
        <is>
          <t>ÖSTERGÖTLANDS LÄN</t>
        </is>
      </c>
      <c r="G336" t="inlineStr">
        <is>
          <t>FINSPÅNG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30922-2022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44767</v>
      </c>
      <c r="E337" s="1" t="n">
        <v>46251</v>
      </c>
      <c r="F337" t="inlineStr">
        <is>
          <t>ÖSTERGÖTLANDS LÄN</t>
        </is>
      </c>
      <c r="G337" t="inlineStr">
        <is>
          <t>FINSPÅNG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45935</v>
      </c>
      <c r="E338" s="1" t="n">
        <v>46251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Övriga Aktiebolag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46251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46251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46251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45040</v>
      </c>
      <c r="E342" s="1" t="n">
        <v>46251</v>
      </c>
      <c r="F342" t="inlineStr">
        <is>
          <t>ÖSTERGÖTLANDS LÄN</t>
        </is>
      </c>
      <c r="G342" t="inlineStr">
        <is>
          <t>FINSPÅNG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46251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44595</v>
      </c>
      <c r="E344" s="1" t="n">
        <v>46251</v>
      </c>
      <c r="F344" t="inlineStr">
        <is>
          <t>ÖSTERGÖTLANDS LÄN</t>
        </is>
      </c>
      <c r="G344" t="inlineStr">
        <is>
          <t>FINSPÅNG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46251</v>
      </c>
      <c r="F345" t="inlineStr">
        <is>
          <t>ÖSTERGÖTLANDS LÄN</t>
        </is>
      </c>
      <c r="G345" t="inlineStr">
        <is>
          <t>FINSPÅNG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46251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46251</v>
      </c>
      <c r="F347" t="inlineStr">
        <is>
          <t>ÖSTERGÖTLANDS LÄN</t>
        </is>
      </c>
      <c r="G347" t="inlineStr">
        <is>
          <t>FINSPÅNG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45084</v>
      </c>
      <c r="E348" s="1" t="n">
        <v>46251</v>
      </c>
      <c r="F348" t="inlineStr">
        <is>
          <t>ÖSTERGÖTLANDS LÄN</t>
        </is>
      </c>
      <c r="G348" t="inlineStr">
        <is>
          <t>FINSPÅNG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45944</v>
      </c>
      <c r="E349" s="1" t="n">
        <v>46251</v>
      </c>
      <c r="F349" t="inlineStr">
        <is>
          <t>ÖSTERGÖTLANDS LÄN</t>
        </is>
      </c>
      <c r="G349" t="inlineStr">
        <is>
          <t>FINSPÅNG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40063-2024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46251</v>
      </c>
      <c r="F350" t="inlineStr">
        <is>
          <t>ÖSTERGÖTLANDS LÄN</t>
        </is>
      </c>
      <c r="G350" t="inlineStr">
        <is>
          <t>FINSPÅNG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44782</v>
      </c>
      <c r="E351" s="1" t="n">
        <v>46251</v>
      </c>
      <c r="F351" t="inlineStr">
        <is>
          <t>ÖSTERGÖTLANDS LÄN</t>
        </is>
      </c>
      <c r="G351" t="inlineStr">
        <is>
          <t>FINSPÅNG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44491</v>
      </c>
      <c r="E352" s="1" t="n">
        <v>46251</v>
      </c>
      <c r="F352" t="inlineStr">
        <is>
          <t>ÖSTERGÖTLANDS LÄN</t>
        </is>
      </c>
      <c r="G352" t="inlineStr">
        <is>
          <t>FINSPÅNG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46251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46251</v>
      </c>
      <c r="F354" t="inlineStr">
        <is>
          <t>ÖSTERGÖTLANDS LÄN</t>
        </is>
      </c>
      <c r="G354" t="inlineStr">
        <is>
          <t>FINSPÅNG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22714-2022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44714</v>
      </c>
      <c r="E355" s="1" t="n">
        <v>46251</v>
      </c>
      <c r="F355" t="inlineStr">
        <is>
          <t>ÖSTERGÖTLANDS LÄN</t>
        </is>
      </c>
      <c r="G355" t="inlineStr">
        <is>
          <t>FINSPÅNG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46251</v>
      </c>
      <c r="F356" t="inlineStr">
        <is>
          <t>ÖSTERGÖTLANDS LÄN</t>
        </is>
      </c>
      <c r="G356" t="inlineStr">
        <is>
          <t>FINSPÅNG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46251</v>
      </c>
      <c r="F357" t="inlineStr">
        <is>
          <t>ÖSTERGÖTLANDS LÄN</t>
        </is>
      </c>
      <c r="G357" t="inlineStr">
        <is>
          <t>FINSPÅNG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46251</v>
      </c>
      <c r="F358" t="inlineStr">
        <is>
          <t>ÖSTERGÖTLANDS LÄN</t>
        </is>
      </c>
      <c r="G358" t="inlineStr">
        <is>
          <t>FINSPÅNG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44677</v>
      </c>
      <c r="E359" s="1" t="n">
        <v>46251</v>
      </c>
      <c r="F359" t="inlineStr">
        <is>
          <t>ÖSTERGÖTLANDS LÄN</t>
        </is>
      </c>
      <c r="G359" t="inlineStr">
        <is>
          <t>FINSPÅNG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46251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29078-2022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46251</v>
      </c>
      <c r="F361" t="inlineStr">
        <is>
          <t>ÖSTERGÖTLANDS LÄN</t>
        </is>
      </c>
      <c r="G361" t="inlineStr">
        <is>
          <t>FINSPÅNG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46251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Sveaskog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46251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46251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40296-2024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46251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49494-2022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44861</v>
      </c>
      <c r="E366" s="1" t="n">
        <v>46251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Naturvårdsverket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44987</v>
      </c>
      <c r="E367" s="1" t="n">
        <v>46251</v>
      </c>
      <c r="F367" t="inlineStr">
        <is>
          <t>ÖSTERGÖTLANDS LÄN</t>
        </is>
      </c>
      <c r="G367" t="inlineStr">
        <is>
          <t>FINSPÅNG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53610-2022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46251</v>
      </c>
      <c r="F368" t="inlineStr">
        <is>
          <t>ÖSTERGÖTLANDS LÄN</t>
        </is>
      </c>
      <c r="G368" t="inlineStr">
        <is>
          <t>FINSPÅNG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42785-2024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46251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52659-2025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45955</v>
      </c>
      <c r="E370" s="1" t="n">
        <v>46251</v>
      </c>
      <c r="F370" t="inlineStr">
        <is>
          <t>ÖSTERGÖTLANDS LÄN</t>
        </is>
      </c>
      <c r="G370" t="inlineStr">
        <is>
          <t>FINSPÅNG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46251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46251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51610-2022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44871</v>
      </c>
      <c r="E373" s="1" t="n">
        <v>46251</v>
      </c>
      <c r="F373" t="inlineStr">
        <is>
          <t>ÖSTERGÖTLANDS LÄN</t>
        </is>
      </c>
      <c r="G373" t="inlineStr">
        <is>
          <t>FINSPÅNG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68122-2021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44526</v>
      </c>
      <c r="E374" s="1" t="n">
        <v>46251</v>
      </c>
      <c r="F374" t="inlineStr">
        <is>
          <t>ÖSTERGÖTLANDS LÄN</t>
        </is>
      </c>
      <c r="G374" t="inlineStr">
        <is>
          <t>FINSPÅNG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19263-2024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45428</v>
      </c>
      <c r="E375" s="1" t="n">
        <v>46251</v>
      </c>
      <c r="F375" t="inlineStr">
        <is>
          <t>ÖSTERGÖTLANDS LÄN</t>
        </is>
      </c>
      <c r="G375" t="inlineStr">
        <is>
          <t>FINSPÅNG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45229</v>
      </c>
      <c r="E376" s="1" t="n">
        <v>46251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61012-2022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44914</v>
      </c>
      <c r="E377" s="1" t="n">
        <v>46251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53545-2025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45960</v>
      </c>
      <c r="E378" s="1" t="n">
        <v>46251</v>
      </c>
      <c r="F378" t="inlineStr">
        <is>
          <t>ÖSTERGÖTLANDS LÄN</t>
        </is>
      </c>
      <c r="G378" t="inlineStr">
        <is>
          <t>FINSPÅNG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46251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45441</v>
      </c>
      <c r="E380" s="1" t="n">
        <v>46251</v>
      </c>
      <c r="F380" t="inlineStr">
        <is>
          <t>ÖSTERGÖTLANDS LÄN</t>
        </is>
      </c>
      <c r="G380" t="inlineStr">
        <is>
          <t>FINSPÅNG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46251</v>
      </c>
      <c r="F381" t="inlineStr">
        <is>
          <t>ÖSTERGÖTLANDS LÄN</t>
        </is>
      </c>
      <c r="G381" t="inlineStr">
        <is>
          <t>FINSPÅNG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46251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45179</v>
      </c>
      <c r="E383" s="1" t="n">
        <v>46251</v>
      </c>
      <c r="F383" t="inlineStr">
        <is>
          <t>ÖSTERGÖTLANDS LÄN</t>
        </is>
      </c>
      <c r="G383" t="inlineStr">
        <is>
          <t>FINSPÅNG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45179</v>
      </c>
      <c r="E384" s="1" t="n">
        <v>46251</v>
      </c>
      <c r="F384" t="inlineStr">
        <is>
          <t>ÖSTERGÖTLANDS LÄN</t>
        </is>
      </c>
      <c r="G384" t="inlineStr">
        <is>
          <t>FINSPÅNG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45548</v>
      </c>
      <c r="E385" s="1" t="n">
        <v>46251</v>
      </c>
      <c r="F385" t="inlineStr">
        <is>
          <t>ÖSTERGÖTLANDS LÄN</t>
        </is>
      </c>
      <c r="G385" t="inlineStr">
        <is>
          <t>FINSPÅNG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46251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46251</v>
      </c>
      <c r="F387" t="inlineStr">
        <is>
          <t>ÖSTERGÖTLANDS LÄN</t>
        </is>
      </c>
      <c r="G387" t="inlineStr">
        <is>
          <t>FINSPÅNG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44734</v>
      </c>
      <c r="E388" s="1" t="n">
        <v>46251</v>
      </c>
      <c r="F388" t="inlineStr">
        <is>
          <t>ÖSTERGÖTLANDS LÄN</t>
        </is>
      </c>
      <c r="G388" t="inlineStr">
        <is>
          <t>FINSPÅNG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44732</v>
      </c>
      <c r="E389" s="1" t="n">
        <v>46251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44503</v>
      </c>
      <c r="E390" s="1" t="n">
        <v>46251</v>
      </c>
      <c r="F390" t="inlineStr">
        <is>
          <t>ÖSTERGÖTLANDS LÄN</t>
        </is>
      </c>
      <c r="G390" t="inlineStr">
        <is>
          <t>FINSPÅNG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59062-2024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46251</v>
      </c>
      <c r="F391" t="inlineStr">
        <is>
          <t>ÖSTERGÖTLANDS LÄN</t>
        </is>
      </c>
      <c r="G391" t="inlineStr">
        <is>
          <t>FINSPÅNG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46251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44607</v>
      </c>
      <c r="E393" s="1" t="n">
        <v>46251</v>
      </c>
      <c r="F393" t="inlineStr">
        <is>
          <t>ÖSTERGÖTLANDS LÄN</t>
        </is>
      </c>
      <c r="G393" t="inlineStr">
        <is>
          <t>FINSPÅNG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44918</v>
      </c>
      <c r="E394" s="1" t="n">
        <v>46251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46251</v>
      </c>
      <c r="F395" t="inlineStr">
        <is>
          <t>ÖSTERGÖTLANDS LÄN</t>
        </is>
      </c>
      <c r="G395" t="inlineStr">
        <is>
          <t>FINSPÅNG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45969</v>
      </c>
      <c r="E396" s="1" t="n">
        <v>46251</v>
      </c>
      <c r="F396" t="inlineStr">
        <is>
          <t>ÖSTERGÖTLANDS LÄN</t>
        </is>
      </c>
      <c r="G396" t="inlineStr">
        <is>
          <t>FINSPÅNG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46251</v>
      </c>
      <c r="F397" t="inlineStr">
        <is>
          <t>ÖSTERGÖTLANDS LÄN</t>
        </is>
      </c>
      <c r="G397" t="inlineStr">
        <is>
          <t>FINSPÅNG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45006</v>
      </c>
      <c r="E398" s="1" t="n">
        <v>46251</v>
      </c>
      <c r="F398" t="inlineStr">
        <is>
          <t>ÖSTERGÖTLANDS LÄN</t>
        </is>
      </c>
      <c r="G398" t="inlineStr">
        <is>
          <t>FINSPÅNG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44953</v>
      </c>
      <c r="E399" s="1" t="n">
        <v>46251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46251</v>
      </c>
      <c r="F400" t="inlineStr">
        <is>
          <t>ÖSTERGÖTLANDS LÄN</t>
        </is>
      </c>
      <c r="G400" t="inlineStr">
        <is>
          <t>FINSPÅNG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46251</v>
      </c>
      <c r="F401" t="inlineStr">
        <is>
          <t>ÖSTERGÖTLANDS LÄN</t>
        </is>
      </c>
      <c r="G401" t="inlineStr">
        <is>
          <t>FINSPÅNG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46251</v>
      </c>
      <c r="F402" t="inlineStr">
        <is>
          <t>ÖSTERGÖTLANDS LÄN</t>
        </is>
      </c>
      <c r="G402" t="inlineStr">
        <is>
          <t>FINSPÅNG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44817</v>
      </c>
      <c r="E403" s="1" t="n">
        <v>46251</v>
      </c>
      <c r="F403" t="inlineStr">
        <is>
          <t>ÖSTERGÖTLANDS LÄN</t>
        </is>
      </c>
      <c r="G403" t="inlineStr">
        <is>
          <t>FINSPÅNG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17557-2022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44679</v>
      </c>
      <c r="E404" s="1" t="n">
        <v>46251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Övriga Aktiebolag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44725</v>
      </c>
      <c r="E405" s="1" t="n">
        <v>46251</v>
      </c>
      <c r="F405" t="inlineStr">
        <is>
          <t>ÖSTERGÖTLANDS LÄN</t>
        </is>
      </c>
      <c r="G405" t="inlineStr">
        <is>
          <t>FINSPÅNG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45604</v>
      </c>
      <c r="E406" s="1" t="n">
        <v>46251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46251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46251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46114</v>
      </c>
      <c r="E409" s="1" t="n">
        <v>46251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46114</v>
      </c>
      <c r="E410" s="1" t="n">
        <v>46251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46251</v>
      </c>
      <c r="F411" t="inlineStr">
        <is>
          <t>ÖSTERGÖTLANDS LÄN</t>
        </is>
      </c>
      <c r="G411" t="inlineStr">
        <is>
          <t>FINSPÅNG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53123-2021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44467</v>
      </c>
      <c r="E412" s="1" t="n">
        <v>46251</v>
      </c>
      <c r="F412" t="inlineStr">
        <is>
          <t>ÖSTERGÖTLANDS LÄN</t>
        </is>
      </c>
      <c r="G412" t="inlineStr">
        <is>
          <t>FINSPÅNG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46251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14454-2022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44653</v>
      </c>
      <c r="E414" s="1" t="n">
        <v>46251</v>
      </c>
      <c r="F414" t="inlineStr">
        <is>
          <t>ÖSTERGÖTLANDS LÄN</t>
        </is>
      </c>
      <c r="G414" t="inlineStr">
        <is>
          <t>FINSPÅNG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46251</v>
      </c>
      <c r="F415" t="inlineStr">
        <is>
          <t>ÖSTERGÖTLANDS LÄN</t>
        </is>
      </c>
      <c r="G415" t="inlineStr">
        <is>
          <t>FINSPÅNG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17578-2024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45415</v>
      </c>
      <c r="E416" s="1" t="n">
        <v>46251</v>
      </c>
      <c r="F416" t="inlineStr">
        <is>
          <t>ÖSTERGÖTLANDS LÄN</t>
        </is>
      </c>
      <c r="G416" t="inlineStr">
        <is>
          <t>FINSPÅNG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57290-2025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46251</v>
      </c>
      <c r="F417" t="inlineStr">
        <is>
          <t>ÖSTERGÖTLANDS LÄN</t>
        </is>
      </c>
      <c r="G417" t="inlineStr">
        <is>
          <t>FINSPÅNG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46251</v>
      </c>
      <c r="F418" t="inlineStr">
        <is>
          <t>ÖSTERGÖTLANDS LÄN</t>
        </is>
      </c>
      <c r="G418" t="inlineStr">
        <is>
          <t>FINSPÅNG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45761-2021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44441</v>
      </c>
      <c r="E419" s="1" t="n">
        <v>46251</v>
      </c>
      <c r="F419" t="inlineStr">
        <is>
          <t>ÖSTERGÖTLANDS LÄN</t>
        </is>
      </c>
      <c r="G419" t="inlineStr">
        <is>
          <t>FINSPÅNG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45983</v>
      </c>
      <c r="E420" s="1" t="n">
        <v>46251</v>
      </c>
      <c r="F420" t="inlineStr">
        <is>
          <t>ÖSTERGÖTLANDS LÄN</t>
        </is>
      </c>
      <c r="G420" t="inlineStr">
        <is>
          <t>FINSPÅNG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45983</v>
      </c>
      <c r="E421" s="1" t="n">
        <v>46251</v>
      </c>
      <c r="F421" t="inlineStr">
        <is>
          <t>ÖSTERGÖTLANDS LÄN</t>
        </is>
      </c>
      <c r="G421" t="inlineStr">
        <is>
          <t>FINSPÅNG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50811-2022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44867</v>
      </c>
      <c r="E422" s="1" t="n">
        <v>46251</v>
      </c>
      <c r="F422" t="inlineStr">
        <is>
          <t>ÖSTERGÖTLANDS LÄN</t>
        </is>
      </c>
      <c r="G422" t="inlineStr">
        <is>
          <t>FINSPÅNG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45070</v>
      </c>
      <c r="E423" s="1" t="n">
        <v>46251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45600</v>
      </c>
      <c r="E424" s="1" t="n">
        <v>46251</v>
      </c>
      <c r="F424" t="inlineStr">
        <is>
          <t>ÖSTERGÖTLANDS LÄN</t>
        </is>
      </c>
      <c r="G424" t="inlineStr">
        <is>
          <t>FINSPÅNG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25356-2022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44732</v>
      </c>
      <c r="E425" s="1" t="n">
        <v>46251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64103-2023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46251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44949</v>
      </c>
      <c r="E427" s="1" t="n">
        <v>46251</v>
      </c>
      <c r="F427" t="inlineStr">
        <is>
          <t>ÖSTERGÖTLANDS LÄN</t>
        </is>
      </c>
      <c r="G427" t="inlineStr">
        <is>
          <t>FINSPÅNG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45421</v>
      </c>
      <c r="E428" s="1" t="n">
        <v>46251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58709-2025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46251</v>
      </c>
      <c r="F429" t="inlineStr">
        <is>
          <t>ÖSTERGÖTLANDS LÄN</t>
        </is>
      </c>
      <c r="G429" t="inlineStr">
        <is>
          <t>FINSPÅNG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7269-2024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45344</v>
      </c>
      <c r="E430" s="1" t="n">
        <v>46251</v>
      </c>
      <c r="F430" t="inlineStr">
        <is>
          <t>ÖSTERGÖTLANDS LÄN</t>
        </is>
      </c>
      <c r="G430" t="inlineStr">
        <is>
          <t>FINSPÅNG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46251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46251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Sveaskog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46251</v>
      </c>
      <c r="F433" t="inlineStr">
        <is>
          <t>ÖSTERGÖTLANDS LÄN</t>
        </is>
      </c>
      <c r="G433" t="inlineStr">
        <is>
          <t>FINSPÅNG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46251</v>
      </c>
      <c r="F434" t="inlineStr">
        <is>
          <t>ÖSTERGÖTLANDS LÄN</t>
        </is>
      </c>
      <c r="G434" t="inlineStr">
        <is>
          <t>FINSPÅNG</t>
        </is>
      </c>
      <c r="I434" t="n">
        <v>9.300000000000001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46251</v>
      </c>
      <c r="F435" t="inlineStr">
        <is>
          <t>ÖSTERGÖTLANDS LÄN</t>
        </is>
      </c>
      <c r="G435" t="inlineStr">
        <is>
          <t>FINSPÅNG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44949</v>
      </c>
      <c r="E436" s="1" t="n">
        <v>46251</v>
      </c>
      <c r="F436" t="inlineStr">
        <is>
          <t>ÖSTERGÖTLANDS LÄN</t>
        </is>
      </c>
      <c r="G436" t="inlineStr">
        <is>
          <t>FINSPÅNG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44949</v>
      </c>
      <c r="E437" s="1" t="n">
        <v>46251</v>
      </c>
      <c r="F437" t="inlineStr">
        <is>
          <t>ÖSTERGÖTLANDS LÄN</t>
        </is>
      </c>
      <c r="G437" t="inlineStr">
        <is>
          <t>FINSPÅNG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45257</v>
      </c>
      <c r="E438" s="1" t="n">
        <v>46251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44960</v>
      </c>
      <c r="E439" s="1" t="n">
        <v>46251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44966</v>
      </c>
      <c r="E440" s="1" t="n">
        <v>46251</v>
      </c>
      <c r="F440" t="inlineStr">
        <is>
          <t>ÖSTERGÖTLANDS LÄN</t>
        </is>
      </c>
      <c r="G440" t="inlineStr">
        <is>
          <t>FINSPÅNG</t>
        </is>
      </c>
      <c r="I440" t="n">
        <v>8.5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46251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46125</v>
      </c>
      <c r="E442" s="1" t="n">
        <v>46251</v>
      </c>
      <c r="F442" t="inlineStr">
        <is>
          <t>ÖSTERGÖTLANDS LÄN</t>
        </is>
      </c>
      <c r="G442" t="inlineStr">
        <is>
          <t>FINSPÅNG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45095</v>
      </c>
      <c r="E443" s="1" t="n">
        <v>46251</v>
      </c>
      <c r="F443" t="inlineStr">
        <is>
          <t>ÖSTERGÖTLANDS LÄN</t>
        </is>
      </c>
      <c r="G443" t="inlineStr">
        <is>
          <t>FINSPÅNG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46251</v>
      </c>
      <c r="F444" t="inlineStr">
        <is>
          <t>ÖSTERGÖTLANDS LÄN</t>
        </is>
      </c>
      <c r="G444" t="inlineStr">
        <is>
          <t>FINSPÅNG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15473-2022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44662</v>
      </c>
      <c r="E445" s="1" t="n">
        <v>46251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46251</v>
      </c>
      <c r="F446" t="inlineStr">
        <is>
          <t>ÖSTERGÖTLANDS LÄN</t>
        </is>
      </c>
      <c r="G446" t="inlineStr">
        <is>
          <t>FINSPÅNG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46251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46251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44918</v>
      </c>
      <c r="E449" s="1" t="n">
        <v>46251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58984-2022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44903</v>
      </c>
      <c r="E450" s="1" t="n">
        <v>46251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46251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Övriga Aktiebolag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46251</v>
      </c>
      <c r="F452" t="inlineStr">
        <is>
          <t>ÖSTERGÖTLANDS LÄN</t>
        </is>
      </c>
      <c r="G452" t="inlineStr">
        <is>
          <t>FINSPÅNG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45622</v>
      </c>
      <c r="E453" s="1" t="n">
        <v>46251</v>
      </c>
      <c r="F453" t="inlineStr">
        <is>
          <t>ÖSTERGÖTLANDS LÄN</t>
        </is>
      </c>
      <c r="G453" t="inlineStr">
        <is>
          <t>FINSPÅNG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61202-2025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46251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46251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45639</v>
      </c>
      <c r="E456" s="1" t="n">
        <v>46251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45665</v>
      </c>
      <c r="E457" s="1" t="n">
        <v>46251</v>
      </c>
      <c r="F457" t="inlineStr">
        <is>
          <t>ÖSTERGÖTLANDS LÄN</t>
        </is>
      </c>
      <c r="G457" t="inlineStr">
        <is>
          <t>FINSPÅNG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611-2023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44930</v>
      </c>
      <c r="E458" s="1" t="n">
        <v>46251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45009</v>
      </c>
      <c r="E459" s="1" t="n">
        <v>46251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61595-2025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46002</v>
      </c>
      <c r="E460" s="1" t="n">
        <v>46251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46002</v>
      </c>
      <c r="E461" s="1" t="n">
        <v>46251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46251</v>
      </c>
      <c r="F462" t="inlineStr">
        <is>
          <t>ÖSTERGÖTLANDS LÄN</t>
        </is>
      </c>
      <c r="G462" t="inlineStr">
        <is>
          <t>FINSPÅNG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60173-2023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45258</v>
      </c>
      <c r="E463" s="1" t="n">
        <v>46251</v>
      </c>
      <c r="F463" t="inlineStr">
        <is>
          <t>ÖSTERGÖTLANDS LÄN</t>
        </is>
      </c>
      <c r="G463" t="inlineStr">
        <is>
          <t>FINSPÅNG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45379</v>
      </c>
      <c r="E464" s="1" t="n">
        <v>46251</v>
      </c>
      <c r="F464" t="inlineStr">
        <is>
          <t>ÖSTERGÖTLANDS LÄN</t>
        </is>
      </c>
      <c r="G464" t="inlineStr">
        <is>
          <t>FINSPÅNG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46002</v>
      </c>
      <c r="E465" s="1" t="n">
        <v>46251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46251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46251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46251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60619-2023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46251</v>
      </c>
      <c r="F469" t="inlineStr">
        <is>
          <t>ÖSTERGÖTLANDS LÄN</t>
        </is>
      </c>
      <c r="G469" t="inlineStr">
        <is>
          <t>FINSPÅNG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45516</v>
      </c>
      <c r="E470" s="1" t="n">
        <v>46251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Kommuner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46251</v>
      </c>
      <c r="F471" t="inlineStr">
        <is>
          <t>ÖSTERGÖTLANDS LÄN</t>
        </is>
      </c>
      <c r="G471" t="inlineStr">
        <is>
          <t>FINSPÅNG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45021</v>
      </c>
      <c r="E472" s="1" t="n">
        <v>46251</v>
      </c>
      <c r="F472" t="inlineStr">
        <is>
          <t>ÖSTERGÖTLANDS LÄN</t>
        </is>
      </c>
      <c r="G472" t="inlineStr">
        <is>
          <t>FINSPÅNG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46251</v>
      </c>
      <c r="F473" t="inlineStr">
        <is>
          <t>ÖSTERGÖTLANDS LÄN</t>
        </is>
      </c>
      <c r="G473" t="inlineStr">
        <is>
          <t>FINSPÅNG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39740-2023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45167</v>
      </c>
      <c r="E474" s="1" t="n">
        <v>46251</v>
      </c>
      <c r="F474" t="inlineStr">
        <is>
          <t>ÖSTERGÖTLANDS LÄN</t>
        </is>
      </c>
      <c r="G474" t="inlineStr">
        <is>
          <t>FINSPÅNG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46251</v>
      </c>
      <c r="F475" t="inlineStr">
        <is>
          <t>ÖSTERGÖTLANDS LÄN</t>
        </is>
      </c>
      <c r="G475" t="inlineStr">
        <is>
          <t>FINSPÅNG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45142</v>
      </c>
      <c r="E476" s="1" t="n">
        <v>46251</v>
      </c>
      <c r="F476" t="inlineStr">
        <is>
          <t>ÖSTERGÖTLANDS LÄN</t>
        </is>
      </c>
      <c r="G476" t="inlineStr">
        <is>
          <t>FINSPÅNG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9339-2022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44616</v>
      </c>
      <c r="E477" s="1" t="n">
        <v>46251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46251</v>
      </c>
      <c r="F478" t="inlineStr">
        <is>
          <t>ÖSTERGÖTLANDS LÄN</t>
        </is>
      </c>
      <c r="G478" t="inlineStr">
        <is>
          <t>FINSPÅNG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45616</v>
      </c>
      <c r="E479" s="1" t="n">
        <v>46251</v>
      </c>
      <c r="F479" t="inlineStr">
        <is>
          <t>ÖSTERGÖTLANDS LÄN</t>
        </is>
      </c>
      <c r="G479" t="inlineStr">
        <is>
          <t>FINSPÅNG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46251</v>
      </c>
      <c r="F480" t="inlineStr">
        <is>
          <t>ÖSTERGÖTLANDS LÄN</t>
        </is>
      </c>
      <c r="G480" t="inlineStr">
        <is>
          <t>FINSPÅNG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46251</v>
      </c>
      <c r="F481" t="inlineStr">
        <is>
          <t>ÖSTERGÖTLANDS LÄN</t>
        </is>
      </c>
      <c r="G481" t="inlineStr">
        <is>
          <t>FINSPÅNG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48691-2024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45593</v>
      </c>
      <c r="E482" s="1" t="n">
        <v>46251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Övriga Aktiebolag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45646</v>
      </c>
      <c r="E483" s="1" t="n">
        <v>46251</v>
      </c>
      <c r="F483" t="inlineStr">
        <is>
          <t>ÖSTERGÖTLANDS LÄN</t>
        </is>
      </c>
      <c r="G483" t="inlineStr">
        <is>
          <t>FINSPÅNG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73260-2021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44550</v>
      </c>
      <c r="E484" s="1" t="n">
        <v>46251</v>
      </c>
      <c r="F484" t="inlineStr">
        <is>
          <t>ÖSTERGÖTLANDS LÄN</t>
        </is>
      </c>
      <c r="G484" t="inlineStr">
        <is>
          <t>FINSPÅNG</t>
        </is>
      </c>
      <c r="I484" t="n">
        <v>10.3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46251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45230</v>
      </c>
      <c r="E486" s="1" t="n">
        <v>46251</v>
      </c>
      <c r="F486" t="inlineStr">
        <is>
          <t>ÖSTERGÖTLANDS LÄN</t>
        </is>
      </c>
      <c r="G486" t="inlineStr">
        <is>
          <t>FINSPÅNG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46251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47836-2021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44448</v>
      </c>
      <c r="E488" s="1" t="n">
        <v>46251</v>
      </c>
      <c r="F488" t="inlineStr">
        <is>
          <t>ÖSTERGÖTLANDS LÄN</t>
        </is>
      </c>
      <c r="G488" t="inlineStr">
        <is>
          <t>FINSPÅNG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44774</v>
      </c>
      <c r="E489" s="1" t="n">
        <v>46251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14142-2025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45740</v>
      </c>
      <c r="E490" s="1" t="n">
        <v>46251</v>
      </c>
      <c r="F490" t="inlineStr">
        <is>
          <t>ÖSTERGÖTLANDS LÄN</t>
        </is>
      </c>
      <c r="G490" t="inlineStr">
        <is>
          <t>FINSPÅNG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45095</v>
      </c>
      <c r="E491" s="1" t="n">
        <v>46251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Övriga Aktiebolag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45095</v>
      </c>
      <c r="E492" s="1" t="n">
        <v>46251</v>
      </c>
      <c r="F492" t="inlineStr">
        <is>
          <t>ÖSTERGÖTLANDS LÄN</t>
        </is>
      </c>
      <c r="G492" t="inlineStr">
        <is>
          <t>FINSPÅNG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40069-2024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45554</v>
      </c>
      <c r="E493" s="1" t="n">
        <v>46251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45709</v>
      </c>
      <c r="E494" s="1" t="n">
        <v>46251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11867-2025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45728</v>
      </c>
      <c r="E495" s="1" t="n">
        <v>46251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45095</v>
      </c>
      <c r="E496" s="1" t="n">
        <v>46251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Övriga Aktiebolag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45615</v>
      </c>
      <c r="E497" s="1" t="n">
        <v>46251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45915</v>
      </c>
      <c r="E498" s="1" t="n">
        <v>46251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44973</v>
      </c>
      <c r="E499" s="1" t="n">
        <v>46251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45853</v>
      </c>
      <c r="E500" s="1" t="n">
        <v>46251</v>
      </c>
      <c r="F500" t="inlineStr">
        <is>
          <t>ÖSTERGÖTLANDS LÄN</t>
        </is>
      </c>
      <c r="G500" t="inlineStr">
        <is>
          <t>FINSPÅNG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46251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46251</v>
      </c>
      <c r="F502" t="inlineStr">
        <is>
          <t>ÖSTERGÖTLANDS LÄN</t>
        </is>
      </c>
      <c r="G502" t="inlineStr">
        <is>
          <t>FINSPÅNG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46251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35278-2025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45853</v>
      </c>
      <c r="E504" s="1" t="n">
        <v>46251</v>
      </c>
      <c r="F504" t="inlineStr">
        <is>
          <t>ÖSTERGÖTLANDS LÄN</t>
        </is>
      </c>
      <c r="G504" t="inlineStr">
        <is>
          <t>FINSPÅNG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45783</v>
      </c>
      <c r="E505" s="1" t="n">
        <v>46251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46251</v>
      </c>
      <c r="F506" t="inlineStr">
        <is>
          <t>ÖSTERGÖTLANDS LÄN</t>
        </is>
      </c>
      <c r="G506" t="inlineStr">
        <is>
          <t>FINSPÅNG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13084-2023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45002</v>
      </c>
      <c r="E507" s="1" t="n">
        <v>46251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35346-2024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45530</v>
      </c>
      <c r="E508" s="1" t="n">
        <v>46251</v>
      </c>
      <c r="F508" t="inlineStr">
        <is>
          <t>ÖSTERGÖTLANDS LÄN</t>
        </is>
      </c>
      <c r="G508" t="inlineStr">
        <is>
          <t>FINSPÅNG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46251</v>
      </c>
      <c r="F509" t="inlineStr">
        <is>
          <t>ÖSTERGÖTLANDS LÄN</t>
        </is>
      </c>
      <c r="G509" t="inlineStr">
        <is>
          <t>FINSPÅNG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45713</v>
      </c>
      <c r="E510" s="1" t="n">
        <v>46251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46031</v>
      </c>
      <c r="E511" s="1" t="n">
        <v>46251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Kyrkan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45055</v>
      </c>
      <c r="E512" s="1" t="n">
        <v>46251</v>
      </c>
      <c r="F512" t="inlineStr">
        <is>
          <t>ÖSTERGÖTLANDS LÄN</t>
        </is>
      </c>
      <c r="G512" t="inlineStr">
        <is>
          <t>FINSPÅNG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45744</v>
      </c>
      <c r="E513" s="1" t="n">
        <v>46251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46251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35598-2023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45147</v>
      </c>
      <c r="E515" s="1" t="n">
        <v>46251</v>
      </c>
      <c r="F515" t="inlineStr">
        <is>
          <t>ÖSTERGÖTLANDS LÄN</t>
        </is>
      </c>
      <c r="G515" t="inlineStr">
        <is>
          <t>FINSPÅNG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45095</v>
      </c>
      <c r="E516" s="1" t="n">
        <v>46251</v>
      </c>
      <c r="F516" t="inlineStr">
        <is>
          <t>ÖSTERGÖTLANDS LÄN</t>
        </is>
      </c>
      <c r="G516" t="inlineStr">
        <is>
          <t>FINSPÅNG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30271-2022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44759</v>
      </c>
      <c r="E517" s="1" t="n">
        <v>46251</v>
      </c>
      <c r="F517" t="inlineStr">
        <is>
          <t>ÖSTERGÖTLANDS LÄN</t>
        </is>
      </c>
      <c r="G517" t="inlineStr">
        <is>
          <t>FINSPÅNG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45243-2022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44840</v>
      </c>
      <c r="E518" s="1" t="n">
        <v>46251</v>
      </c>
      <c r="F518" t="inlineStr">
        <is>
          <t>ÖSTERGÖTLANDS LÄN</t>
        </is>
      </c>
      <c r="G518" t="inlineStr">
        <is>
          <t>FINSPÅNG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46251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46251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18585-2024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45425</v>
      </c>
      <c r="E521" s="1" t="n">
        <v>46251</v>
      </c>
      <c r="F521" t="inlineStr">
        <is>
          <t>ÖSTERGÖTLANDS LÄN</t>
        </is>
      </c>
      <c r="G521" t="inlineStr">
        <is>
          <t>FINSPÅNG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41397-2021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44424</v>
      </c>
      <c r="E522" s="1" t="n">
        <v>46251</v>
      </c>
      <c r="F522" t="inlineStr">
        <is>
          <t>ÖSTERGÖTLANDS LÄN</t>
        </is>
      </c>
      <c r="G522" t="inlineStr">
        <is>
          <t>FINSPÅNG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45692</v>
      </c>
      <c r="E523" s="1" t="n">
        <v>46251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46251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44898</v>
      </c>
      <c r="E525" s="1" t="n">
        <v>46251</v>
      </c>
      <c r="F525" t="inlineStr">
        <is>
          <t>ÖSTERGÖTLANDS LÄN</t>
        </is>
      </c>
      <c r="G525" t="inlineStr">
        <is>
          <t>FINSPÅNG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46251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46251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45688</v>
      </c>
      <c r="E528" s="1" t="n">
        <v>46251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42106-2023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45177</v>
      </c>
      <c r="E529" s="1" t="n">
        <v>46251</v>
      </c>
      <c r="F529" t="inlineStr">
        <is>
          <t>ÖSTERGÖTLANDS LÄN</t>
        </is>
      </c>
      <c r="G529" t="inlineStr">
        <is>
          <t>FINSPÅNG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55612-2021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44476</v>
      </c>
      <c r="E530" s="1" t="n">
        <v>46251</v>
      </c>
      <c r="F530" t="inlineStr">
        <is>
          <t>ÖSTERGÖTLANDS LÄN</t>
        </is>
      </c>
      <c r="G530" t="inlineStr">
        <is>
          <t>FINSPÅNG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46251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45456</v>
      </c>
      <c r="E532" s="1" t="n">
        <v>46251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50189-2022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44865</v>
      </c>
      <c r="E533" s="1" t="n">
        <v>46251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46251</v>
      </c>
      <c r="F534" t="inlineStr">
        <is>
          <t>ÖSTERGÖTLANDS LÄN</t>
        </is>
      </c>
      <c r="G534" t="inlineStr">
        <is>
          <t>FINSPÅNG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44966</v>
      </c>
      <c r="E535" s="1" t="n">
        <v>46251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Övriga Aktiebolag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54609-2021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44473</v>
      </c>
      <c r="E536" s="1" t="n">
        <v>46251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Sveaskog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40194-2022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44820</v>
      </c>
      <c r="E537" s="1" t="n">
        <v>46251</v>
      </c>
      <c r="F537" t="inlineStr">
        <is>
          <t>ÖSTERGÖTLANDS LÄN</t>
        </is>
      </c>
      <c r="G537" t="inlineStr">
        <is>
          <t>FINSPÅNG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60749-2022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46251</v>
      </c>
      <c r="F538" t="inlineStr">
        <is>
          <t>ÖSTERGÖTLANDS LÄN</t>
        </is>
      </c>
      <c r="G538" t="inlineStr">
        <is>
          <t>FINSPÅNG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46040</v>
      </c>
      <c r="E539" s="1" t="n">
        <v>46251</v>
      </c>
      <c r="F539" t="inlineStr">
        <is>
          <t>ÖSTERGÖTLANDS LÄN</t>
        </is>
      </c>
      <c r="G539" t="inlineStr">
        <is>
          <t>FINSPÅNG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46251</v>
      </c>
      <c r="F540" t="inlineStr">
        <is>
          <t>ÖSTERGÖTLANDS LÄN</t>
        </is>
      </c>
      <c r="G540" t="inlineStr">
        <is>
          <t>FINSPÅNG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44974</v>
      </c>
      <c r="E541" s="1" t="n">
        <v>46251</v>
      </c>
      <c r="F541" t="inlineStr">
        <is>
          <t>ÖSTERGÖTLANDS LÄN</t>
        </is>
      </c>
      <c r="G541" t="inlineStr">
        <is>
          <t>FINSPÅNG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45041</v>
      </c>
      <c r="E542" s="1" t="n">
        <v>46251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45082</v>
      </c>
      <c r="E543" s="1" t="n">
        <v>46251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10148-2025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45719</v>
      </c>
      <c r="E544" s="1" t="n">
        <v>46251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44950</v>
      </c>
      <c r="E545" s="1" t="n">
        <v>46251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45688</v>
      </c>
      <c r="E546" s="1" t="n">
        <v>46251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50510-2024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45601</v>
      </c>
      <c r="E547" s="1" t="n">
        <v>46251</v>
      </c>
      <c r="F547" t="inlineStr">
        <is>
          <t>ÖSTERGÖTLANDS LÄN</t>
        </is>
      </c>
      <c r="G547" t="inlineStr">
        <is>
          <t>FINSPÅNG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45323</v>
      </c>
      <c r="E548" s="1" t="n">
        <v>46251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42779-2023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46251</v>
      </c>
      <c r="F549" t="inlineStr">
        <is>
          <t>ÖSTERGÖTLANDS LÄN</t>
        </is>
      </c>
      <c r="G549" t="inlineStr">
        <is>
          <t>FINSPÅNG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18445-2023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45042</v>
      </c>
      <c r="E550" s="1" t="n">
        <v>46251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43318-2022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44834</v>
      </c>
      <c r="E551" s="1" t="n">
        <v>46251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49677-2022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44862</v>
      </c>
      <c r="E552" s="1" t="n">
        <v>46251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9.6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46048</v>
      </c>
      <c r="E553" s="1" t="n">
        <v>46251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46251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46251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52731-2023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45225</v>
      </c>
      <c r="E556" s="1" t="n">
        <v>46251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46251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44973</v>
      </c>
      <c r="E558" s="1" t="n">
        <v>46251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53821-2022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44880</v>
      </c>
      <c r="E559" s="1" t="n">
        <v>46251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8611-2025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45710</v>
      </c>
      <c r="E560" s="1" t="n">
        <v>46251</v>
      </c>
      <c r="F560" t="inlineStr">
        <is>
          <t>ÖSTERGÖTLANDS LÄN</t>
        </is>
      </c>
      <c r="G560" t="inlineStr">
        <is>
          <t>FINSPÅNG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46251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46050</v>
      </c>
      <c r="E562" s="1" t="n">
        <v>46251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45314-2023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45191</v>
      </c>
      <c r="E563" s="1" t="n">
        <v>46251</v>
      </c>
      <c r="F563" t="inlineStr">
        <is>
          <t>ÖSTERGÖTLANDS LÄN</t>
        </is>
      </c>
      <c r="G563" t="inlineStr">
        <is>
          <t>FINSPÅNG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36110-2023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45149</v>
      </c>
      <c r="E564" s="1" t="n">
        <v>46251</v>
      </c>
      <c r="F564" t="inlineStr">
        <is>
          <t>ÖSTERGÖTLANDS LÄN</t>
        </is>
      </c>
      <c r="G564" t="inlineStr">
        <is>
          <t>FINSPÅNG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46251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32789-2024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45516</v>
      </c>
      <c r="E566" s="1" t="n">
        <v>46251</v>
      </c>
      <c r="F566" t="inlineStr">
        <is>
          <t>ÖSTERGÖTLANDS LÄN</t>
        </is>
      </c>
      <c r="G566" t="inlineStr">
        <is>
          <t>FINSPÅNG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46251</v>
      </c>
      <c r="F567" t="inlineStr">
        <is>
          <t>ÖSTERGÖTLANDS LÄN</t>
        </is>
      </c>
      <c r="G567" t="inlineStr">
        <is>
          <t>FINSPÅNG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19529-2025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46251</v>
      </c>
      <c r="F568" t="inlineStr">
        <is>
          <t>ÖSTERGÖTLANDS LÄN</t>
        </is>
      </c>
      <c r="G568" t="inlineStr">
        <is>
          <t>FINSPÅNG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46251</v>
      </c>
      <c r="F569" t="inlineStr">
        <is>
          <t>ÖSTERGÖTLANDS LÄN</t>
        </is>
      </c>
      <c r="G569" t="inlineStr">
        <is>
          <t>FINSPÅNG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45236</v>
      </c>
      <c r="E570" s="1" t="n">
        <v>46251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45236</v>
      </c>
      <c r="E571" s="1" t="n">
        <v>46251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54923-2022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44886</v>
      </c>
      <c r="E572" s="1" t="n">
        <v>46251</v>
      </c>
      <c r="F572" t="inlineStr">
        <is>
          <t>ÖSTERGÖTLANDS LÄN</t>
        </is>
      </c>
      <c r="G572" t="inlineStr">
        <is>
          <t>FINSPÅNG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46251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22354-2023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45070</v>
      </c>
      <c r="E574" s="1" t="n">
        <v>46251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45566</v>
      </c>
      <c r="E575" s="1" t="n">
        <v>46251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45042</v>
      </c>
      <c r="E576" s="1" t="n">
        <v>46251</v>
      </c>
      <c r="F576" t="inlineStr">
        <is>
          <t>ÖSTERGÖTLANDS LÄN</t>
        </is>
      </c>
      <c r="G576" t="inlineStr">
        <is>
          <t>FINSPÅNG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46251</v>
      </c>
      <c r="F577" t="inlineStr">
        <is>
          <t>ÖSTERGÖTLANDS LÄN</t>
        </is>
      </c>
      <c r="G577" t="inlineStr">
        <is>
          <t>FINSPÅNG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11839-2025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45728</v>
      </c>
      <c r="E578" s="1" t="n">
        <v>46251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46251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53246-2022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44876</v>
      </c>
      <c r="E580" s="1" t="n">
        <v>46251</v>
      </c>
      <c r="F580" t="inlineStr">
        <is>
          <t>ÖSTERGÖTLANDS LÄN</t>
        </is>
      </c>
      <c r="G580" t="inlineStr">
        <is>
          <t>FINSPÅNG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10412-2023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44987</v>
      </c>
      <c r="E581" s="1" t="n">
        <v>46251</v>
      </c>
      <c r="F581" t="inlineStr">
        <is>
          <t>ÖSTERGÖTLANDS LÄN</t>
        </is>
      </c>
      <c r="G581" t="inlineStr">
        <is>
          <t>FINSPÅNG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46251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Övriga Aktiebolag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46251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41513-2024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45560</v>
      </c>
      <c r="E584" s="1" t="n">
        <v>46251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45719</v>
      </c>
      <c r="E585" s="1" t="n">
        <v>46251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12814-2022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44642</v>
      </c>
      <c r="E586" s="1" t="n">
        <v>46251</v>
      </c>
      <c r="F586" t="inlineStr">
        <is>
          <t>ÖSTERGÖTLANDS LÄN</t>
        </is>
      </c>
      <c r="G586" t="inlineStr">
        <is>
          <t>FINSPÅNG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70505-2021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44536</v>
      </c>
      <c r="E587" s="1" t="n">
        <v>46251</v>
      </c>
      <c r="F587" t="inlineStr">
        <is>
          <t>ÖSTERGÖTLANDS LÄN</t>
        </is>
      </c>
      <c r="G587" t="inlineStr">
        <is>
          <t>FINSPÅNG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46060</v>
      </c>
      <c r="E588" s="1" t="n">
        <v>46251</v>
      </c>
      <c r="F588" t="inlineStr">
        <is>
          <t>ÖSTERGÖTLANDS LÄN</t>
        </is>
      </c>
      <c r="G588" t="inlineStr">
        <is>
          <t>FINSPÅNG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13375-2025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45735</v>
      </c>
      <c r="E589" s="1" t="n">
        <v>46251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58011-2023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45247</v>
      </c>
      <c r="E590" s="1" t="n">
        <v>46251</v>
      </c>
      <c r="F590" t="inlineStr">
        <is>
          <t>ÖSTERGÖTLANDS LÄN</t>
        </is>
      </c>
      <c r="G590" t="inlineStr">
        <is>
          <t>FINSPÅNG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18356-2024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45422</v>
      </c>
      <c r="E591" s="1" t="n">
        <v>46251</v>
      </c>
      <c r="F591" t="inlineStr">
        <is>
          <t>ÖSTERGÖTLANDS LÄN</t>
        </is>
      </c>
      <c r="G591" t="inlineStr">
        <is>
          <t>FINSPÅNG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49904-2023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45214</v>
      </c>
      <c r="E592" s="1" t="n">
        <v>46251</v>
      </c>
      <c r="F592" t="inlineStr">
        <is>
          <t>ÖSTERGÖTLANDS LÄN</t>
        </is>
      </c>
      <c r="G592" t="inlineStr">
        <is>
          <t>FINSPÅNG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45237</v>
      </c>
      <c r="E593" s="1" t="n">
        <v>46251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Kyrkan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46251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Övriga Aktiebolag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46251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8228-2026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46251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Sveaskog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46251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8083-2026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46063</v>
      </c>
      <c r="E598" s="1" t="n">
        <v>46251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8270-2026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46251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Sveaskog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18258-2024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45421</v>
      </c>
      <c r="E600" s="1" t="n">
        <v>46251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18171-2024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45420</v>
      </c>
      <c r="E601" s="1" t="n">
        <v>46251</v>
      </c>
      <c r="F601" t="inlineStr">
        <is>
          <t>ÖSTERGÖTLANDS LÄN</t>
        </is>
      </c>
      <c r="G601" t="inlineStr">
        <is>
          <t>FINSPÅNG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46251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46251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13378-2025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45735</v>
      </c>
      <c r="E604" s="1" t="n">
        <v>46251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45125</v>
      </c>
      <c r="E605" s="1" t="n">
        <v>46251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Övriga Aktiebolag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16975-2023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45033</v>
      </c>
      <c r="E606" s="1" t="n">
        <v>46251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Naturvårdsverket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46251</v>
      </c>
      <c r="F607" t="inlineStr">
        <is>
          <t>ÖSTERGÖTLANDS LÄN</t>
        </is>
      </c>
      <c r="G607" t="inlineStr">
        <is>
          <t>FINSPÅNG</t>
        </is>
      </c>
      <c r="I607" t="n">
        <v>8.300000000000001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46251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46251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45103</v>
      </c>
      <c r="E610" s="1" t="n">
        <v>46251</v>
      </c>
      <c r="F610" t="inlineStr">
        <is>
          <t>ÖSTERGÖTLANDS LÄN</t>
        </is>
      </c>
      <c r="G610" t="inlineStr">
        <is>
          <t>FINSPÅNG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45688</v>
      </c>
      <c r="E611" s="1" t="n">
        <v>46251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15952-2023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45022</v>
      </c>
      <c r="E612" s="1" t="n">
        <v>46251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46065</v>
      </c>
      <c r="E613" s="1" t="n">
        <v>46251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46065</v>
      </c>
      <c r="E614" s="1" t="n">
        <v>46251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15129-2025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45744</v>
      </c>
      <c r="E615" s="1" t="n">
        <v>46251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Naturvårdsverket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9084-2026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46069</v>
      </c>
      <c r="E616" s="1" t="n">
        <v>46251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62186-2023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45267</v>
      </c>
      <c r="E617" s="1" t="n">
        <v>46251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47224-2023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46251</v>
      </c>
      <c r="F618" t="inlineStr">
        <is>
          <t>ÖSTERGÖTLANDS LÄN</t>
        </is>
      </c>
      <c r="G618" t="inlineStr">
        <is>
          <t>FINSPÅNG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45118</v>
      </c>
      <c r="E619" s="1" t="n">
        <v>46251</v>
      </c>
      <c r="F619" t="inlineStr">
        <is>
          <t>ÖSTERGÖTLANDS LÄN</t>
        </is>
      </c>
      <c r="G619" t="inlineStr">
        <is>
          <t>FINSPÅNG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9173-2026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46070</v>
      </c>
      <c r="E620" s="1" t="n">
        <v>46251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46070</v>
      </c>
      <c r="E621" s="1" t="n">
        <v>46251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44944</v>
      </c>
      <c r="E622" s="1" t="n">
        <v>46251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44595</v>
      </c>
      <c r="E623" s="1" t="n">
        <v>46251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Övriga Aktiebolag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54404-2023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46251</v>
      </c>
      <c r="F624" t="inlineStr">
        <is>
          <t>ÖSTERGÖTLANDS LÄN</t>
        </is>
      </c>
      <c r="G624" t="inlineStr">
        <is>
          <t>FINSPÅNG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52730-2023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45225</v>
      </c>
      <c r="E625" s="1" t="n">
        <v>46251</v>
      </c>
      <c r="F625" t="inlineStr">
        <is>
          <t>ÖSTERGÖTLANDS LÄN</t>
        </is>
      </c>
      <c r="G625" t="inlineStr">
        <is>
          <t>FINSPÅNG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58141-2022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44900</v>
      </c>
      <c r="E626" s="1" t="n">
        <v>46251</v>
      </c>
      <c r="F626" t="inlineStr">
        <is>
          <t>ÖSTERGÖTLANDS LÄN</t>
        </is>
      </c>
      <c r="G626" t="inlineStr">
        <is>
          <t>FINSPÅNG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42204-2023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45179</v>
      </c>
      <c r="E627" s="1" t="n">
        <v>46251</v>
      </c>
      <c r="F627" t="inlineStr">
        <is>
          <t>ÖSTERGÖTLANDS LÄN</t>
        </is>
      </c>
      <c r="G627" t="inlineStr">
        <is>
          <t>FINSPÅNG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9418-2023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44981</v>
      </c>
      <c r="E628" s="1" t="n">
        <v>46251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62168-2022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44922</v>
      </c>
      <c r="E629" s="1" t="n">
        <v>46251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45311-2023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45191</v>
      </c>
      <c r="E630" s="1" t="n">
        <v>46251</v>
      </c>
      <c r="F630" t="inlineStr">
        <is>
          <t>ÖSTERGÖTLANDS LÄN</t>
        </is>
      </c>
      <c r="G630" t="inlineStr">
        <is>
          <t>FINSPÅNG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42176-2023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45178</v>
      </c>
      <c r="E631" s="1" t="n">
        <v>46251</v>
      </c>
      <c r="F631" t="inlineStr">
        <is>
          <t>ÖSTERGÖTLANDS LÄN</t>
        </is>
      </c>
      <c r="G631" t="inlineStr">
        <is>
          <t>FINSPÅNG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44564</v>
      </c>
      <c r="E632" s="1" t="n">
        <v>46251</v>
      </c>
      <c r="F632" t="inlineStr">
        <is>
          <t>ÖSTERGÖTLANDS LÄN</t>
        </is>
      </c>
      <c r="G632" t="inlineStr">
        <is>
          <t>FINSPÅNG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46251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45095</v>
      </c>
      <c r="E634" s="1" t="n">
        <v>46251</v>
      </c>
      <c r="F634" t="inlineStr">
        <is>
          <t>ÖSTERGÖTLANDS LÄN</t>
        </is>
      </c>
      <c r="G634" t="inlineStr">
        <is>
          <t>FINSPÅNG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42111-2023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45177</v>
      </c>
      <c r="E635" s="1" t="n">
        <v>46251</v>
      </c>
      <c r="F635" t="inlineStr">
        <is>
          <t>ÖSTERGÖTLANDS LÄN</t>
        </is>
      </c>
      <c r="G635" t="inlineStr">
        <is>
          <t>FINSPÅNG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45623</v>
      </c>
      <c r="E636" s="1" t="n">
        <v>46251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59699-2024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45639</v>
      </c>
      <c r="E637" s="1" t="n">
        <v>46251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46317-2023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45197</v>
      </c>
      <c r="E638" s="1" t="n">
        <v>46251</v>
      </c>
      <c r="F638" t="inlineStr">
        <is>
          <t>ÖSTERGÖTLANDS LÄN</t>
        </is>
      </c>
      <c r="G638" t="inlineStr">
        <is>
          <t>FINSPÅNG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8236-2026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46064</v>
      </c>
      <c r="E639" s="1" t="n">
        <v>46251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61359-2023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46251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9934-2026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46251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46076</v>
      </c>
      <c r="E642" s="1" t="n">
        <v>46251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24500-2023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45082</v>
      </c>
      <c r="E643" s="1" t="n">
        <v>46251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10313-2026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46251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45082</v>
      </c>
      <c r="E645" s="1" t="n">
        <v>46251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46078</v>
      </c>
      <c r="E646" s="1" t="n">
        <v>46251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32431-2023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45110</v>
      </c>
      <c r="E647" s="1" t="n">
        <v>46251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46251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11.8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14560-2023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45013</v>
      </c>
      <c r="E649" s="1" t="n">
        <v>46251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14022-2023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46251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25121-2023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45086</v>
      </c>
      <c r="E651" s="1" t="n">
        <v>46251</v>
      </c>
      <c r="F651" t="inlineStr">
        <is>
          <t>ÖSTERGÖTLANDS LÄN</t>
        </is>
      </c>
      <c r="G651" t="inlineStr">
        <is>
          <t>FINSPÅNG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20821-2026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46251</v>
      </c>
      <c r="F652" t="inlineStr">
        <is>
          <t>ÖSTERGÖTLANDS LÄN</t>
        </is>
      </c>
      <c r="G652" t="inlineStr">
        <is>
          <t>FINSPÅNG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4351-2022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44589</v>
      </c>
      <c r="E653" s="1" t="n">
        <v>46251</v>
      </c>
      <c r="F653" t="inlineStr">
        <is>
          <t>ÖSTERGÖTLANDS LÄN</t>
        </is>
      </c>
      <c r="G653" t="inlineStr">
        <is>
          <t>FINSPÅNG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11251-2026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46080</v>
      </c>
      <c r="E654" s="1" t="n">
        <v>46251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46251</v>
      </c>
      <c r="F655" t="inlineStr">
        <is>
          <t>ÖSTERGÖTLANDS LÄN</t>
        </is>
      </c>
      <c r="G655" t="inlineStr">
        <is>
          <t>FINSPÅNG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48767-2024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45593</v>
      </c>
      <c r="E656" s="1" t="n">
        <v>46251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16229-2024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45407</v>
      </c>
      <c r="E657" s="1" t="n">
        <v>46251</v>
      </c>
      <c r="F657" t="inlineStr">
        <is>
          <t>ÖSTERGÖTLANDS LÄN</t>
        </is>
      </c>
      <c r="G657" t="inlineStr">
        <is>
          <t>FINSPÅNG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44942</v>
      </c>
      <c r="E658" s="1" t="n">
        <v>46251</v>
      </c>
      <c r="F658" t="inlineStr">
        <is>
          <t>ÖSTERGÖTLANDS LÄN</t>
        </is>
      </c>
      <c r="G658" t="inlineStr">
        <is>
          <t>FINSPÅNG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58142-2022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44900</v>
      </c>
      <c r="E659" s="1" t="n">
        <v>46251</v>
      </c>
      <c r="F659" t="inlineStr">
        <is>
          <t>ÖSTERGÖTLANDS LÄN</t>
        </is>
      </c>
      <c r="G659" t="inlineStr">
        <is>
          <t>FINSPÅNG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43744-2021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44433</v>
      </c>
      <c r="E660" s="1" t="n">
        <v>46251</v>
      </c>
      <c r="F660" t="inlineStr">
        <is>
          <t>ÖSTERGÖTLANDS LÄN</t>
        </is>
      </c>
      <c r="G660" t="inlineStr">
        <is>
          <t>FINSPÅNG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9554-2022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44617</v>
      </c>
      <c r="E661" s="1" t="n">
        <v>46251</v>
      </c>
      <c r="F661" t="inlineStr">
        <is>
          <t>ÖSTERGÖTLANDS LÄN</t>
        </is>
      </c>
      <c r="G661" t="inlineStr">
        <is>
          <t>FINSPÅNG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45357</v>
      </c>
      <c r="E662" s="1" t="n">
        <v>46251</v>
      </c>
      <c r="F662" t="inlineStr">
        <is>
          <t>ÖSTERGÖTLANDS LÄN</t>
        </is>
      </c>
      <c r="G662" t="inlineStr">
        <is>
          <t>FINSPÅNG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56309-2022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44887</v>
      </c>
      <c r="E663" s="1" t="n">
        <v>46251</v>
      </c>
      <c r="F663" t="inlineStr">
        <is>
          <t>ÖSTERGÖTLANDS LÄN</t>
        </is>
      </c>
      <c r="G663" t="inlineStr">
        <is>
          <t>FINSPÅNG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60547-2023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45259</v>
      </c>
      <c r="E664" s="1" t="n">
        <v>46251</v>
      </c>
      <c r="F664" t="inlineStr">
        <is>
          <t>ÖSTERGÖTLANDS LÄN</t>
        </is>
      </c>
      <c r="G664" t="inlineStr">
        <is>
          <t>FINSPÅNG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63585-2023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45275</v>
      </c>
      <c r="E665" s="1" t="n">
        <v>46251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45463</v>
      </c>
      <c r="E666" s="1" t="n">
        <v>46251</v>
      </c>
      <c r="F666" t="inlineStr">
        <is>
          <t>ÖSTERGÖTLANDS LÄN</t>
        </is>
      </c>
      <c r="G666" t="inlineStr">
        <is>
          <t>FINSPÅNG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44939</v>
      </c>
      <c r="E667" s="1" t="n">
        <v>46251</v>
      </c>
      <c r="F667" t="inlineStr">
        <is>
          <t>ÖSTERGÖTLANDS LÄN</t>
        </is>
      </c>
      <c r="G667" t="inlineStr">
        <is>
          <t>FINSPÅNG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47317-2023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45202</v>
      </c>
      <c r="E668" s="1" t="n">
        <v>46251</v>
      </c>
      <c r="F668" t="inlineStr">
        <is>
          <t>ÖSTERGÖTLANDS LÄN</t>
        </is>
      </c>
      <c r="G668" t="inlineStr">
        <is>
          <t>FINSPÅNG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11950-2023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44995</v>
      </c>
      <c r="E669" s="1" t="n">
        <v>46251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45677</v>
      </c>
      <c r="E670" s="1" t="n">
        <v>46251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28556-2023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45103</v>
      </c>
      <c r="E671" s="1" t="n">
        <v>46251</v>
      </c>
      <c r="F671" t="inlineStr">
        <is>
          <t>ÖSTERGÖTLANDS LÄN</t>
        </is>
      </c>
      <c r="G671" t="inlineStr">
        <is>
          <t>FINSPÅNG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44946</v>
      </c>
      <c r="E672" s="1" t="n">
        <v>46251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44946</v>
      </c>
      <c r="E673" s="1" t="n">
        <v>46251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45113</v>
      </c>
      <c r="E674" s="1" t="n">
        <v>46251</v>
      </c>
      <c r="F674" t="inlineStr">
        <is>
          <t>ÖSTERGÖTLANDS LÄN</t>
        </is>
      </c>
      <c r="G674" t="inlineStr">
        <is>
          <t>FINSPÅNG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11540-2023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44993</v>
      </c>
      <c r="E675" s="1" t="n">
        <v>46251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46251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45299</v>
      </c>
      <c r="E677" s="1" t="n">
        <v>46251</v>
      </c>
      <c r="F677" t="inlineStr">
        <is>
          <t>ÖSTERGÖTLANDS LÄN</t>
        </is>
      </c>
      <c r="G677" t="inlineStr">
        <is>
          <t>FINSPÅNG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10258-2025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45720</v>
      </c>
      <c r="E678" s="1" t="n">
        <v>46251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58313-2023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46251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48443-2023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45206</v>
      </c>
      <c r="E680" s="1" t="n">
        <v>46251</v>
      </c>
      <c r="F680" t="inlineStr">
        <is>
          <t>ÖSTERGÖTLANDS LÄN</t>
        </is>
      </c>
      <c r="G680" t="inlineStr">
        <is>
          <t>FINSPÅNG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6527-2023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44966</v>
      </c>
      <c r="E681" s="1" t="n">
        <v>46251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57678-2025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45980</v>
      </c>
      <c r="E682" s="1" t="n">
        <v>46251</v>
      </c>
      <c r="F682" t="inlineStr">
        <is>
          <t>ÖSTERGÖTLANDS LÄN</t>
        </is>
      </c>
      <c r="G682" t="inlineStr">
        <is>
          <t>FINSPÅNG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45293</v>
      </c>
      <c r="E683" s="1" t="n">
        <v>46251</v>
      </c>
      <c r="F683" t="inlineStr">
        <is>
          <t>ÖSTERGÖTLANDS LÄN</t>
        </is>
      </c>
      <c r="G683" t="inlineStr">
        <is>
          <t>FINSPÅNG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45184</v>
      </c>
      <c r="E684" s="1" t="n">
        <v>46251</v>
      </c>
      <c r="F684" t="inlineStr">
        <is>
          <t>ÖSTERGÖTLANDS LÄN</t>
        </is>
      </c>
      <c r="G684" t="inlineStr">
        <is>
          <t>FINSPÅNG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13821-2024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45391</v>
      </c>
      <c r="E685" s="1" t="n">
        <v>46251</v>
      </c>
      <c r="F685" t="inlineStr">
        <is>
          <t>ÖSTERGÖTLANDS LÄN</t>
        </is>
      </c>
      <c r="G685" t="inlineStr">
        <is>
          <t>FINSPÅNG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6154-2023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44964</v>
      </c>
      <c r="E686" s="1" t="n">
        <v>46251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34119-2025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45845</v>
      </c>
      <c r="E687" s="1" t="n">
        <v>46251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58367-2023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45250</v>
      </c>
      <c r="E688" s="1" t="n">
        <v>46251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52007-2024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46251</v>
      </c>
      <c r="F689" t="inlineStr">
        <is>
          <t>ÖSTERGÖTLANDS LÄN</t>
        </is>
      </c>
      <c r="G689" t="inlineStr">
        <is>
          <t>FINSPÅNG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52008-2024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45607</v>
      </c>
      <c r="E690" s="1" t="n">
        <v>46251</v>
      </c>
      <c r="F690" t="inlineStr">
        <is>
          <t>ÖSTERGÖTLANDS LÄN</t>
        </is>
      </c>
      <c r="G690" t="inlineStr">
        <is>
          <t>FINSPÅNG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58991-2021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44490</v>
      </c>
      <c r="E691" s="1" t="n">
        <v>46251</v>
      </c>
      <c r="F691" t="inlineStr">
        <is>
          <t>ÖSTERGÖTLANDS LÄN</t>
        </is>
      </c>
      <c r="G691" t="inlineStr">
        <is>
          <t>FINSPÅNG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44949</v>
      </c>
      <c r="E692" s="1" t="n">
        <v>46251</v>
      </c>
      <c r="F692" t="inlineStr">
        <is>
          <t>ÖSTERGÖTLANDS LÄN</t>
        </is>
      </c>
      <c r="G692" t="inlineStr">
        <is>
          <t>FINSPÅNG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7743-2023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44973</v>
      </c>
      <c r="E693" s="1" t="n">
        <v>46251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46160</v>
      </c>
      <c r="E694" s="1" t="n">
        <v>46251</v>
      </c>
      <c r="F694" t="inlineStr">
        <is>
          <t>ÖSTERGÖTLANDS LÄN</t>
        </is>
      </c>
      <c r="G694" t="inlineStr">
        <is>
          <t>FINSPÅNG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62158-2022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44922</v>
      </c>
      <c r="E695" s="1" t="n">
        <v>46251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19609-2025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45770</v>
      </c>
      <c r="E696" s="1" t="n">
        <v>46251</v>
      </c>
      <c r="F696" t="inlineStr">
        <is>
          <t>ÖSTERGÖTLANDS LÄN</t>
        </is>
      </c>
      <c r="G696" t="inlineStr">
        <is>
          <t>FINSPÅNG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28732-2023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45103</v>
      </c>
      <c r="E697" s="1" t="n">
        <v>46251</v>
      </c>
      <c r="F697" t="inlineStr">
        <is>
          <t>ÖSTERGÖTLANDS LÄN</t>
        </is>
      </c>
      <c r="G697" t="inlineStr">
        <is>
          <t>FINSPÅNG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15900-2025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45749</v>
      </c>
      <c r="E698" s="1" t="n">
        <v>46251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59702-2024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45639</v>
      </c>
      <c r="E699" s="1" t="n">
        <v>46251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8438-2025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46251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10485-2026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46077</v>
      </c>
      <c r="E701" s="1" t="n">
        <v>46251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Kyrkan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42705-2024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45566</v>
      </c>
      <c r="E702" s="1" t="n">
        <v>46251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42711-2024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45566</v>
      </c>
      <c r="E703" s="1" t="n">
        <v>46251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45341</v>
      </c>
      <c r="E704" s="1" t="n">
        <v>46251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14031-2025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45740</v>
      </c>
      <c r="E705" s="1" t="n">
        <v>46251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45293</v>
      </c>
      <c r="E706" s="1" t="n">
        <v>46251</v>
      </c>
      <c r="F706" t="inlineStr">
        <is>
          <t>ÖSTERGÖTLANDS LÄN</t>
        </is>
      </c>
      <c r="G706" t="inlineStr">
        <is>
          <t>FINSPÅNG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45391</v>
      </c>
      <c r="E707" s="1" t="n">
        <v>46251</v>
      </c>
      <c r="F707" t="inlineStr">
        <is>
          <t>ÖSTERGÖTLANDS LÄN</t>
        </is>
      </c>
      <c r="G707" t="inlineStr">
        <is>
          <t>FINSPÅNG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17321-2022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44678</v>
      </c>
      <c r="E708" s="1" t="n">
        <v>46251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28558-2023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45103</v>
      </c>
      <c r="E709" s="1" t="n">
        <v>46251</v>
      </c>
      <c r="F709" t="inlineStr">
        <is>
          <t>ÖSTERGÖTLANDS LÄN</t>
        </is>
      </c>
      <c r="G709" t="inlineStr">
        <is>
          <t>FINSPÅNG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54299-2023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45232</v>
      </c>
      <c r="E710" s="1" t="n">
        <v>46251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52557-2024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45609</v>
      </c>
      <c r="E711" s="1" t="n">
        <v>46251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45002</v>
      </c>
      <c r="E712" s="1" t="n">
        <v>46251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Kyrkan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23821-2023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45078</v>
      </c>
      <c r="E713" s="1" t="n">
        <v>46251</v>
      </c>
      <c r="F713" t="inlineStr">
        <is>
          <t>ÖSTERGÖTLANDS LÄN</t>
        </is>
      </c>
      <c r="G713" t="inlineStr">
        <is>
          <t>FINSPÅNG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11541-2023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44993</v>
      </c>
      <c r="E714" s="1" t="n">
        <v>46251</v>
      </c>
      <c r="F714" t="inlineStr">
        <is>
          <t>ÖSTERGÖTLANDS LÄN</t>
        </is>
      </c>
      <c r="G714" t="inlineStr">
        <is>
          <t>FINSPÅNG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42678-2024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45566</v>
      </c>
      <c r="E715" s="1" t="n">
        <v>46251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42699-2024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45566</v>
      </c>
      <c r="E716" s="1" t="n">
        <v>46251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42682-2024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45566</v>
      </c>
      <c r="E717" s="1" t="n">
        <v>46251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13392-2025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45735</v>
      </c>
      <c r="E718" s="1" t="n">
        <v>46251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45736</v>
      </c>
      <c r="E719" s="1" t="n">
        <v>46251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33804-2023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45133</v>
      </c>
      <c r="E720" s="1" t="n">
        <v>46251</v>
      </c>
      <c r="F720" t="inlineStr">
        <is>
          <t>ÖSTERGÖTLANDS LÄN</t>
        </is>
      </c>
      <c r="G720" t="inlineStr">
        <is>
          <t>FINSPÅNG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73655-2021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44551</v>
      </c>
      <c r="E721" s="1" t="n">
        <v>46251</v>
      </c>
      <c r="F721" t="inlineStr">
        <is>
          <t>ÖSTERGÖTLANDS LÄN</t>
        </is>
      </c>
      <c r="G721" t="inlineStr">
        <is>
          <t>FINSPÅNG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45447</v>
      </c>
      <c r="E722" s="1" t="n">
        <v>46251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39655-2023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45167</v>
      </c>
      <c r="E723" s="1" t="n">
        <v>46251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Kyrkan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35343-2024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45530</v>
      </c>
      <c r="E724" s="1" t="n">
        <v>46251</v>
      </c>
      <c r="F724" t="inlineStr">
        <is>
          <t>ÖSTERGÖTLANDS LÄN</t>
        </is>
      </c>
      <c r="G724" t="inlineStr">
        <is>
          <t>FINSPÅNG</t>
        </is>
      </c>
      <c r="I724" t="n">
        <v>7.2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44937</v>
      </c>
      <c r="E725" s="1" t="n">
        <v>46251</v>
      </c>
      <c r="F725" t="inlineStr">
        <is>
          <t>ÖSTERGÖTLANDS LÄN</t>
        </is>
      </c>
      <c r="G725" t="inlineStr">
        <is>
          <t>FINSPÅNG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46251</v>
      </c>
      <c r="F726" t="inlineStr">
        <is>
          <t>ÖSTERGÖTLANDS LÄN</t>
        </is>
      </c>
      <c r="G726" t="inlineStr">
        <is>
          <t>FINSPÅNG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9378-2023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44981</v>
      </c>
      <c r="E727" s="1" t="n">
        <v>46251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18295-2023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45041</v>
      </c>
      <c r="E728" s="1" t="n">
        <v>46251</v>
      </c>
      <c r="F728" t="inlineStr">
        <is>
          <t>ÖSTERGÖTLANDS LÄN</t>
        </is>
      </c>
      <c r="G728" t="inlineStr">
        <is>
          <t>FINSPÅNG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21655-2023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45063</v>
      </c>
      <c r="E729" s="1" t="n">
        <v>46251</v>
      </c>
      <c r="F729" t="inlineStr">
        <is>
          <t>ÖSTERGÖTLANDS LÄN</t>
        </is>
      </c>
      <c r="G729" t="inlineStr">
        <is>
          <t>FINSPÅNG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31025-2023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45113</v>
      </c>
      <c r="E730" s="1" t="n">
        <v>46251</v>
      </c>
      <c r="F730" t="inlineStr">
        <is>
          <t>ÖSTERGÖTLANDS LÄN</t>
        </is>
      </c>
      <c r="G730" t="inlineStr">
        <is>
          <t>FINSPÅNG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60249-2024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45642</v>
      </c>
      <c r="E731" s="1" t="n">
        <v>46251</v>
      </c>
      <c r="F731" t="inlineStr">
        <is>
          <t>ÖSTERGÖTLANDS LÄN</t>
        </is>
      </c>
      <c r="G731" t="inlineStr">
        <is>
          <t>FINSPÅNG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62155-2023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45267</v>
      </c>
      <c r="E732" s="1" t="n">
        <v>46251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46251</v>
      </c>
      <c r="F733" t="inlineStr">
        <is>
          <t>ÖSTERGÖTLANDS LÄN</t>
        </is>
      </c>
      <c r="G733" t="inlineStr">
        <is>
          <t>FINSPÅNG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50670-2024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45601</v>
      </c>
      <c r="E734" s="1" t="n">
        <v>46251</v>
      </c>
      <c r="F734" t="inlineStr">
        <is>
          <t>ÖSTERGÖTLANDS LÄN</t>
        </is>
      </c>
      <c r="G734" t="inlineStr">
        <is>
          <t>FINSPÅNG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17994-2023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45040</v>
      </c>
      <c r="E735" s="1" t="n">
        <v>46251</v>
      </c>
      <c r="F735" t="inlineStr">
        <is>
          <t>ÖSTERGÖTLANDS LÄN</t>
        </is>
      </c>
      <c r="G735" t="inlineStr">
        <is>
          <t>FINSPÅNG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35340-2024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45530</v>
      </c>
      <c r="E736" s="1" t="n">
        <v>46251</v>
      </c>
      <c r="F736" t="inlineStr">
        <is>
          <t>ÖSTERGÖTLANDS LÄN</t>
        </is>
      </c>
      <c r="G736" t="inlineStr">
        <is>
          <t>FINSPÅNG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15614-2023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45020</v>
      </c>
      <c r="E737" s="1" t="n">
        <v>46251</v>
      </c>
      <c r="F737" t="inlineStr">
        <is>
          <t>ÖSTERGÖTLANDS LÄN</t>
        </is>
      </c>
      <c r="G737" t="inlineStr">
        <is>
          <t>FINSPÅNG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48652-2024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45593</v>
      </c>
      <c r="E738" s="1" t="n">
        <v>46251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Övriga Aktiebolag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11523-2025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45727</v>
      </c>
      <c r="E739" s="1" t="n">
        <v>46251</v>
      </c>
      <c r="F739" t="inlineStr">
        <is>
          <t>ÖSTERGÖTLANDS LÄN</t>
        </is>
      </c>
      <c r="G739" t="inlineStr">
        <is>
          <t>FINSPÅNG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30864-2026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46251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11149-2024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45371</v>
      </c>
      <c r="E741" s="1" t="n">
        <v>46251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Kyrkan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21907-2023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45068</v>
      </c>
      <c r="E742" s="1" t="n">
        <v>46251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46251</v>
      </c>
      <c r="F743" t="inlineStr">
        <is>
          <t>ÖSTERGÖTLANDS LÄN</t>
        </is>
      </c>
      <c r="G743" t="inlineStr">
        <is>
          <t>FINSPÅNG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31152-2026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46209</v>
      </c>
      <c r="E744" s="1" t="n">
        <v>46251</v>
      </c>
      <c r="F744" t="inlineStr">
        <is>
          <t>ÖSTERGÖTLANDS LÄN</t>
        </is>
      </c>
      <c r="G744" t="inlineStr">
        <is>
          <t>FINSPÅNG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36192-2023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46251</v>
      </c>
      <c r="F745" t="inlineStr">
        <is>
          <t>ÖSTERGÖTLANDS LÄN</t>
        </is>
      </c>
      <c r="G745" t="inlineStr">
        <is>
          <t>FINSPÅNG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54581-2024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45617</v>
      </c>
      <c r="E746" s="1" t="n">
        <v>46251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1131-2024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45302</v>
      </c>
      <c r="E747" s="1" t="n">
        <v>46251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31151-2026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46251</v>
      </c>
      <c r="F748" t="inlineStr">
        <is>
          <t>ÖSTERGÖTLANDS LÄN</t>
        </is>
      </c>
      <c r="G748" t="inlineStr">
        <is>
          <t>FINSPÅNG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45796</v>
      </c>
      <c r="E749" s="1" t="n">
        <v>46251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Naturvårdsverket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24021-2025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45796</v>
      </c>
      <c r="E750" s="1" t="n">
        <v>46251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Naturvårdsverket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10206-2022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44622</v>
      </c>
      <c r="E751" s="1" t="n">
        <v>46251</v>
      </c>
      <c r="F751" t="inlineStr">
        <is>
          <t>ÖSTERGÖTLANDS LÄN</t>
        </is>
      </c>
      <c r="G751" t="inlineStr">
        <is>
          <t>FINSPÅNG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31301-2026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46218</v>
      </c>
      <c r="E752" s="1" t="n">
        <v>46251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44564</v>
      </c>
      <c r="E753" s="1" t="n">
        <v>46251</v>
      </c>
      <c r="F753" t="inlineStr">
        <is>
          <t>ÖSTERGÖTLANDS LÄN</t>
        </is>
      </c>
      <c r="G753" t="inlineStr">
        <is>
          <t>FINSPÅNG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5156-2023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44958</v>
      </c>
      <c r="E754" s="1" t="n">
        <v>46251</v>
      </c>
      <c r="F754" t="inlineStr">
        <is>
          <t>ÖSTERGÖTLANDS LÄN</t>
        </is>
      </c>
      <c r="G754" t="inlineStr">
        <is>
          <t>FINSPÅNG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27698-2023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45095</v>
      </c>
      <c r="E755" s="1" t="n">
        <v>46251</v>
      </c>
      <c r="F755" t="inlineStr">
        <is>
          <t>ÖSTERGÖTLANDS LÄN</t>
        </is>
      </c>
      <c r="G755" t="inlineStr">
        <is>
          <t>FINSPÅNG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25844-2026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46176</v>
      </c>
      <c r="E756" s="1" t="n">
        <v>46251</v>
      </c>
      <c r="F756" t="inlineStr">
        <is>
          <t>ÖSTERGÖTLANDS LÄN</t>
        </is>
      </c>
      <c r="G756" t="inlineStr">
        <is>
          <t>FINSPÅNG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46176</v>
      </c>
      <c r="E757" s="1" t="n">
        <v>46251</v>
      </c>
      <c r="F757" t="inlineStr">
        <is>
          <t>ÖSTERGÖTLANDS LÄN</t>
        </is>
      </c>
      <c r="G757" t="inlineStr">
        <is>
          <t>FINSPÅNG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65742-2021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44516</v>
      </c>
      <c r="E758" s="1" t="n">
        <v>46251</v>
      </c>
      <c r="F758" t="inlineStr">
        <is>
          <t>ÖSTERGÖTLANDS LÄN</t>
        </is>
      </c>
      <c r="G758" t="inlineStr">
        <is>
          <t>FINSPÅNG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18134-2023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45040</v>
      </c>
      <c r="E759" s="1" t="n">
        <v>46251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45316</v>
      </c>
      <c r="E760" s="1" t="n">
        <v>46251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24310-2025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45797</v>
      </c>
      <c r="E761" s="1" t="n">
        <v>46251</v>
      </c>
      <c r="F761" t="inlineStr">
        <is>
          <t>ÖSTERGÖTLANDS LÄN</t>
        </is>
      </c>
      <c r="G761" t="inlineStr">
        <is>
          <t>FINSPÅNG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24328-2025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45797</v>
      </c>
      <c r="E762" s="1" t="n">
        <v>46251</v>
      </c>
      <c r="F762" t="inlineStr">
        <is>
          <t>ÖSTERGÖTLANDS LÄN</t>
        </is>
      </c>
      <c r="G762" t="inlineStr">
        <is>
          <t>FINSPÅNG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31300-2026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46218</v>
      </c>
      <c r="E763" s="1" t="n">
        <v>46251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Sveaskog</t>
        </is>
      </c>
      <c r="I763" t="n">
        <v>9.5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24363-2025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46251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25860-2026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46176</v>
      </c>
      <c r="E765" s="1" t="n">
        <v>46251</v>
      </c>
      <c r="F765" t="inlineStr">
        <is>
          <t>ÖSTERGÖTLANDS LÄN</t>
        </is>
      </c>
      <c r="G765" t="inlineStr">
        <is>
          <t>FINSPÅNG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53670-2024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45615</v>
      </c>
      <c r="E766" s="1" t="n">
        <v>46251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7131-2025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45702</v>
      </c>
      <c r="E767" s="1" t="n">
        <v>46251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24833-2026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46174</v>
      </c>
      <c r="E768" s="1" t="n">
        <v>46251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Sveaskog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46174</v>
      </c>
      <c r="E769" s="1" t="n">
        <v>46251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Sveaskog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25306-2025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45800</v>
      </c>
      <c r="E770" s="1" t="n">
        <v>46251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Naturvårdsverket</t>
        </is>
      </c>
      <c r="I770" t="n">
        <v>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25629-2026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46251</v>
      </c>
      <c r="F771" t="inlineStr">
        <is>
          <t>ÖSTERGÖTLANDS LÄN</t>
        </is>
      </c>
      <c r="G771" t="inlineStr">
        <is>
          <t>FINSPÅNG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25272-2025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45800</v>
      </c>
      <c r="E772" s="1" t="n">
        <v>46251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Naturvårdsverket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46251</v>
      </c>
      <c r="F773" t="inlineStr">
        <is>
          <t>ÖSTERGÖTLANDS LÄN</t>
        </is>
      </c>
      <c r="G773" t="inlineStr">
        <is>
          <t>FINSPÅNG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52561-2024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45609</v>
      </c>
      <c r="E774" s="1" t="n">
        <v>46251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25342-2025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45800</v>
      </c>
      <c r="E775" s="1" t="n">
        <v>46251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Naturvårdsverket</t>
        </is>
      </c>
      <c r="I775" t="n">
        <v>8.199999999999999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25319-2025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46251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Naturvårdsverket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40065-2024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45554</v>
      </c>
      <c r="E777" s="1" t="n">
        <v>46251</v>
      </c>
      <c r="F777" t="inlineStr">
        <is>
          <t>ÖSTERGÖTLANDS LÄN</t>
        </is>
      </c>
      <c r="G777" t="inlineStr">
        <is>
          <t>FINSPÅNG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39415-2024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45551</v>
      </c>
      <c r="E778" s="1" t="n">
        <v>46251</v>
      </c>
      <c r="F778" t="inlineStr">
        <is>
          <t>ÖSTERGÖTLANDS LÄN</t>
        </is>
      </c>
      <c r="G778" t="inlineStr">
        <is>
          <t>FINSPÅNG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25943-2026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46251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25759-2026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46251</v>
      </c>
      <c r="F780" t="inlineStr">
        <is>
          <t>ÖSTERGÖTLANDS LÄN</t>
        </is>
      </c>
      <c r="G780" t="inlineStr">
        <is>
          <t>FINSPÅNG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25766-2026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46251</v>
      </c>
      <c r="F781" t="inlineStr">
        <is>
          <t>ÖSTERGÖTLANDS LÄN</t>
        </is>
      </c>
      <c r="G781" t="inlineStr">
        <is>
          <t>FINSPÅNG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46251</v>
      </c>
      <c r="F782" t="inlineStr">
        <is>
          <t>ÖSTERGÖTLANDS LÄN</t>
        </is>
      </c>
      <c r="G782" t="inlineStr">
        <is>
          <t>FINSPÅNG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46251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23724-2023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45077</v>
      </c>
      <c r="E784" s="1" t="n">
        <v>46251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27258-2025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45812</v>
      </c>
      <c r="E785" s="1" t="n">
        <v>46251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27192-2025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46251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48466-2023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45206</v>
      </c>
      <c r="E787" s="1" t="n">
        <v>46251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31669-2026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46225</v>
      </c>
      <c r="E788" s="1" t="n">
        <v>46251</v>
      </c>
      <c r="F788" t="inlineStr">
        <is>
          <t>ÖSTERGÖTLANDS LÄN</t>
        </is>
      </c>
      <c r="G788" t="inlineStr">
        <is>
          <t>FINSPÅNG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31675-2026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46226</v>
      </c>
      <c r="E789" s="1" t="n">
        <v>46251</v>
      </c>
      <c r="F789" t="inlineStr">
        <is>
          <t>ÖSTERGÖTLANDS LÄN</t>
        </is>
      </c>
      <c r="G789" t="inlineStr">
        <is>
          <t>FINSPÅNG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31682-2026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46226</v>
      </c>
      <c r="E790" s="1" t="n">
        <v>46251</v>
      </c>
      <c r="F790" t="inlineStr">
        <is>
          <t>ÖSTERGÖTLANDS LÄN</t>
        </is>
      </c>
      <c r="G790" t="inlineStr">
        <is>
          <t>FINSPÅNG</t>
        </is>
      </c>
      <c r="I790" t="n">
        <v>6.1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27208-2025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46251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24806-2023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45084</v>
      </c>
      <c r="E792" s="1" t="n">
        <v>46251</v>
      </c>
      <c r="F792" t="inlineStr">
        <is>
          <t>ÖSTERGÖTLANDS LÄN</t>
        </is>
      </c>
      <c r="G792" t="inlineStr">
        <is>
          <t>FINSPÅNG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24012-2024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45456</v>
      </c>
      <c r="E793" s="1" t="n">
        <v>46251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41328-2023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45174</v>
      </c>
      <c r="E794" s="1" t="n">
        <v>46251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Kyrkan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59701-2024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45639</v>
      </c>
      <c r="E795" s="1" t="n">
        <v>46251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61114-2024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45645</v>
      </c>
      <c r="E796" s="1" t="n">
        <v>46251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27890-2025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45817</v>
      </c>
      <c r="E797" s="1" t="n">
        <v>46251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46225</v>
      </c>
      <c r="E798" s="1" t="n">
        <v>46251</v>
      </c>
      <c r="F798" t="inlineStr">
        <is>
          <t>ÖSTERGÖTLANDS LÄN</t>
        </is>
      </c>
      <c r="G798" t="inlineStr">
        <is>
          <t>FINSPÅNG</t>
        </is>
      </c>
      <c r="I798" t="n">
        <v>10.5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34758-2022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44795</v>
      </c>
      <c r="E799" s="1" t="n">
        <v>46251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Övriga Aktiebolag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27879-2025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45817</v>
      </c>
      <c r="E800" s="1" t="n">
        <v>46251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27018-2026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46251</v>
      </c>
      <c r="F801" t="inlineStr">
        <is>
          <t>ÖSTERGÖTLANDS LÄN</t>
        </is>
      </c>
      <c r="G801" t="inlineStr">
        <is>
          <t>FINSPÅNG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28508-2025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46251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46251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28491-2025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46251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26905-2026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46185</v>
      </c>
      <c r="E805" s="1" t="n">
        <v>46251</v>
      </c>
      <c r="F805" t="inlineStr">
        <is>
          <t>ÖSTERGÖTLANDS LÄN</t>
        </is>
      </c>
      <c r="G805" t="inlineStr">
        <is>
          <t>FINSPÅNG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28792-2025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45820</v>
      </c>
      <c r="E806" s="1" t="n">
        <v>46251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9635-2025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45715</v>
      </c>
      <c r="E807" s="1" t="n">
        <v>46251</v>
      </c>
      <c r="F807" t="inlineStr">
        <is>
          <t>ÖSTERGÖTLANDS LÄN</t>
        </is>
      </c>
      <c r="G807" t="inlineStr">
        <is>
          <t>FINSPÅNG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11730-2022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44634</v>
      </c>
      <c r="E808" s="1" t="n">
        <v>46251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29419-2025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45824</v>
      </c>
      <c r="E809" s="1" t="n">
        <v>46251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29454-2025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46251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46251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29441-2025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45824</v>
      </c>
      <c r="E812" s="1" t="n">
        <v>46251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18349-2025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45762</v>
      </c>
      <c r="E813" s="1" t="n">
        <v>46251</v>
      </c>
      <c r="F813" t="inlineStr">
        <is>
          <t>ÖSTERGÖTLANDS LÄN</t>
        </is>
      </c>
      <c r="G813" t="inlineStr">
        <is>
          <t>FINSPÅNG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27369-2026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46188</v>
      </c>
      <c r="E814" s="1" t="n">
        <v>46251</v>
      </c>
      <c r="F814" t="inlineStr">
        <is>
          <t>ÖSTERGÖTLANDS LÄN</t>
        </is>
      </c>
      <c r="G814" t="inlineStr">
        <is>
          <t>FINSPÅNG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32000-2026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46232</v>
      </c>
      <c r="E815" s="1" t="n">
        <v>46251</v>
      </c>
      <c r="F815" t="inlineStr">
        <is>
          <t>ÖSTERGÖTLANDS LÄN</t>
        </is>
      </c>
      <c r="G815" t="inlineStr">
        <is>
          <t>FINSPÅNG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35570-2023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45147</v>
      </c>
      <c r="E816" s="1" t="n">
        <v>46251</v>
      </c>
      <c r="F816" t="inlineStr">
        <is>
          <t>ÖSTERGÖTLANDS LÄN</t>
        </is>
      </c>
      <c r="G816" t="inlineStr">
        <is>
          <t>FINSPÅNG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32246-2025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45835</v>
      </c>
      <c r="E817" s="1" t="n">
        <v>46251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46233</v>
      </c>
      <c r="E818" s="1" t="n">
        <v>46251</v>
      </c>
      <c r="F818" t="inlineStr">
        <is>
          <t>ÖSTERGÖTLANDS LÄN</t>
        </is>
      </c>
      <c r="G818" t="inlineStr">
        <is>
          <t>FINSPÅNG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33159-2025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46251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48790-2023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45209</v>
      </c>
      <c r="E820" s="1" t="n">
        <v>46251</v>
      </c>
      <c r="F820" t="inlineStr">
        <is>
          <t>ÖSTERGÖTLANDS LÄN</t>
        </is>
      </c>
      <c r="G820" t="inlineStr">
        <is>
          <t>FINSPÅNG</t>
        </is>
      </c>
      <c r="I820" t="n">
        <v>14.6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48793-2023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45209</v>
      </c>
      <c r="E821" s="1" t="n">
        <v>46251</v>
      </c>
      <c r="F821" t="inlineStr">
        <is>
          <t>ÖSTERGÖTLANDS LÄN</t>
        </is>
      </c>
      <c r="G821" t="inlineStr">
        <is>
          <t>FINSPÅNG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56420-2023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45243</v>
      </c>
      <c r="E822" s="1" t="n">
        <v>46251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45660</v>
      </c>
      <c r="E823" s="1" t="n">
        <v>46251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Övriga Aktiebolag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28722-2023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45103</v>
      </c>
      <c r="E824" s="1" t="n">
        <v>46251</v>
      </c>
      <c r="F824" t="inlineStr">
        <is>
          <t>ÖSTERGÖTLANDS LÄN</t>
        </is>
      </c>
      <c r="G824" t="inlineStr">
        <is>
          <t>FINSPÅNG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59287-2023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45253</v>
      </c>
      <c r="E825" s="1" t="n">
        <v>46251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34172-2025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45845</v>
      </c>
      <c r="E826" s="1" t="n">
        <v>46251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20831-2025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45776</v>
      </c>
      <c r="E827" s="1" t="n">
        <v>46251</v>
      </c>
      <c r="F827" t="inlineStr">
        <is>
          <t>ÖSTERGÖTLANDS LÄN</t>
        </is>
      </c>
      <c r="G827" t="inlineStr">
        <is>
          <t>FINSPÅNG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35279-2025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45853</v>
      </c>
      <c r="E828" s="1" t="n">
        <v>46251</v>
      </c>
      <c r="F828" t="inlineStr">
        <is>
          <t>ÖSTERGÖTLANDS LÄN</t>
        </is>
      </c>
      <c r="G828" t="inlineStr">
        <is>
          <t>FINSPÅNG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35375-2025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45854</v>
      </c>
      <c r="E829" s="1" t="n">
        <v>46251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35492-2025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45855</v>
      </c>
      <c r="E830" s="1" t="n">
        <v>46251</v>
      </c>
      <c r="F830" t="inlineStr">
        <is>
          <t>ÖSTERGÖTLANDS LÄN</t>
        </is>
      </c>
      <c r="G830" t="inlineStr">
        <is>
          <t>FINSPÅNG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35374-2025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45854</v>
      </c>
      <c r="E831" s="1" t="n">
        <v>46251</v>
      </c>
      <c r="F831" t="inlineStr">
        <is>
          <t>ÖSTERGÖTLANDS LÄN</t>
        </is>
      </c>
      <c r="G831" t="inlineStr">
        <is>
          <t>FINSPÅNG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33997-2024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45523</v>
      </c>
      <c r="E832" s="1" t="n">
        <v>46251</v>
      </c>
      <c r="F832" t="inlineStr">
        <is>
          <t>ÖSTERGÖTLANDS LÄN</t>
        </is>
      </c>
      <c r="G832" t="inlineStr">
        <is>
          <t>FINSPÅNG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46251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Kommuner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31043-2025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45831</v>
      </c>
      <c r="E834" s="1" t="n">
        <v>46251</v>
      </c>
      <c r="F834" t="inlineStr">
        <is>
          <t>ÖSTERGÖTLANDS LÄN</t>
        </is>
      </c>
      <c r="G834" t="inlineStr">
        <is>
          <t>FINSPÅNG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35970-2025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45863</v>
      </c>
      <c r="E835" s="1" t="n">
        <v>46251</v>
      </c>
      <c r="F835" t="inlineStr">
        <is>
          <t>ÖSTERGÖTLANDS LÄN</t>
        </is>
      </c>
      <c r="G835" t="inlineStr">
        <is>
          <t>FINSPÅNG</t>
        </is>
      </c>
      <c r="I835" t="n">
        <v>22.6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34309-2025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45846</v>
      </c>
      <c r="E836" s="1" t="n">
        <v>46251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36593-2025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45870</v>
      </c>
      <c r="E837" s="1" t="n">
        <v>46251</v>
      </c>
      <c r="F837" t="inlineStr">
        <is>
          <t>ÖSTERGÖTLANDS LÄN</t>
        </is>
      </c>
      <c r="G837" t="inlineStr">
        <is>
          <t>FINSPÅNG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28880-2025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45820</v>
      </c>
      <c r="E838" s="1" t="n">
        <v>46251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45870</v>
      </c>
      <c r="E839" s="1" t="n">
        <v>46251</v>
      </c>
      <c r="F839" t="inlineStr">
        <is>
          <t>ÖSTERGÖTLANDS LÄN</t>
        </is>
      </c>
      <c r="G839" t="inlineStr">
        <is>
          <t>FINSPÅNG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29018-2026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46199</v>
      </c>
      <c r="E840" s="1" t="n">
        <v>46251</v>
      </c>
      <c r="F840" t="inlineStr">
        <is>
          <t>ÖSTERGÖTLANDS LÄN</t>
        </is>
      </c>
      <c r="G840" t="inlineStr">
        <is>
          <t>FINSPÅNG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45709</v>
      </c>
      <c r="E841" s="1" t="n">
        <v>46251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29482-2026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46203</v>
      </c>
      <c r="E842" s="1" t="n">
        <v>46251</v>
      </c>
      <c r="F842" t="inlineStr">
        <is>
          <t>ÖSTERGÖTLANDS LÄN</t>
        </is>
      </c>
      <c r="G842" t="inlineStr">
        <is>
          <t>FINSPÅNG</t>
        </is>
      </c>
      <c r="I842" t="n">
        <v>13.3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29731-2026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46251</v>
      </c>
      <c r="F843" t="inlineStr">
        <is>
          <t>ÖSTERGÖTLANDS LÄN</t>
        </is>
      </c>
      <c r="G843" t="inlineStr">
        <is>
          <t>FINSPÅNG</t>
        </is>
      </c>
      <c r="I843" t="n">
        <v>18.6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5129-2024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45644</v>
      </c>
      <c r="E844" s="1" t="n">
        <v>46251</v>
      </c>
      <c r="F844" t="inlineStr">
        <is>
          <t>ÖSTERGÖTLANDS LÄN</t>
        </is>
      </c>
      <c r="G844" t="inlineStr">
        <is>
          <t>FINSPÅNG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1605-2024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45428</v>
      </c>
      <c r="E845" s="1" t="n">
        <v>46251</v>
      </c>
      <c r="F845" t="inlineStr">
        <is>
          <t>ÖSTERGÖTLANDS LÄN</t>
        </is>
      </c>
      <c r="G845" t="inlineStr">
        <is>
          <t>FINSPÅNG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1637-2024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45429</v>
      </c>
      <c r="E846" s="1" t="n">
        <v>46251</v>
      </c>
      <c r="F846" t="inlineStr">
        <is>
          <t>ÖSTERGÖTLANDS LÄN</t>
        </is>
      </c>
      <c r="G846" t="inlineStr">
        <is>
          <t>FINSPÅNG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4163-2023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45250</v>
      </c>
      <c r="E847" s="1" t="n">
        <v>46251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Sveaskog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>
      <c r="A848" t="inlineStr">
        <is>
          <t>S 1759-2026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46188</v>
      </c>
      <c r="E848" s="1" t="n">
        <v>46251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Övriga Aktiebolag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2026-08-17T01:47:03Z</dcterms:created>
  <dcterms:modified xmlns:dcterms="http://purl.org/dc/terms/" xmlns:xsi="http://www.w3.org/2001/XMLSchema-instance" xsi:type="dcterms:W3CDTF">2026-08-17T01:47:04Z</dcterms:modified>
</cp:coreProperties>
</file>