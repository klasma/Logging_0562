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46232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46232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46232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46232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46232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46232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46232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46232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Tallticka
Björksplintborre
Flagellkvastmossa
Kornknutmossa
Mindre märgborre
Stor revmossa
Tjäder</t>
        </is>
      </c>
      <c r="W13">
        <f>HYPERLINK("https://klasma.github.io/Logging_0562/artfynd/A 18262-2024 artfynd.xlsx", "A 18262-2024")</f>
        <v/>
      </c>
      <c r="X13">
        <f>HYPERLINK("https://klasma.github.io/Logging_0562/kartor/A 18262-2024 karta.png", "A 18262-2024")</f>
        <v/>
      </c>
      <c r="Y13">
        <f>HYPERLINK("https://klasma.github.io/Logging_0562/kartor_geotiff/A 18262-2024 georefererad karta.tif", "A 18262-2024")</f>
        <v/>
      </c>
      <c r="AA13">
        <f>HYPERLINK("https://klasma.github.io/Logging_0562/klagomål/A 18262-2024 FSC-klagomål.docx", "A 18262-2024")</f>
        <v/>
      </c>
      <c r="AB13">
        <f>HYPERLINK("https://klasma.github.io/Logging_0562/klagomålsmail/A 18262-2024 FSC-klagomål mail.docx", "A 18262-2024")</f>
        <v/>
      </c>
      <c r="AC13">
        <f>HYPERLINK("https://klasma.github.io/Logging_0562/tillsyn/A 18262-2024 tillsynsbegäran.docx", "A 18262-2024")</f>
        <v/>
      </c>
      <c r="AD13">
        <f>HYPERLINK("https://klasma.github.io/Logging_0562/tillsynsmail/A 18262-2024 tillsynsbegäran mail.docx", "A 18262-2024")</f>
        <v/>
      </c>
      <c r="AE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46232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46232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46232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46232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46232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46232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46232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46232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46232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46232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46232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46232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25284-2025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46232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Naturvårdsverket</t>
        </is>
      </c>
      <c r="I32" t="n">
        <v>5.9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Fjällig taggsvamp s.str.
Revlummer</t>
        </is>
      </c>
      <c r="W32">
        <f>HYPERLINK("https://klasma.github.io/Logging_0562/artfynd/A 25284-2025 artfynd.xlsx", "A 25284-2025")</f>
        <v/>
      </c>
      <c r="X32">
        <f>HYPERLINK("https://klasma.github.io/Logging_0562/kartor/A 25284-2025 karta.png", "A 25284-2025")</f>
        <v/>
      </c>
      <c r="Y32">
        <f>HYPERLINK("https://klasma.github.io/Logging_0562/kartor_geotiff/A 25284-2025 georefererad karta.tif", "A 25284-2025")</f>
        <v/>
      </c>
      <c r="AA32">
        <f>HYPERLINK("https://klasma.github.io/Logging_0562/klagomål/A 25284-2025 FSC-klagomål.docx", "A 25284-2025")</f>
        <v/>
      </c>
      <c r="AB32">
        <f>HYPERLINK("https://klasma.github.io/Logging_0562/klagomålsmail/A 25284-2025 FSC-klagomål mail.docx", "A 25284-2025")</f>
        <v/>
      </c>
      <c r="AC32">
        <f>HYPERLINK("https://klasma.github.io/Logging_0562/tillsyn/A 25284-2025 tillsynsbegäran.docx", "A 25284-2025")</f>
        <v/>
      </c>
      <c r="AD32">
        <f>HYPERLINK("https://klasma.github.io/Logging_0562/tillsynsmail/A 25284-2025 tillsynsbegäran mail.docx", "A 25284-2025")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46232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46232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46232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46232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46232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46232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46232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46232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46232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32570-2023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45121</v>
      </c>
      <c r="E42" s="1" t="n">
        <v>46232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Övriga Aktiebolag</t>
        </is>
      </c>
      <c r="I42" t="n">
        <v>7.7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Havsörn</t>
        </is>
      </c>
      <c r="W42">
        <f>HYPERLINK("https://klasma.github.io/Logging_0562/artfynd/A 32570-2023 artfynd.xlsx", "A 32570-2023")</f>
        <v/>
      </c>
      <c r="X42">
        <f>HYPERLINK("https://klasma.github.io/Logging_0562/kartor/A 32570-2023 karta.png", "A 32570-2023")</f>
        <v/>
      </c>
      <c r="Y42">
        <f>HYPERLINK("https://klasma.github.io/Logging_0562/kartor_geotiff/A 32570-2023 georefererad karta.tif", "A 32570-2023")</f>
        <v/>
      </c>
      <c r="AA42">
        <f>HYPERLINK("https://klasma.github.io/Logging_0562/klagomål/A 32570-2023 FSC-klagomål.docx", "A 32570-2023")</f>
        <v/>
      </c>
      <c r="AB42">
        <f>HYPERLINK("https://klasma.github.io/Logging_0562/klagomålsmail/A 32570-2023 FSC-klagomål mail.docx", "A 32570-2023")</f>
        <v/>
      </c>
      <c r="AC42">
        <f>HYPERLINK("https://klasma.github.io/Logging_0562/tillsyn/A 32570-2023 tillsynsbegäran.docx", "A 32570-2023")</f>
        <v/>
      </c>
      <c r="AD42">
        <f>HYPERLINK("https://klasma.github.io/Logging_0562/tillsynsmail/A 32570-2023 tillsynsbegäran mail.docx", "A 32570-2023")</f>
        <v/>
      </c>
      <c r="AE42">
        <f>HYPERLINK("https://klasma.github.io/Logging_0562/fåglar/A 32570-2023 prioriterade fågelarter.docx", "A 32570-2023")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46232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46232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46232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46232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46232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46232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46232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46232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46232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46232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HYPERLINK("https://klasma.github.io/Logging_0562/artfynd/A 61695-2021 artfynd.xlsx", "A 61695-2021")</f>
        <v/>
      </c>
      <c r="X58">
        <f>HYPERLINK("https://klasma.github.io/Logging_0562/kartor/A 61695-2021 karta.png", "A 61695-2021")</f>
        <v/>
      </c>
      <c r="Y58">
        <f>HYPERLINK("https://klasma.github.io/Logging_0562/kartor_geotiff/A 61695-2021 georefererad karta.tif", "A 61695-2021")</f>
        <v/>
      </c>
      <c r="AA58">
        <f>HYPERLINK("https://klasma.github.io/Logging_0562/klagomål/A 61695-2021 FSC-klagomål.docx", "A 61695-2021")</f>
        <v/>
      </c>
      <c r="AB58">
        <f>HYPERLINK("https://klasma.github.io/Logging_0562/klagomålsmail/A 61695-2021 FSC-klagomål mail.docx", "A 61695-2021")</f>
        <v/>
      </c>
      <c r="AC58">
        <f>HYPERLINK("https://klasma.github.io/Logging_0562/tillsyn/A 61695-2021 tillsynsbegäran.docx", "A 61695-2021")</f>
        <v/>
      </c>
      <c r="AD58">
        <f>HYPERLINK("https://klasma.github.io/Logging_0562/tillsynsmail/A 61695-2021 tillsynsbegäran mail.docx", "A 61695-2021")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46232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46232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46232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46232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46232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HYPERLINK("https://klasma.github.io/Logging_0562/artfynd/A 34310-2025 artfynd.xlsx", "A 34310-2025")</f>
        <v/>
      </c>
      <c r="X63">
        <f>HYPERLINK("https://klasma.github.io/Logging_0562/kartor/A 34310-2025 karta.png", "A 34310-2025")</f>
        <v/>
      </c>
      <c r="Y63">
        <f>HYPERLINK("https://klasma.github.io/Logging_0562/kartor_geotiff/A 34310-2025 georefererad karta.tif", "A 34310-2025")</f>
        <v/>
      </c>
      <c r="AA63">
        <f>HYPERLINK("https://klasma.github.io/Logging_0562/klagomål/A 34310-2025 FSC-klagomål.docx", "A 34310-2025")</f>
        <v/>
      </c>
      <c r="AB63">
        <f>HYPERLINK("https://klasma.github.io/Logging_0562/klagomålsmail/A 34310-2025 FSC-klagomål mail.docx", "A 34310-2025")</f>
        <v/>
      </c>
      <c r="AC63">
        <f>HYPERLINK("https://klasma.github.io/Logging_0562/tillsyn/A 34310-2025 tillsynsbegäran.docx", "A 34310-2025")</f>
        <v/>
      </c>
      <c r="AD63">
        <f>HYPERLINK("https://klasma.github.io/Logging_0562/tillsynsmail/A 34310-2025 tillsynsbegäran mail.docx", "A 34310-2025")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46232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46232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5427-2026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46050</v>
      </c>
      <c r="E66" s="1" t="n">
        <v>46232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5427-2026 artfynd.xlsx", "A 5427-2026")</f>
        <v/>
      </c>
      <c r="X66">
        <f>HYPERLINK("https://klasma.github.io/Logging_0562/kartor/A 5427-2026 karta.png", "A 5427-2026")</f>
        <v/>
      </c>
      <c r="Y66">
        <f>HYPERLINK("https://klasma.github.io/Logging_0562/kartor_geotiff/A 5427-2026 georefererad karta.tif", "A 5427-2026")</f>
        <v/>
      </c>
      <c r="AA66">
        <f>HYPERLINK("https://klasma.github.io/Logging_0562/klagomål/A 5427-2026 FSC-klagomål.docx", "A 5427-2026")</f>
        <v/>
      </c>
      <c r="AB66">
        <f>HYPERLINK("https://klasma.github.io/Logging_0562/klagomålsmail/A 5427-2026 FSC-klagomål mail.docx", "A 5427-2026")</f>
        <v/>
      </c>
      <c r="AC66">
        <f>HYPERLINK("https://klasma.github.io/Logging_0562/tillsyn/A 5427-2026 tillsynsbegäran.docx", "A 5427-2026")</f>
        <v/>
      </c>
      <c r="AD66">
        <f>HYPERLINK("https://klasma.github.io/Logging_0562/tillsynsmail/A 5427-2026 tillsynsbegäran mail.docx", "A 5427-2026")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46232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HYPERLINK("https://klasma.github.io/Logging_0562/artfynd/A 37748-2025 artfynd.xlsx", "A 37748-2025")</f>
        <v/>
      </c>
      <c r="X67">
        <f>HYPERLINK("https://klasma.github.io/Logging_0562/kartor/A 37748-2025 karta.png", "A 37748-2025")</f>
        <v/>
      </c>
      <c r="Y67">
        <f>HYPERLINK("https://klasma.github.io/Logging_0562/kartor_geotiff/A 37748-2025 georefererad karta.tif", "A 37748-2025")</f>
        <v/>
      </c>
      <c r="AA67">
        <f>HYPERLINK("https://klasma.github.io/Logging_0562/klagomål/A 37748-2025 FSC-klagomål.docx", "A 37748-2025")</f>
        <v/>
      </c>
      <c r="AB67">
        <f>HYPERLINK("https://klasma.github.io/Logging_0562/klagomålsmail/A 37748-2025 FSC-klagomål mail.docx", "A 37748-2025")</f>
        <v/>
      </c>
      <c r="AC67">
        <f>HYPERLINK("https://klasma.github.io/Logging_0562/tillsyn/A 37748-2025 tillsynsbegäran.docx", "A 37748-2025")</f>
        <v/>
      </c>
      <c r="AD67">
        <f>HYPERLINK("https://klasma.github.io/Logging_0562/tillsynsmail/A 37748-2025 tillsynsbegäran mail.docx", "A 37748-2025")</f>
        <v/>
      </c>
    </row>
    <row r="68" ht="15" customHeight="1">
      <c r="A68" t="inlineStr">
        <is>
          <t>A 6035-2022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46232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Naturvårdsverket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Bred kärrtrollslända</t>
        </is>
      </c>
      <c r="W68">
        <f>HYPERLINK("https://klasma.github.io/Logging_0562/artfynd/A 6035-2022 artfynd.xlsx", "A 6035-2022")</f>
        <v/>
      </c>
      <c r="X68">
        <f>HYPERLINK("https://klasma.github.io/Logging_0562/kartor/A 6035-2022 karta.png", "A 6035-2022")</f>
        <v/>
      </c>
      <c r="Y68">
        <f>HYPERLINK("https://klasma.github.io/Logging_0562/kartor_geotiff/A 6035-2022 georefererad karta.tif", "A 6035-2022")</f>
        <v/>
      </c>
      <c r="AA68">
        <f>HYPERLINK("https://klasma.github.io/Logging_0562/klagomål/A 6035-2022 FSC-klagomål.docx", "A 6035-2022")</f>
        <v/>
      </c>
      <c r="AB68">
        <f>HYPERLINK("https://klasma.github.io/Logging_0562/klagomålsmail/A 6035-2022 FSC-klagomål mail.docx", "A 6035-2022")</f>
        <v/>
      </c>
      <c r="AC68">
        <f>HYPERLINK("https://klasma.github.io/Logging_0562/tillsyn/A 6035-2022 tillsynsbegäran.docx", "A 6035-2022")</f>
        <v/>
      </c>
      <c r="AD68">
        <f>HYPERLINK("https://klasma.github.io/Logging_0562/tillsynsmail/A 6035-2022 tillsynsbegäran mail.docx", "A 6035-2022")</f>
        <v/>
      </c>
    </row>
    <row r="69" ht="15" customHeight="1">
      <c r="A69" t="inlineStr">
        <is>
          <t>A 7265-2026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46232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Havsörn</t>
        </is>
      </c>
      <c r="W69">
        <f>HYPERLINK("https://klasma.github.io/Logging_0562/artfynd/A 7265-2026 artfynd.xlsx", "A 7265-2026")</f>
        <v/>
      </c>
      <c r="X69">
        <f>HYPERLINK("https://klasma.github.io/Logging_0562/kartor/A 7265-2026 karta.png", "A 7265-2026")</f>
        <v/>
      </c>
      <c r="Y69">
        <f>HYPERLINK("https://klasma.github.io/Logging_0562/kartor_geotiff/A 7265-2026 georefererad karta.tif", "A 7265-2026")</f>
        <v/>
      </c>
      <c r="AA69">
        <f>HYPERLINK("https://klasma.github.io/Logging_0562/klagomål/A 7265-2026 FSC-klagomål.docx", "A 7265-2026")</f>
        <v/>
      </c>
      <c r="AB69">
        <f>HYPERLINK("https://klasma.github.io/Logging_0562/klagomålsmail/A 7265-2026 FSC-klagomål mail.docx", "A 7265-2026")</f>
        <v/>
      </c>
      <c r="AC69">
        <f>HYPERLINK("https://klasma.github.io/Logging_0562/tillsyn/A 7265-2026 tillsynsbegäran.docx", "A 7265-2026")</f>
        <v/>
      </c>
      <c r="AD69">
        <f>HYPERLINK("https://klasma.github.io/Logging_0562/tillsynsmail/A 7265-2026 tillsynsbegäran mail.docx", "A 7265-2026")</f>
        <v/>
      </c>
      <c r="AE69">
        <f>HYPERLINK("https://klasma.github.io/Logging_0562/fåglar/A 7265-2026 prioriterade fågelarter.docx", "A 7265-2026")</f>
        <v/>
      </c>
    </row>
    <row r="70" ht="15" customHeight="1">
      <c r="A70" t="inlineStr">
        <is>
          <t>A 40385-2024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46232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1.7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Talltita</t>
        </is>
      </c>
      <c r="W70">
        <f>HYPERLINK("https://klasma.github.io/Logging_0562/artfynd/A 40385-2024 artfynd.xlsx", "A 40385-2024")</f>
        <v/>
      </c>
      <c r="X70">
        <f>HYPERLINK("https://klasma.github.io/Logging_0562/kartor/A 40385-2024 karta.png", "A 40385-2024")</f>
        <v/>
      </c>
      <c r="Y70">
        <f>HYPERLINK("https://klasma.github.io/Logging_0562/kartor_geotiff/A 40385-2024 georefererad karta.tif", "A 40385-2024")</f>
        <v/>
      </c>
      <c r="AA70">
        <f>HYPERLINK("https://klasma.github.io/Logging_0562/klagomål/A 40385-2024 FSC-klagomål.docx", "A 40385-2024")</f>
        <v/>
      </c>
      <c r="AB70">
        <f>HYPERLINK("https://klasma.github.io/Logging_0562/klagomålsmail/A 40385-2024 FSC-klagomål mail.docx", "A 40385-2024")</f>
        <v/>
      </c>
      <c r="AC70">
        <f>HYPERLINK("https://klasma.github.io/Logging_0562/tillsyn/A 40385-2024 tillsynsbegäran.docx", "A 40385-2024")</f>
        <v/>
      </c>
      <c r="AD70">
        <f>HYPERLINK("https://klasma.github.io/Logging_0562/tillsynsmail/A 40385-2024 tillsynsbegäran mail.docx", "A 40385-2024")</f>
        <v/>
      </c>
      <c r="AE70">
        <f>HYPERLINK("https://klasma.github.io/Logging_0562/fåglar/A 40385-2024 prioriterade fågelarter.docx", "A 40385-2024")</f>
        <v/>
      </c>
    </row>
    <row r="71" ht="15" customHeight="1">
      <c r="A71" t="inlineStr">
        <is>
          <t>A 22259-2024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46232</v>
      </c>
      <c r="F71" t="inlineStr">
        <is>
          <t>ÖSTERGÖTLANDS LÄN</t>
        </is>
      </c>
      <c r="G71" t="inlineStr">
        <is>
          <t>FINSPÅNG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Gullklöver</t>
        </is>
      </c>
      <c r="W71">
        <f>HYPERLINK("https://klasma.github.io/Logging_0562/artfynd/A 22259-2024 artfynd.xlsx", "A 22259-2024")</f>
        <v/>
      </c>
      <c r="X71">
        <f>HYPERLINK("https://klasma.github.io/Logging_0562/kartor/A 22259-2024 karta.png", "A 22259-2024")</f>
        <v/>
      </c>
      <c r="Y71">
        <f>HYPERLINK("https://klasma.github.io/Logging_0562/kartor_geotiff/A 22259-2024 georefererad karta.tif", "A 22259-2024")</f>
        <v/>
      </c>
      <c r="AA71">
        <f>HYPERLINK("https://klasma.github.io/Logging_0562/klagomål/A 22259-2024 FSC-klagomål.docx", "A 22259-2024")</f>
        <v/>
      </c>
      <c r="AB71">
        <f>HYPERLINK("https://klasma.github.io/Logging_0562/klagomålsmail/A 22259-2024 FSC-klagomål mail.docx", "A 22259-2024")</f>
        <v/>
      </c>
      <c r="AC71">
        <f>HYPERLINK("https://klasma.github.io/Logging_0562/tillsyn/A 22259-2024 tillsynsbegäran.docx", "A 22259-2024")</f>
        <v/>
      </c>
      <c r="AD71">
        <f>HYPERLINK("https://klasma.github.io/Logging_0562/tillsynsmail/A 22259-2024 tillsynsbegäran mail.docx", "A 22259-2024")</f>
        <v/>
      </c>
    </row>
    <row r="72" ht="15" customHeight="1">
      <c r="A72" t="inlineStr">
        <is>
          <t>A 43858-2021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44434</v>
      </c>
      <c r="E72" s="1" t="n">
        <v>46232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Kavelhirs</t>
        </is>
      </c>
      <c r="W72">
        <f>HYPERLINK("https://klasma.github.io/Logging_0562/artfynd/A 43858-2021 artfynd.xlsx", "A 43858-2021")</f>
        <v/>
      </c>
      <c r="X72">
        <f>HYPERLINK("https://klasma.github.io/Logging_0562/kartor/A 43858-2021 karta.png", "A 43858-2021")</f>
        <v/>
      </c>
      <c r="Y72">
        <f>HYPERLINK("https://klasma.github.io/Logging_0562/kartor_geotiff/A 43858-2021 georefererad karta.tif", "A 43858-2021")</f>
        <v/>
      </c>
      <c r="AA72">
        <f>HYPERLINK("https://klasma.github.io/Logging_0562/klagomål/A 43858-2021 FSC-klagomål.docx", "A 43858-2021")</f>
        <v/>
      </c>
      <c r="AB72">
        <f>HYPERLINK("https://klasma.github.io/Logging_0562/klagomålsmail/A 43858-2021 FSC-klagomål mail.docx", "A 43858-2021")</f>
        <v/>
      </c>
      <c r="AC72">
        <f>HYPERLINK("https://klasma.github.io/Logging_0562/tillsyn/A 43858-2021 tillsynsbegäran.docx", "A 43858-2021")</f>
        <v/>
      </c>
      <c r="AD72">
        <f>HYPERLINK("https://klasma.github.io/Logging_0562/tillsynsmail/A 43858-2021 tillsynsbegäran mail.docx", "A 43858-2021")</f>
        <v/>
      </c>
    </row>
    <row r="73" ht="15" customHeight="1">
      <c r="A73" t="inlineStr">
        <is>
          <t>A 6407-2023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44965</v>
      </c>
      <c r="E73" s="1" t="n">
        <v>46232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HYPERLINK("https://klasma.github.io/Logging_0562/artfynd/A 6407-2023 artfynd.xlsx", "A 6407-2023")</f>
        <v/>
      </c>
      <c r="X73">
        <f>HYPERLINK("https://klasma.github.io/Logging_0562/kartor/A 6407-2023 karta.png", "A 6407-2023")</f>
        <v/>
      </c>
      <c r="Y73">
        <f>HYPERLINK("https://klasma.github.io/Logging_0562/kartor_geotiff/A 6407-2023 georefererad karta.tif", "A 6407-2023")</f>
        <v/>
      </c>
      <c r="AA73">
        <f>HYPERLINK("https://klasma.github.io/Logging_0562/klagomål/A 6407-2023 FSC-klagomål.docx", "A 6407-2023")</f>
        <v/>
      </c>
      <c r="AB73">
        <f>HYPERLINK("https://klasma.github.io/Logging_0562/klagomålsmail/A 6407-2023 FSC-klagomål mail.docx", "A 6407-2023")</f>
        <v/>
      </c>
      <c r="AC73">
        <f>HYPERLINK("https://klasma.github.io/Logging_0562/tillsyn/A 6407-2023 tillsynsbegäran.docx", "A 6407-2023")</f>
        <v/>
      </c>
      <c r="AD73">
        <f>HYPERLINK("https://klasma.github.io/Logging_0562/tillsynsmail/A 6407-2023 tillsynsbegäran mail.docx", "A 6407-2023")</f>
        <v/>
      </c>
      <c r="AE73">
        <f>HYPERLINK("https://klasma.github.io/Logging_0562/fåglar/A 6407-2023 prioriterade fågelarter.docx", "A 6407-2023")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46232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46232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18915-2026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46129</v>
      </c>
      <c r="E76" s="1" t="n">
        <v>46232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6.1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HYPERLINK("https://klasma.github.io/Logging_0562/artfynd/A 18915-2026 artfynd.xlsx", "A 18915-2026")</f>
        <v/>
      </c>
      <c r="X76">
        <f>HYPERLINK("https://klasma.github.io/Logging_0562/kartor/A 18915-2026 karta.png", "A 18915-2026")</f>
        <v/>
      </c>
      <c r="Y76">
        <f>HYPERLINK("https://klasma.github.io/Logging_0562/kartor_geotiff/A 18915-2026 georefererad karta.tif", "A 18915-2026")</f>
        <v/>
      </c>
      <c r="AA76">
        <f>HYPERLINK("https://klasma.github.io/Logging_0562/klagomål/A 18915-2026 FSC-klagomål.docx", "A 18915-2026")</f>
        <v/>
      </c>
      <c r="AB76">
        <f>HYPERLINK("https://klasma.github.io/Logging_0562/klagomålsmail/A 18915-2026 FSC-klagomål mail.docx", "A 18915-2026")</f>
        <v/>
      </c>
      <c r="AC76">
        <f>HYPERLINK("https://klasma.github.io/Logging_0562/tillsyn/A 18915-2026 tillsynsbegäran.docx", "A 18915-2026")</f>
        <v/>
      </c>
      <c r="AD76">
        <f>HYPERLINK("https://klasma.github.io/Logging_0562/tillsynsmail/A 18915-2026 tillsynsbegäran mail.docx", "A 18915-2026")</f>
        <v/>
      </c>
      <c r="AE76">
        <f>HYPERLINK("https://klasma.github.io/Logging_0562/fåglar/A 18915-2026 prioriterade fågelarter.docx", "A 18915-2026")</f>
        <v/>
      </c>
    </row>
    <row r="77" ht="15" customHeight="1">
      <c r="A77" t="inlineStr">
        <is>
          <t>A 61254-2022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46232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HYPERLINK("https://klasma.github.io/Logging_0562/artfynd/A 61254-2022 artfynd.xlsx", "A 61254-2022")</f>
        <v/>
      </c>
      <c r="X77">
        <f>HYPERLINK("https://klasma.github.io/Logging_0562/kartor/A 61254-2022 karta.png", "A 61254-2022")</f>
        <v/>
      </c>
      <c r="Y77">
        <f>HYPERLINK("https://klasma.github.io/Logging_0562/kartor_geotiff/A 61254-2022 georefererad karta.tif", "A 61254-2022")</f>
        <v/>
      </c>
      <c r="AA77">
        <f>HYPERLINK("https://klasma.github.io/Logging_0562/klagomål/A 61254-2022 FSC-klagomål.docx", "A 61254-2022")</f>
        <v/>
      </c>
      <c r="AB77">
        <f>HYPERLINK("https://klasma.github.io/Logging_0562/klagomålsmail/A 61254-2022 FSC-klagomål mail.docx", "A 61254-2022")</f>
        <v/>
      </c>
      <c r="AC77">
        <f>HYPERLINK("https://klasma.github.io/Logging_0562/tillsyn/A 61254-2022 tillsynsbegäran.docx", "A 61254-2022")</f>
        <v/>
      </c>
      <c r="AD77">
        <f>HYPERLINK("https://klasma.github.io/Logging_0562/tillsynsmail/A 61254-2022 tillsynsbegäran mail.docx", "A 61254-2022")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46232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46232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Lopplummer (aggregat)</t>
        </is>
      </c>
      <c r="W79">
        <f>HYPERLINK("https://klasma.github.io/Logging_0562/artfynd/A 54302-2023 artfynd.xlsx", "A 54302-2023")</f>
        <v/>
      </c>
      <c r="X79">
        <f>HYPERLINK("https://klasma.github.io/Logging_0562/kartor/A 54302-2023 karta.png", "A 54302-2023")</f>
        <v/>
      </c>
      <c r="Y79">
        <f>HYPERLINK("https://klasma.github.io/Logging_0562/kartor_geotiff/A 54302-2023 georefererad karta.tif", "A 54302-2023")</f>
        <v/>
      </c>
      <c r="AA79">
        <f>HYPERLINK("https://klasma.github.io/Logging_0562/klagomål/A 54302-2023 FSC-klagomål.docx", "A 54302-2023")</f>
        <v/>
      </c>
      <c r="AB79">
        <f>HYPERLINK("https://klasma.github.io/Logging_0562/klagomålsmail/A 54302-2023 FSC-klagomål mail.docx", "A 54302-2023")</f>
        <v/>
      </c>
      <c r="AC79">
        <f>HYPERLINK("https://klasma.github.io/Logging_0562/tillsyn/A 54302-2023 tillsynsbegäran.docx", "A 54302-2023")</f>
        <v/>
      </c>
      <c r="AD79">
        <f>HYPERLINK("https://klasma.github.io/Logging_0562/tillsynsmail/A 54302-2023 tillsynsbegäran mail.docx", "A 54302-2023")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46232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Hasselsnok</t>
        </is>
      </c>
      <c r="W80">
        <f>HYPERLINK("https://klasma.github.io/Logging_0562/artfynd/A 22555-2024 artfynd.xlsx", "A 22555-2024")</f>
        <v/>
      </c>
      <c r="X80">
        <f>HYPERLINK("https://klasma.github.io/Logging_0562/kartor/A 22555-2024 karta.png", "A 22555-2024")</f>
        <v/>
      </c>
      <c r="Y80">
        <f>HYPERLINK("https://klasma.github.io/Logging_0562/kartor_geotiff/A 22555-2024 georefererad karta.tif", "A 22555-2024")</f>
        <v/>
      </c>
      <c r="AA80">
        <f>HYPERLINK("https://klasma.github.io/Logging_0562/klagomål/A 22555-2024 FSC-klagomål.docx", "A 22555-2024")</f>
        <v/>
      </c>
      <c r="AB80">
        <f>HYPERLINK("https://klasma.github.io/Logging_0562/klagomålsmail/A 22555-2024 FSC-klagomål mail.docx", "A 22555-2024")</f>
        <v/>
      </c>
      <c r="AC80">
        <f>HYPERLINK("https://klasma.github.io/Logging_0562/tillsyn/A 22555-2024 tillsynsbegäran.docx", "A 22555-2024")</f>
        <v/>
      </c>
      <c r="AD80">
        <f>HYPERLINK("https://klasma.github.io/Logging_0562/tillsynsmail/A 22555-2024 tillsynsbegäran mail.docx", "A 22555-2024")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46232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3941-2026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46232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Trana</t>
        </is>
      </c>
      <c r="W82">
        <f>HYPERLINK("https://klasma.github.io/Logging_0562/artfynd/A 3941-2026 artfynd.xlsx", "A 3941-2026")</f>
        <v/>
      </c>
      <c r="X82">
        <f>HYPERLINK("https://klasma.github.io/Logging_0562/kartor/A 3941-2026 karta.png", "A 3941-2026")</f>
        <v/>
      </c>
      <c r="Y82">
        <f>HYPERLINK("https://klasma.github.io/Logging_0562/kartor_geotiff/A 3941-2026 georefererad karta.tif", "A 3941-2026")</f>
        <v/>
      </c>
      <c r="AA82">
        <f>HYPERLINK("https://klasma.github.io/Logging_0562/klagomål/A 3941-2026 FSC-klagomål.docx", "A 3941-2026")</f>
        <v/>
      </c>
      <c r="AB82">
        <f>HYPERLINK("https://klasma.github.io/Logging_0562/klagomålsmail/A 3941-2026 FSC-klagomål mail.docx", "A 3941-2026")</f>
        <v/>
      </c>
      <c r="AC82">
        <f>HYPERLINK("https://klasma.github.io/Logging_0562/tillsyn/A 3941-2026 tillsynsbegäran.docx", "A 3941-2026")</f>
        <v/>
      </c>
      <c r="AD82">
        <f>HYPERLINK("https://klasma.github.io/Logging_0562/tillsynsmail/A 3941-2026 tillsynsbegäran mail.docx", "A 3941-2026")</f>
        <v/>
      </c>
      <c r="AE82">
        <f>HYPERLINK("https://klasma.github.io/Logging_0562/fåglar/A 3941-2026 prioriterade fågelarter.docx", "A 3941-2026")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46232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46232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HYPERLINK("https://klasma.github.io/Logging_0562/artfynd/A 22587-2026 artfynd.xlsx", "A 22587-2026")</f>
        <v/>
      </c>
      <c r="X84">
        <f>HYPERLINK("https://klasma.github.io/Logging_0562/kartor/A 22587-2026 karta.png", "A 22587-2026")</f>
        <v/>
      </c>
      <c r="Y84">
        <f>HYPERLINK("https://klasma.github.io/Logging_0562/kartor_geotiff/A 22587-2026 georefererad karta.tif", "A 22587-2026")</f>
        <v/>
      </c>
      <c r="AA84">
        <f>HYPERLINK("https://klasma.github.io/Logging_0562/klagomål/A 22587-2026 FSC-klagomål.docx", "A 22587-2026")</f>
        <v/>
      </c>
      <c r="AB84">
        <f>HYPERLINK("https://klasma.github.io/Logging_0562/klagomålsmail/A 22587-2026 FSC-klagomål mail.docx", "A 22587-2026")</f>
        <v/>
      </c>
      <c r="AC84">
        <f>HYPERLINK("https://klasma.github.io/Logging_0562/tillsyn/A 22587-2026 tillsynsbegäran.docx", "A 22587-2026")</f>
        <v/>
      </c>
      <c r="AD84">
        <f>HYPERLINK("https://klasma.github.io/Logging_0562/tillsynsmail/A 22587-2026 tillsynsbegäran mail.docx", "A 22587-2026")</f>
        <v/>
      </c>
      <c r="AE84">
        <f>HYPERLINK("https://klasma.github.io/Logging_0562/fåglar/A 22587-2026 prioriterade fågelarter.docx", "A 22587-2026")</f>
        <v/>
      </c>
    </row>
    <row r="85" ht="15" customHeight="1">
      <c r="A85" t="inlineStr">
        <is>
          <t>A 61104-2022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44915</v>
      </c>
      <c r="E85" s="1" t="n">
        <v>46232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3.4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Tallticka</t>
        </is>
      </c>
      <c r="W85">
        <f>HYPERLINK("https://klasma.github.io/Logging_0562/artfynd/A 61104-2022 artfynd.xlsx", "A 61104-2022")</f>
        <v/>
      </c>
      <c r="X85">
        <f>HYPERLINK("https://klasma.github.io/Logging_0562/kartor/A 61104-2022 karta.png", "A 61104-2022")</f>
        <v/>
      </c>
      <c r="Y85">
        <f>HYPERLINK("https://klasma.github.io/Logging_0562/kartor_geotiff/A 61104-2022 georefererad karta.tif", "A 61104-2022")</f>
        <v/>
      </c>
      <c r="AA85">
        <f>HYPERLINK("https://klasma.github.io/Logging_0562/klagomål/A 61104-2022 FSC-klagomål.docx", "A 61104-2022")</f>
        <v/>
      </c>
      <c r="AB85">
        <f>HYPERLINK("https://klasma.github.io/Logging_0562/klagomålsmail/A 61104-2022 FSC-klagomål mail.docx", "A 61104-2022")</f>
        <v/>
      </c>
      <c r="AC85">
        <f>HYPERLINK("https://klasma.github.io/Logging_0562/tillsyn/A 61104-2022 tillsynsbegäran.docx", "A 61104-2022")</f>
        <v/>
      </c>
      <c r="AD85">
        <f>HYPERLINK("https://klasma.github.io/Logging_0562/tillsynsmail/A 61104-2022 tillsynsbegäran mail.docx", "A 61104-2022")</f>
        <v/>
      </c>
    </row>
    <row r="86" ht="15" customHeight="1">
      <c r="A86" t="inlineStr">
        <is>
          <t>A 22439-2023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46232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Hasselsnok</t>
        </is>
      </c>
      <c r="W86">
        <f>HYPERLINK("https://klasma.github.io/Logging_0562/artfynd/A 22439-2023 artfynd.xlsx", "A 22439-2023")</f>
        <v/>
      </c>
      <c r="X86">
        <f>HYPERLINK("https://klasma.github.io/Logging_0562/kartor/A 22439-2023 karta.png", "A 22439-2023")</f>
        <v/>
      </c>
      <c r="Y86">
        <f>HYPERLINK("https://klasma.github.io/Logging_0562/kartor_geotiff/A 22439-2023 georefererad karta.tif", "A 22439-2023")</f>
        <v/>
      </c>
      <c r="AA86">
        <f>HYPERLINK("https://klasma.github.io/Logging_0562/klagomål/A 22439-2023 FSC-klagomål.docx", "A 22439-2023")</f>
        <v/>
      </c>
      <c r="AB86">
        <f>HYPERLINK("https://klasma.github.io/Logging_0562/klagomålsmail/A 22439-2023 FSC-klagomål mail.docx", "A 22439-2023")</f>
        <v/>
      </c>
      <c r="AC86">
        <f>HYPERLINK("https://klasma.github.io/Logging_0562/tillsyn/A 22439-2023 tillsynsbegäran.docx", "A 22439-2023")</f>
        <v/>
      </c>
      <c r="AD86">
        <f>HYPERLINK("https://klasma.github.io/Logging_0562/tillsynsmail/A 22439-2023 tillsynsbegäran mail.docx", "A 22439-2023")</f>
        <v/>
      </c>
    </row>
    <row r="87" ht="15" customHeight="1">
      <c r="A87" t="inlineStr">
        <is>
          <t>A 43166-2021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44431</v>
      </c>
      <c r="E87" s="1" t="n">
        <v>46232</v>
      </c>
      <c r="F87" t="inlineStr">
        <is>
          <t>ÖSTERGÖTLANDS LÄN</t>
        </is>
      </c>
      <c r="G87" t="inlineStr">
        <is>
          <t>FINSPÅNG</t>
        </is>
      </c>
      <c r="I87" t="n">
        <v>6.3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HYPERLINK("https://klasma.github.io/Logging_0562/artfynd/A 43166-2021 artfynd.xlsx", "A 43166-2021")</f>
        <v/>
      </c>
      <c r="X87">
        <f>HYPERLINK("https://klasma.github.io/Logging_0562/kartor/A 43166-2021 karta.png", "A 43166-2021")</f>
        <v/>
      </c>
      <c r="Y87">
        <f>HYPERLINK("https://klasma.github.io/Logging_0562/kartor_geotiff/A 43166-2021 georefererad karta.tif", "A 43166-2021")</f>
        <v/>
      </c>
      <c r="AA87">
        <f>HYPERLINK("https://klasma.github.io/Logging_0562/klagomål/A 43166-2021 FSC-klagomål.docx", "A 43166-2021")</f>
        <v/>
      </c>
      <c r="AB87">
        <f>HYPERLINK("https://klasma.github.io/Logging_0562/klagomålsmail/A 43166-2021 FSC-klagomål mail.docx", "A 43166-2021")</f>
        <v/>
      </c>
      <c r="AC87">
        <f>HYPERLINK("https://klasma.github.io/Logging_0562/tillsyn/A 43166-2021 tillsynsbegäran.docx", "A 43166-2021")</f>
        <v/>
      </c>
      <c r="AD87">
        <f>HYPERLINK("https://klasma.github.io/Logging_0562/tillsynsmail/A 43166-2021 tillsynsbegäran mail.docx", "A 43166-2021")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46232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11140-2023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46232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Grönvit nattviol</t>
        </is>
      </c>
      <c r="W89">
        <f>HYPERLINK("https://klasma.github.io/Logging_0562/artfynd/A 11140-2023 artfynd.xlsx", "A 11140-2023")</f>
        <v/>
      </c>
      <c r="X89">
        <f>HYPERLINK("https://klasma.github.io/Logging_0562/kartor/A 11140-2023 karta.png", "A 11140-2023")</f>
        <v/>
      </c>
      <c r="Y89">
        <f>HYPERLINK("https://klasma.github.io/Logging_0562/kartor_geotiff/A 11140-2023 georefererad karta.tif", "A 11140-2023")</f>
        <v/>
      </c>
      <c r="AA89">
        <f>HYPERLINK("https://klasma.github.io/Logging_0562/klagomål/A 11140-2023 FSC-klagomål.docx", "A 11140-2023")</f>
        <v/>
      </c>
      <c r="AB89">
        <f>HYPERLINK("https://klasma.github.io/Logging_0562/klagomålsmail/A 11140-2023 FSC-klagomål mail.docx", "A 11140-2023")</f>
        <v/>
      </c>
      <c r="AC89">
        <f>HYPERLINK("https://klasma.github.io/Logging_0562/tillsyn/A 11140-2023 tillsynsbegäran.docx", "A 11140-2023")</f>
        <v/>
      </c>
      <c r="AD89">
        <f>HYPERLINK("https://klasma.github.io/Logging_0562/tillsynsmail/A 11140-2023 tillsynsbegäran mail.docx", "A 11140-2023")</f>
        <v/>
      </c>
    </row>
    <row r="90" ht="15" customHeight="1">
      <c r="A90" t="inlineStr">
        <is>
          <t>A 27456-2026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46232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HYPERLINK("https://klasma.github.io/Logging_0562/artfynd/A 27456-2026 artfynd.xlsx", "A 27456-2026")</f>
        <v/>
      </c>
      <c r="X90">
        <f>HYPERLINK("https://klasma.github.io/Logging_0562/kartor/A 27456-2026 karta.png", "A 27456-2026")</f>
        <v/>
      </c>
      <c r="Y90">
        <f>HYPERLINK("https://klasma.github.io/Logging_0562/kartor_geotiff/A 27456-2026 georefererad karta.tif", "A 27456-2026")</f>
        <v/>
      </c>
      <c r="AA90">
        <f>HYPERLINK("https://klasma.github.io/Logging_0562/klagomål/A 27456-2026 FSC-klagomål.docx", "A 27456-2026")</f>
        <v/>
      </c>
      <c r="AB90">
        <f>HYPERLINK("https://klasma.github.io/Logging_0562/klagomålsmail/A 27456-2026 FSC-klagomål mail.docx", "A 27456-2026")</f>
        <v/>
      </c>
      <c r="AC90">
        <f>HYPERLINK("https://klasma.github.io/Logging_0562/tillsyn/A 27456-2026 tillsynsbegäran.docx", "A 27456-2026")</f>
        <v/>
      </c>
      <c r="AD90">
        <f>HYPERLINK("https://klasma.github.io/Logging_0562/tillsynsmail/A 27456-2026 tillsynsbegäran mail.docx", "A 27456-2026")</f>
        <v/>
      </c>
    </row>
    <row r="91" ht="15" customHeight="1">
      <c r="A91" t="inlineStr">
        <is>
          <t>A 53673-2024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46232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HYPERLINK("https://klasma.github.io/Logging_0562/artfynd/A 53673-2024 artfynd.xlsx", "A 53673-2024")</f>
        <v/>
      </c>
      <c r="X91">
        <f>HYPERLINK("https://klasma.github.io/Logging_0562/kartor/A 53673-2024 karta.png", "A 53673-2024")</f>
        <v/>
      </c>
      <c r="Y91">
        <f>HYPERLINK("https://klasma.github.io/Logging_0562/kartor_geotiff/A 53673-2024 georefererad karta.tif", "A 53673-2024")</f>
        <v/>
      </c>
      <c r="Z91">
        <f>HYPERLINK("https://klasma.github.io/Logging_0562/knärot/A 53673-2024 karta knärot.png", "A 53673-2024")</f>
        <v/>
      </c>
      <c r="AA91">
        <f>HYPERLINK("https://klasma.github.io/Logging_0562/klagomål/A 53673-2024 FSC-klagomål.docx", "A 53673-2024")</f>
        <v/>
      </c>
      <c r="AB91">
        <f>HYPERLINK("https://klasma.github.io/Logging_0562/klagomålsmail/A 53673-2024 FSC-klagomål mail.docx", "A 53673-2024")</f>
        <v/>
      </c>
      <c r="AC91">
        <f>HYPERLINK("https://klasma.github.io/Logging_0562/tillsyn/A 53673-2024 tillsynsbegäran.docx", "A 53673-2024")</f>
        <v/>
      </c>
      <c r="AD91">
        <f>HYPERLINK("https://klasma.github.io/Logging_0562/tillsynsmail/A 53673-2024 tillsynsbegäran mail.docx", "A 53673-2024")</f>
        <v/>
      </c>
    </row>
    <row r="92" ht="15" customHeight="1">
      <c r="A92" t="inlineStr">
        <is>
          <t>A 43167-2021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44431</v>
      </c>
      <c r="E92" s="1" t="n">
        <v>46232</v>
      </c>
      <c r="F92" t="inlineStr">
        <is>
          <t>ÖSTERGÖTLANDS LÄN</t>
        </is>
      </c>
      <c r="G92" t="inlineStr">
        <is>
          <t>FINSPÅNG</t>
        </is>
      </c>
      <c r="I92" t="n">
        <v>6.9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Lopplummer (aggregat)</t>
        </is>
      </c>
      <c r="W92">
        <f>HYPERLINK("https://klasma.github.io/Logging_0562/artfynd/A 43167-2021 artfynd.xlsx", "A 43167-2021")</f>
        <v/>
      </c>
      <c r="X92">
        <f>HYPERLINK("https://klasma.github.io/Logging_0562/kartor/A 43167-2021 karta.png", "A 43167-2021")</f>
        <v/>
      </c>
      <c r="Y92">
        <f>HYPERLINK("https://klasma.github.io/Logging_0562/kartor_geotiff/A 43167-2021 georefererad karta.tif", "A 43167-2021")</f>
        <v/>
      </c>
      <c r="AA92">
        <f>HYPERLINK("https://klasma.github.io/Logging_0562/klagomål/A 43167-2021 FSC-klagomål.docx", "A 43167-2021")</f>
        <v/>
      </c>
      <c r="AB92">
        <f>HYPERLINK("https://klasma.github.io/Logging_0562/klagomålsmail/A 43167-2021 FSC-klagomål mail.docx", "A 43167-2021")</f>
        <v/>
      </c>
      <c r="AC92">
        <f>HYPERLINK("https://klasma.github.io/Logging_0562/tillsyn/A 43167-2021 tillsynsbegäran.docx", "A 43167-2021")</f>
        <v/>
      </c>
      <c r="AD92">
        <f>HYPERLINK("https://klasma.github.io/Logging_0562/tillsynsmail/A 43167-2021 tillsynsbegäran mail.docx", "A 43167-2021")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46232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46232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46232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46232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46232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46232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46232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46232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46232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46232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46232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46232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46232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46232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46232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46232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46232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46232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46232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46232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46232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46232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46232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46232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46232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46232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46232</v>
      </c>
      <c r="F122" t="inlineStr">
        <is>
          <t>ÖSTERGÖTLANDS LÄN</t>
        </is>
      </c>
      <c r="G122" t="inlineStr">
        <is>
          <t>FINSPÅNG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46232</v>
      </c>
      <c r="F123" t="inlineStr">
        <is>
          <t>ÖSTERGÖTLANDS LÄN</t>
        </is>
      </c>
      <c r="G123" t="inlineStr">
        <is>
          <t>FINSPÅNG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46232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46232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46232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46232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46232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46232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46232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46232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46232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46232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46232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46232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46232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46232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46232</v>
      </c>
      <c r="F138" t="inlineStr">
        <is>
          <t>ÖSTERGÖTLANDS LÄN</t>
        </is>
      </c>
      <c r="G138" t="inlineStr">
        <is>
          <t>FINSPÅNG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46232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46232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46232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46232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46232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46232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44460</v>
      </c>
      <c r="E145" s="1" t="n">
        <v>46232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46232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46232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46232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46232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46232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46232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46232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46232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46232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46232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46232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46232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46232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46232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46232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46232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46232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46232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46232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46232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46232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63321-2021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46232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46232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46232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46232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46232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46232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46232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46232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46232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46232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46232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46232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46232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46232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46232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46232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46232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46232</v>
      </c>
      <c r="F184" t="inlineStr">
        <is>
          <t>ÖSTERGÖTLANDS LÄN</t>
        </is>
      </c>
      <c r="G184" t="inlineStr">
        <is>
          <t>FINSPÅNG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44819</v>
      </c>
      <c r="E185" s="1" t="n">
        <v>46232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46232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46232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46232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46232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46232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46232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46232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46232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46232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46232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46232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46232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46232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46232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44412</v>
      </c>
      <c r="E200" s="1" t="n">
        <v>46232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46232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46232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46232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46232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46232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46232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46232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46232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46232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46232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46232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46232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46232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44656</v>
      </c>
      <c r="E214" s="1" t="n">
        <v>46232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45447</v>
      </c>
      <c r="E215" s="1" t="n">
        <v>46232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28722-2023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45103</v>
      </c>
      <c r="E216" s="1" t="n">
        <v>46232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46232</v>
      </c>
      <c r="F217" t="inlineStr">
        <is>
          <t>ÖSTERGÖTLANDS LÄN</t>
        </is>
      </c>
      <c r="G217" t="inlineStr">
        <is>
          <t>FINSPÅNG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46232</v>
      </c>
      <c r="F218" t="inlineStr">
        <is>
          <t>ÖSTERGÖTLANDS LÄN</t>
        </is>
      </c>
      <c r="G218" t="inlineStr">
        <is>
          <t>FINSPÅNG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46232</v>
      </c>
      <c r="F219" t="inlineStr">
        <is>
          <t>ÖSTERGÖTLANDS LÄN</t>
        </is>
      </c>
      <c r="G219" t="inlineStr">
        <is>
          <t>FINSPÅNG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46232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46232</v>
      </c>
      <c r="F221" t="inlineStr">
        <is>
          <t>ÖSTERGÖTLANDS LÄN</t>
        </is>
      </c>
      <c r="G221" t="inlineStr">
        <is>
          <t>FINSPÅNG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44898</v>
      </c>
      <c r="E222" s="1" t="n">
        <v>46232</v>
      </c>
      <c r="F222" t="inlineStr">
        <is>
          <t>ÖSTERGÖTLANDS LÄN</t>
        </is>
      </c>
      <c r="G222" t="inlineStr">
        <is>
          <t>FINSPÅNG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55812-2021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44476</v>
      </c>
      <c r="E223" s="1" t="n">
        <v>46232</v>
      </c>
      <c r="F223" t="inlineStr">
        <is>
          <t>ÖSTERGÖTLANDS LÄN</t>
        </is>
      </c>
      <c r="G223" t="inlineStr">
        <is>
          <t>FINSPÅNG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46232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Övriga Aktiebolag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44897</v>
      </c>
      <c r="E225" s="1" t="n">
        <v>46232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44918</v>
      </c>
      <c r="E226" s="1" t="n">
        <v>46232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46232</v>
      </c>
      <c r="F227" t="inlineStr">
        <is>
          <t>ÖSTERGÖTLANDS LÄN</t>
        </is>
      </c>
      <c r="G227" t="inlineStr">
        <is>
          <t>FINSPÅNG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46232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46232</v>
      </c>
      <c r="F229" t="inlineStr">
        <is>
          <t>ÖSTERGÖTLANDS LÄN</t>
        </is>
      </c>
      <c r="G229" t="inlineStr">
        <is>
          <t>FINSPÅNG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45086</v>
      </c>
      <c r="E230" s="1" t="n">
        <v>46232</v>
      </c>
      <c r="F230" t="inlineStr">
        <is>
          <t>ÖSTERGÖTLANDS LÄN</t>
        </is>
      </c>
      <c r="G230" t="inlineStr">
        <is>
          <t>FINSPÅNG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46232</v>
      </c>
      <c r="F231" t="inlineStr">
        <is>
          <t>ÖSTERGÖTLANDS LÄN</t>
        </is>
      </c>
      <c r="G231" t="inlineStr">
        <is>
          <t>FINSPÅNG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46232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46232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46232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Naturvårdsverket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46232</v>
      </c>
      <c r="F235" t="inlineStr">
        <is>
          <t>ÖSTERGÖTLANDS LÄN</t>
        </is>
      </c>
      <c r="G235" t="inlineStr">
        <is>
          <t>FINSPÅNG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30922-2022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44767</v>
      </c>
      <c r="E236" s="1" t="n">
        <v>46232</v>
      </c>
      <c r="F236" t="inlineStr">
        <is>
          <t>ÖSTERGÖTLANDS LÄN</t>
        </is>
      </c>
      <c r="G236" t="inlineStr">
        <is>
          <t>FINSPÅNG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46232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46232</v>
      </c>
      <c r="F238" t="inlineStr">
        <is>
          <t>ÖSTERGÖTLANDS LÄN</t>
        </is>
      </c>
      <c r="G238" t="inlineStr">
        <is>
          <t>FINSPÅNG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46232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46232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45009</v>
      </c>
      <c r="E241" s="1" t="n">
        <v>46232</v>
      </c>
      <c r="F241" t="inlineStr">
        <is>
          <t>ÖSTERGÖTLANDS LÄN</t>
        </is>
      </c>
      <c r="G241" t="inlineStr">
        <is>
          <t>FINSPÅNG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45206</v>
      </c>
      <c r="E242" s="1" t="n">
        <v>46232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46232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45623</v>
      </c>
      <c r="E244" s="1" t="n">
        <v>46232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46232</v>
      </c>
      <c r="F245" t="inlineStr">
        <is>
          <t>ÖSTERGÖTLANDS LÄN</t>
        </is>
      </c>
      <c r="G245" t="inlineStr">
        <is>
          <t>FINSPÅNG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46232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45095</v>
      </c>
      <c r="E247" s="1" t="n">
        <v>46232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46232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44993</v>
      </c>
      <c r="E249" s="1" t="n">
        <v>46232</v>
      </c>
      <c r="F249" t="inlineStr">
        <is>
          <t>ÖSTERGÖTLANDS LÄN</t>
        </is>
      </c>
      <c r="G249" t="inlineStr">
        <is>
          <t>FINSPÅNG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46232</v>
      </c>
      <c r="F250" t="inlineStr">
        <is>
          <t>ÖSTERGÖTLANDS LÄN</t>
        </is>
      </c>
      <c r="G250" t="inlineStr">
        <is>
          <t>FINSPÅNG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46232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45407-2022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44844</v>
      </c>
      <c r="E252" s="1" t="n">
        <v>46232</v>
      </c>
      <c r="F252" t="inlineStr">
        <is>
          <t>ÖSTERGÖTLANDS LÄN</t>
        </is>
      </c>
      <c r="G252" t="inlineStr">
        <is>
          <t>FINSPÅNG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44844</v>
      </c>
      <c r="E253" s="1" t="n">
        <v>46232</v>
      </c>
      <c r="F253" t="inlineStr">
        <is>
          <t>ÖSTERGÖTLANDS LÄN</t>
        </is>
      </c>
      <c r="G253" t="inlineStr">
        <is>
          <t>FINSPÅNG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46232</v>
      </c>
      <c r="F254" t="inlineStr">
        <is>
          <t>ÖSTERGÖTLANDS LÄN</t>
        </is>
      </c>
      <c r="G254" t="inlineStr">
        <is>
          <t>FINSPÅNG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44960</v>
      </c>
      <c r="E255" s="1" t="n">
        <v>46232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46232</v>
      </c>
      <c r="F256" t="inlineStr">
        <is>
          <t>ÖSTERGÖTLANDS LÄN</t>
        </is>
      </c>
      <c r="G256" t="inlineStr">
        <is>
          <t>FINSPÅNG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45740</v>
      </c>
      <c r="E257" s="1" t="n">
        <v>46232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46232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46232</v>
      </c>
      <c r="F259" t="inlineStr">
        <is>
          <t>ÖSTERGÖTLANDS LÄN</t>
        </is>
      </c>
      <c r="G259" t="inlineStr">
        <is>
          <t>FINSPÅNG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45441</v>
      </c>
      <c r="E260" s="1" t="n">
        <v>46232</v>
      </c>
      <c r="F260" t="inlineStr">
        <is>
          <t>ÖSTERGÖTLANDS LÄN</t>
        </is>
      </c>
      <c r="G260" t="inlineStr">
        <is>
          <t>FINSPÅNG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46232</v>
      </c>
      <c r="F261" t="inlineStr">
        <is>
          <t>ÖSTERGÖTLANDS LÄN</t>
        </is>
      </c>
      <c r="G261" t="inlineStr">
        <is>
          <t>FINSPÅNG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46232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46232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45233</v>
      </c>
      <c r="E264" s="1" t="n">
        <v>46232</v>
      </c>
      <c r="F264" t="inlineStr">
        <is>
          <t>ÖSTERGÖTLANDS LÄN</t>
        </is>
      </c>
      <c r="G264" t="inlineStr">
        <is>
          <t>FINSPÅNG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44677</v>
      </c>
      <c r="E265" s="1" t="n">
        <v>46232</v>
      </c>
      <c r="F265" t="inlineStr">
        <is>
          <t>ÖSTERGÖTLANDS LÄN</t>
        </is>
      </c>
      <c r="G265" t="inlineStr">
        <is>
          <t>FINSPÅNG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46232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46232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Naturvårdsverket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46232</v>
      </c>
      <c r="F268" t="inlineStr">
        <is>
          <t>ÖSTERGÖTLANDS LÄN</t>
        </is>
      </c>
      <c r="G268" t="inlineStr">
        <is>
          <t>FINSPÅNG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46232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45095</v>
      </c>
      <c r="E270" s="1" t="n">
        <v>46232</v>
      </c>
      <c r="F270" t="inlineStr">
        <is>
          <t>ÖSTERGÖTLANDS LÄN</t>
        </is>
      </c>
      <c r="G270" t="inlineStr">
        <is>
          <t>FINSPÅNG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46232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46232</v>
      </c>
      <c r="F272" t="inlineStr">
        <is>
          <t>ÖSTERGÖTLANDS LÄN</t>
        </is>
      </c>
      <c r="G272" t="inlineStr">
        <is>
          <t>FINSPÅNG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46232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46232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Övriga Aktiebolag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45677</v>
      </c>
      <c r="E275" s="1" t="n">
        <v>46232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44942</v>
      </c>
      <c r="E276" s="1" t="n">
        <v>46232</v>
      </c>
      <c r="F276" t="inlineStr">
        <is>
          <t>ÖSTERGÖTLANDS LÄN</t>
        </is>
      </c>
      <c r="G276" t="inlineStr">
        <is>
          <t>FINSPÅNG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25272-2025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46232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Naturvårdsverket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45800</v>
      </c>
      <c r="E278" s="1" t="n">
        <v>46232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Naturvårdsverket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45800</v>
      </c>
      <c r="E279" s="1" t="n">
        <v>46232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Naturvårdsverket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45800</v>
      </c>
      <c r="E280" s="1" t="n">
        <v>46232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Naturvårdsverket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46232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45853</v>
      </c>
      <c r="E282" s="1" t="n">
        <v>46232</v>
      </c>
      <c r="F282" t="inlineStr">
        <is>
          <t>ÖSTERGÖTLANDS LÄN</t>
        </is>
      </c>
      <c r="G282" t="inlineStr">
        <is>
          <t>FINSPÅNG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53821-2022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44880</v>
      </c>
      <c r="E283" s="1" t="n">
        <v>46232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46232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46232</v>
      </c>
      <c r="F285" t="inlineStr">
        <is>
          <t>ÖSTERGÖTLANDS LÄN</t>
        </is>
      </c>
      <c r="G285" t="inlineStr">
        <is>
          <t>FINSPÅNG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46232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46232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46232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Kyrkan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63321-2021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44508</v>
      </c>
      <c r="E289" s="1" t="n">
        <v>46232</v>
      </c>
      <c r="F289" t="inlineStr">
        <is>
          <t>ÖSTERGÖTLANDS LÄN</t>
        </is>
      </c>
      <c r="G289" t="inlineStr">
        <is>
          <t>FINSPÅNG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44918</v>
      </c>
      <c r="E290" s="1" t="n">
        <v>46232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46232</v>
      </c>
      <c r="F291" t="inlineStr">
        <is>
          <t>ÖSTERGÖTLANDS LÄN</t>
        </is>
      </c>
      <c r="G291" t="inlineStr">
        <is>
          <t>FINSPÅNG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46232</v>
      </c>
      <c r="F292" t="inlineStr">
        <is>
          <t>ÖSTERGÖTLANDS LÄN</t>
        </is>
      </c>
      <c r="G292" t="inlineStr">
        <is>
          <t>FINSPÅNG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46232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46232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46232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46232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46232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46232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46232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46232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46232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46232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46232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46232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8193-2025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46232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Allmännings- och besparingsskogar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45593</v>
      </c>
      <c r="E306" s="1" t="n">
        <v>46232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Övriga Aktiebolag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46232</v>
      </c>
      <c r="F307" t="inlineStr">
        <is>
          <t>ÖSTERGÖTLANDS LÄN</t>
        </is>
      </c>
      <c r="G307" t="inlineStr">
        <is>
          <t>FINSPÅNG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45639</v>
      </c>
      <c r="E308" s="1" t="n">
        <v>46232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46232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46232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46232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46232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46232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18134-2023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45040</v>
      </c>
      <c r="E314" s="1" t="n">
        <v>46232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28508-2025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46232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46232</v>
      </c>
      <c r="F316" t="inlineStr">
        <is>
          <t>ÖSTERGÖTLANDS LÄN</t>
        </is>
      </c>
      <c r="G316" t="inlineStr">
        <is>
          <t>FINSPÅNG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45710</v>
      </c>
      <c r="E317" s="1" t="n">
        <v>46232</v>
      </c>
      <c r="F317" t="inlineStr">
        <is>
          <t>ÖSTERGÖTLANDS LÄN</t>
        </is>
      </c>
      <c r="G317" t="inlineStr">
        <is>
          <t>FINSPÅNG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46040</v>
      </c>
      <c r="E318" s="1" t="n">
        <v>46232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46232</v>
      </c>
      <c r="F319" t="inlineStr">
        <is>
          <t>ÖSTERGÖTLANDS LÄN</t>
        </is>
      </c>
      <c r="G319" t="inlineStr">
        <is>
          <t>FINSPÅNG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46232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46232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46040</v>
      </c>
      <c r="E322" s="1" t="n">
        <v>46232</v>
      </c>
      <c r="F322" t="inlineStr">
        <is>
          <t>ÖSTERGÖTLANDS LÄN</t>
        </is>
      </c>
      <c r="G322" t="inlineStr">
        <is>
          <t>FINSPÅNG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46232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46232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46232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46232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46232</v>
      </c>
      <c r="F327" t="inlineStr">
        <is>
          <t>ÖSTERGÖTLANDS LÄN</t>
        </is>
      </c>
      <c r="G327" t="inlineStr">
        <is>
          <t>FINSPÅNG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46232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46232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46232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46232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46232</v>
      </c>
      <c r="F332" t="inlineStr">
        <is>
          <t>ÖSTERGÖTLANDS LÄN</t>
        </is>
      </c>
      <c r="G332" t="inlineStr">
        <is>
          <t>FINSPÅNG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46232</v>
      </c>
      <c r="F333" t="inlineStr">
        <is>
          <t>ÖSTERGÖTLANDS LÄN</t>
        </is>
      </c>
      <c r="G333" t="inlineStr">
        <is>
          <t>FINSPÅNG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46232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45902</v>
      </c>
      <c r="E335" s="1" t="n">
        <v>46232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46232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46232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46232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46232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45904</v>
      </c>
      <c r="E340" s="1" t="n">
        <v>46232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46232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46232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46232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46232</v>
      </c>
      <c r="F345" t="inlineStr">
        <is>
          <t>ÖSTERGÖTLANDS LÄN</t>
        </is>
      </c>
      <c r="G345" t="inlineStr">
        <is>
          <t>FINSPÅNG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58991-2021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44490</v>
      </c>
      <c r="E346" s="1" t="n">
        <v>46232</v>
      </c>
      <c r="F346" t="inlineStr">
        <is>
          <t>ÖSTERGÖTLANDS LÄN</t>
        </is>
      </c>
      <c r="G346" t="inlineStr">
        <is>
          <t>FINSPÅNG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41397-2021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44424</v>
      </c>
      <c r="E347" s="1" t="n">
        <v>46232</v>
      </c>
      <c r="F347" t="inlineStr">
        <is>
          <t>ÖSTERGÖTLANDS LÄN</t>
        </is>
      </c>
      <c r="G347" t="inlineStr">
        <is>
          <t>FINSPÅNG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17578-2024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45415</v>
      </c>
      <c r="E348" s="1" t="n">
        <v>46232</v>
      </c>
      <c r="F348" t="inlineStr">
        <is>
          <t>ÖSTERGÖTLANDS LÄN</t>
        </is>
      </c>
      <c r="G348" t="inlineStr">
        <is>
          <t>FINSPÅNG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45328</v>
      </c>
      <c r="E349" s="1" t="n">
        <v>46232</v>
      </c>
      <c r="F349" t="inlineStr">
        <is>
          <t>ÖSTERGÖTLANDS LÄN</t>
        </is>
      </c>
      <c r="G349" t="inlineStr">
        <is>
          <t>FINSPÅNG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46232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45095</v>
      </c>
      <c r="E351" s="1" t="n">
        <v>46232</v>
      </c>
      <c r="F351" t="inlineStr">
        <is>
          <t>ÖSTERGÖTLANDS LÄN</t>
        </is>
      </c>
      <c r="G351" t="inlineStr">
        <is>
          <t>FINSPÅNG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46232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44949</v>
      </c>
      <c r="E353" s="1" t="n">
        <v>46232</v>
      </c>
      <c r="F353" t="inlineStr">
        <is>
          <t>ÖSTERGÖTLANDS LÄN</t>
        </is>
      </c>
      <c r="G353" t="inlineStr">
        <is>
          <t>FINSPÅNG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44860</v>
      </c>
      <c r="E354" s="1" t="n">
        <v>46232</v>
      </c>
      <c r="F354" t="inlineStr">
        <is>
          <t>ÖSTERGÖTLANDS LÄN</t>
        </is>
      </c>
      <c r="G354" t="inlineStr">
        <is>
          <t>FINSPÅNG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45456</v>
      </c>
      <c r="E355" s="1" t="n">
        <v>46232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45840</v>
      </c>
      <c r="E356" s="1" t="n">
        <v>46232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45744</v>
      </c>
      <c r="E357" s="1" t="n">
        <v>46232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Naturvårdsverket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45257</v>
      </c>
      <c r="E358" s="1" t="n">
        <v>46232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45257</v>
      </c>
      <c r="E359" s="1" t="n">
        <v>46232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46232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46232</v>
      </c>
      <c r="F361" t="inlineStr">
        <is>
          <t>ÖSTERGÖTLANDS LÄN</t>
        </is>
      </c>
      <c r="G361" t="inlineStr">
        <is>
          <t>FINSPÅNG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46232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46232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42176-2023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45178</v>
      </c>
      <c r="E364" s="1" t="n">
        <v>46232</v>
      </c>
      <c r="F364" t="inlineStr">
        <is>
          <t>ÖSTERGÖTLANDS LÄN</t>
        </is>
      </c>
      <c r="G364" t="inlineStr">
        <is>
          <t>FINSPÅNG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46232</v>
      </c>
      <c r="F365" t="inlineStr">
        <is>
          <t>ÖSTERGÖTLANDS LÄN</t>
        </is>
      </c>
      <c r="G365" t="inlineStr">
        <is>
          <t>FINSPÅNG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45002</v>
      </c>
      <c r="E366" s="1" t="n">
        <v>46232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46232</v>
      </c>
      <c r="F367" t="inlineStr">
        <is>
          <t>ÖSTERGÖTLANDS LÄN</t>
        </is>
      </c>
      <c r="G367" t="inlineStr">
        <is>
          <t>FINSPÅNG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62421-2021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44503</v>
      </c>
      <c r="E368" s="1" t="n">
        <v>46232</v>
      </c>
      <c r="F368" t="inlineStr">
        <is>
          <t>ÖSTERGÖTLANDS LÄN</t>
        </is>
      </c>
      <c r="G368" t="inlineStr">
        <is>
          <t>FINSPÅNG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32973-2023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45125</v>
      </c>
      <c r="E369" s="1" t="n">
        <v>46232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Övriga Aktiebolag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18258-2024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45421</v>
      </c>
      <c r="E370" s="1" t="n">
        <v>46232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46232</v>
      </c>
      <c r="F371" t="inlineStr">
        <is>
          <t>ÖSTERGÖTLANDS LÄN</t>
        </is>
      </c>
      <c r="G371" t="inlineStr">
        <is>
          <t>FINSPÅNG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45854</v>
      </c>
      <c r="E372" s="1" t="n">
        <v>46232</v>
      </c>
      <c r="F372" t="inlineStr">
        <is>
          <t>ÖSTERGÖTLANDS LÄN</t>
        </is>
      </c>
      <c r="G372" t="inlineStr">
        <is>
          <t>FINSPÅNG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46232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59799-2023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45257</v>
      </c>
      <c r="E374" s="1" t="n">
        <v>46232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45206</v>
      </c>
      <c r="E375" s="1" t="n">
        <v>46232</v>
      </c>
      <c r="F375" t="inlineStr">
        <is>
          <t>ÖSTERGÖTLANDS LÄN</t>
        </is>
      </c>
      <c r="G375" t="inlineStr">
        <is>
          <t>FINSPÅNG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35279-2025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45853</v>
      </c>
      <c r="E376" s="1" t="n">
        <v>46232</v>
      </c>
      <c r="F376" t="inlineStr">
        <is>
          <t>ÖSTERGÖTLANDS LÄN</t>
        </is>
      </c>
      <c r="G376" t="inlineStr">
        <is>
          <t>FINSPÅNG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46232</v>
      </c>
      <c r="F377" t="inlineStr">
        <is>
          <t>ÖSTERGÖTLANDS LÄN</t>
        </is>
      </c>
      <c r="G377" t="inlineStr">
        <is>
          <t>FINSPÅNG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47567-2025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45931</v>
      </c>
      <c r="E378" s="1" t="n">
        <v>46232</v>
      </c>
      <c r="F378" t="inlineStr">
        <is>
          <t>ÖSTERGÖTLANDS LÄN</t>
        </is>
      </c>
      <c r="G378" t="inlineStr">
        <is>
          <t>FINSPÅNG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44840</v>
      </c>
      <c r="E379" s="1" t="n">
        <v>46232</v>
      </c>
      <c r="F379" t="inlineStr">
        <is>
          <t>ÖSTERGÖTLANDS LÄN</t>
        </is>
      </c>
      <c r="G379" t="inlineStr">
        <is>
          <t>FINSPÅNG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35492-2025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46232</v>
      </c>
      <c r="F380" t="inlineStr">
        <is>
          <t>ÖSTERGÖTLANDS LÄN</t>
        </is>
      </c>
      <c r="G380" t="inlineStr">
        <is>
          <t>FINSPÅNG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46232</v>
      </c>
      <c r="F381" t="inlineStr">
        <is>
          <t>ÖSTERGÖTLANDS LÄN</t>
        </is>
      </c>
      <c r="G381" t="inlineStr">
        <is>
          <t>FINSPÅNG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65742-2021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44516</v>
      </c>
      <c r="E382" s="1" t="n">
        <v>46232</v>
      </c>
      <c r="F382" t="inlineStr">
        <is>
          <t>ÖSTERGÖTLANDS LÄN</t>
        </is>
      </c>
      <c r="G382" t="inlineStr">
        <is>
          <t>FINSPÅNG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46232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45523</v>
      </c>
      <c r="E384" s="1" t="n">
        <v>46232</v>
      </c>
      <c r="F384" t="inlineStr">
        <is>
          <t>ÖSTERGÖTLANDS LÄN</t>
        </is>
      </c>
      <c r="G384" t="inlineStr">
        <is>
          <t>FINSPÅNG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46232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44607</v>
      </c>
      <c r="E386" s="1" t="n">
        <v>46232</v>
      </c>
      <c r="F386" t="inlineStr">
        <is>
          <t>ÖSTERGÖTLANDS LÄN</t>
        </is>
      </c>
      <c r="G386" t="inlineStr">
        <is>
          <t>FINSPÅNG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46232</v>
      </c>
      <c r="F387" t="inlineStr">
        <is>
          <t>ÖSTERGÖTLANDS LÄN</t>
        </is>
      </c>
      <c r="G387" t="inlineStr">
        <is>
          <t>FINSPÅNG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46232</v>
      </c>
      <c r="F388" t="inlineStr">
        <is>
          <t>ÖSTERGÖTLANDS LÄN</t>
        </is>
      </c>
      <c r="G388" t="inlineStr">
        <is>
          <t>FINSPÅNG</t>
        </is>
      </c>
      <c r="I388" t="n">
        <v>22.6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11540-2023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44993</v>
      </c>
      <c r="E389" s="1" t="n">
        <v>46232</v>
      </c>
      <c r="F389" t="inlineStr">
        <is>
          <t>ÖSTERGÖTLANDS LÄN</t>
        </is>
      </c>
      <c r="G389" t="inlineStr">
        <is>
          <t>FINSPÅNG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46232</v>
      </c>
      <c r="F390" t="inlineStr">
        <is>
          <t>ÖSTERGÖTLANDS LÄN</t>
        </is>
      </c>
      <c r="G390" t="inlineStr">
        <is>
          <t>FINSPÅNG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39655-2023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45167</v>
      </c>
      <c r="E391" s="1" t="n">
        <v>46232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Kyrkan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44767</v>
      </c>
      <c r="E392" s="1" t="n">
        <v>46232</v>
      </c>
      <c r="F392" t="inlineStr">
        <is>
          <t>ÖSTERGÖTLANDS LÄN</t>
        </is>
      </c>
      <c r="G392" t="inlineStr">
        <is>
          <t>FINSPÅNG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46232</v>
      </c>
      <c r="F393" t="inlineStr">
        <is>
          <t>ÖSTERGÖTLANDS LÄN</t>
        </is>
      </c>
      <c r="G393" t="inlineStr">
        <is>
          <t>FINSPÅNG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34417-2025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45846</v>
      </c>
      <c r="E394" s="1" t="n">
        <v>46232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46232</v>
      </c>
      <c r="F395" t="inlineStr">
        <is>
          <t>ÖSTERGÖTLANDS LÄN</t>
        </is>
      </c>
      <c r="G395" t="inlineStr">
        <is>
          <t>FINSPÅNG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44957</v>
      </c>
      <c r="E396" s="1" t="n">
        <v>46232</v>
      </c>
      <c r="F396" t="inlineStr">
        <is>
          <t>ÖSTERGÖTLANDS LÄN</t>
        </is>
      </c>
      <c r="G396" t="inlineStr">
        <is>
          <t>FINSPÅNG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45935</v>
      </c>
      <c r="E397" s="1" t="n">
        <v>46232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45870</v>
      </c>
      <c r="E398" s="1" t="n">
        <v>46232</v>
      </c>
      <c r="F398" t="inlineStr">
        <is>
          <t>ÖSTERGÖTLANDS LÄN</t>
        </is>
      </c>
      <c r="G398" t="inlineStr">
        <is>
          <t>FINSPÅNG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44662</v>
      </c>
      <c r="E399" s="1" t="n">
        <v>46232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46232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46232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46232</v>
      </c>
      <c r="F402" t="inlineStr">
        <is>
          <t>ÖSTERGÖTLANDS LÄN</t>
        </is>
      </c>
      <c r="G402" t="inlineStr">
        <is>
          <t>FINSPÅNG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45820</v>
      </c>
      <c r="E403" s="1" t="n">
        <v>46232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45870</v>
      </c>
      <c r="E404" s="1" t="n">
        <v>46232</v>
      </c>
      <c r="F404" t="inlineStr">
        <is>
          <t>ÖSTERGÖTLANDS LÄN</t>
        </is>
      </c>
      <c r="G404" t="inlineStr">
        <is>
          <t>FINSPÅNG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24804-2023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46232</v>
      </c>
      <c r="F405" t="inlineStr">
        <is>
          <t>ÖSTERGÖTLANDS LÄN</t>
        </is>
      </c>
      <c r="G405" t="inlineStr">
        <is>
          <t>FINSPÅNG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44732</v>
      </c>
      <c r="E406" s="1" t="n">
        <v>46232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46050</v>
      </c>
      <c r="E407" s="1" t="n">
        <v>46232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46232</v>
      </c>
      <c r="F408" t="inlineStr">
        <is>
          <t>ÖSTERGÖTLANDS LÄN</t>
        </is>
      </c>
      <c r="G408" t="inlineStr">
        <is>
          <t>FINSPÅNG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46232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46232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45709</v>
      </c>
      <c r="E411" s="1" t="n">
        <v>46232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46232</v>
      </c>
      <c r="F412" t="inlineStr">
        <is>
          <t>ÖSTERGÖTLANDS LÄN</t>
        </is>
      </c>
      <c r="G412" t="inlineStr">
        <is>
          <t>FINSPÅNG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70505-2021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46232</v>
      </c>
      <c r="F413" t="inlineStr">
        <is>
          <t>ÖSTERGÖTLANDS LÄN</t>
        </is>
      </c>
      <c r="G413" t="inlineStr">
        <is>
          <t>FINSPÅNG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45880</v>
      </c>
      <c r="E414" s="1" t="n">
        <v>46232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26087-2022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44734</v>
      </c>
      <c r="E415" s="1" t="n">
        <v>46232</v>
      </c>
      <c r="F415" t="inlineStr">
        <is>
          <t>ÖSTERGÖTLANDS LÄN</t>
        </is>
      </c>
      <c r="G415" t="inlineStr">
        <is>
          <t>FINSPÅNG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45880</v>
      </c>
      <c r="E416" s="1" t="n">
        <v>46232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50395-2025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45944</v>
      </c>
      <c r="E417" s="1" t="n">
        <v>46232</v>
      </c>
      <c r="F417" t="inlineStr">
        <is>
          <t>ÖSTERGÖTLANDS LÄN</t>
        </is>
      </c>
      <c r="G417" t="inlineStr">
        <is>
          <t>FINSPÅNG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45442</v>
      </c>
      <c r="E418" s="1" t="n">
        <v>46232</v>
      </c>
      <c r="F418" t="inlineStr">
        <is>
          <t>ÖSTERGÖTLANDS LÄN</t>
        </is>
      </c>
      <c r="G418" t="inlineStr">
        <is>
          <t>FINSPÅNG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37936-2025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45881</v>
      </c>
      <c r="E419" s="1" t="n">
        <v>46232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Naturvårdsverket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46232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45883</v>
      </c>
      <c r="E421" s="1" t="n">
        <v>46232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45883</v>
      </c>
      <c r="E422" s="1" t="n">
        <v>46232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46232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46232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Övriga Aktiebolag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46232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46232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46232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Övriga Aktiebolag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44614</v>
      </c>
      <c r="E428" s="1" t="n">
        <v>46232</v>
      </c>
      <c r="F428" t="inlineStr">
        <is>
          <t>ÖSTERGÖTLANDS LÄN</t>
        </is>
      </c>
      <c r="G428" t="inlineStr">
        <is>
          <t>FINSPÅNG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46060</v>
      </c>
      <c r="E429" s="1" t="n">
        <v>46232</v>
      </c>
      <c r="F429" t="inlineStr">
        <is>
          <t>ÖSTERGÖTLANDS LÄN</t>
        </is>
      </c>
      <c r="G429" t="inlineStr">
        <is>
          <t>FINSPÅNG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45950</v>
      </c>
      <c r="E430" s="1" t="n">
        <v>46232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45468</v>
      </c>
      <c r="E431" s="1" t="n">
        <v>46232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44833</v>
      </c>
      <c r="E432" s="1" t="n">
        <v>46232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45761-2021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44441</v>
      </c>
      <c r="E433" s="1" t="n">
        <v>46232</v>
      </c>
      <c r="F433" t="inlineStr">
        <is>
          <t>ÖSTERGÖTLANDS LÄN</t>
        </is>
      </c>
      <c r="G433" t="inlineStr">
        <is>
          <t>FINSPÅNG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46232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46232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45719</v>
      </c>
      <c r="E436" s="1" t="n">
        <v>46232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73260-2021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44550</v>
      </c>
      <c r="E437" s="1" t="n">
        <v>46232</v>
      </c>
      <c r="F437" t="inlineStr">
        <is>
          <t>ÖSTERGÖTLANDS LÄN</t>
        </is>
      </c>
      <c r="G437" t="inlineStr">
        <is>
          <t>FINSPÅNG</t>
        </is>
      </c>
      <c r="I437" t="n">
        <v>10.3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51435-2024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45604</v>
      </c>
      <c r="E438" s="1" t="n">
        <v>46232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45955</v>
      </c>
      <c r="E439" s="1" t="n">
        <v>46232</v>
      </c>
      <c r="F439" t="inlineStr">
        <is>
          <t>ÖSTERGÖTLANDS LÄN</t>
        </is>
      </c>
      <c r="G439" t="inlineStr">
        <is>
          <t>FINSPÅNG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46232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Sveaskog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39356-2022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44817</v>
      </c>
      <c r="E441" s="1" t="n">
        <v>46232</v>
      </c>
      <c r="F441" t="inlineStr">
        <is>
          <t>ÖSTERGÖTLANDS LÄN</t>
        </is>
      </c>
      <c r="G441" t="inlineStr">
        <is>
          <t>FINSPÅNG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46232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46232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46232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46232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46232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46232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46232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44865</v>
      </c>
      <c r="E449" s="1" t="n">
        <v>46232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44980</v>
      </c>
      <c r="E450" s="1" t="n">
        <v>46232</v>
      </c>
      <c r="F450" t="inlineStr">
        <is>
          <t>ÖSTERGÖTLANDS LÄN</t>
        </is>
      </c>
      <c r="G450" t="inlineStr">
        <is>
          <t>FINSPÅNG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31801-2023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46232</v>
      </c>
      <c r="F451" t="inlineStr">
        <is>
          <t>ÖSTERGÖTLANDS LÄN</t>
        </is>
      </c>
      <c r="G451" t="inlineStr">
        <is>
          <t>FINSPÅNG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9084-2026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46232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39896-2023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46232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Övriga Aktiebolag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45467</v>
      </c>
      <c r="E454" s="1" t="n">
        <v>46232</v>
      </c>
      <c r="F454" t="inlineStr">
        <is>
          <t>ÖSTERGÖTLANDS LÄN</t>
        </is>
      </c>
      <c r="G454" t="inlineStr">
        <is>
          <t>FINSPÅNG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53545-2025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45960</v>
      </c>
      <c r="E455" s="1" t="n">
        <v>46232</v>
      </c>
      <c r="F455" t="inlineStr">
        <is>
          <t>ÖSTERGÖTLANDS LÄN</t>
        </is>
      </c>
      <c r="G455" t="inlineStr">
        <is>
          <t>FINSPÅNG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44735</v>
      </c>
      <c r="E456" s="1" t="n">
        <v>46232</v>
      </c>
      <c r="F456" t="inlineStr">
        <is>
          <t>ÖSTERGÖTLANDS LÄN</t>
        </is>
      </c>
      <c r="G456" t="inlineStr">
        <is>
          <t>FINSPÅNG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46232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46232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45600</v>
      </c>
      <c r="E459" s="1" t="n">
        <v>46232</v>
      </c>
      <c r="F459" t="inlineStr">
        <is>
          <t>ÖSTERGÖTLANDS LÄN</t>
        </is>
      </c>
      <c r="G459" t="inlineStr">
        <is>
          <t>FINSPÅNG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45229</v>
      </c>
      <c r="E460" s="1" t="n">
        <v>46232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9934-2026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46232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45969</v>
      </c>
      <c r="E462" s="1" t="n">
        <v>46232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46232</v>
      </c>
      <c r="F463" t="inlineStr">
        <is>
          <t>ÖSTERGÖTLANDS LÄN</t>
        </is>
      </c>
      <c r="G463" t="inlineStr">
        <is>
          <t>FINSPÅNG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46232</v>
      </c>
      <c r="F464" t="inlineStr">
        <is>
          <t>ÖSTERGÖTLANDS LÄN</t>
        </is>
      </c>
      <c r="G464" t="inlineStr">
        <is>
          <t>FINSPÅNG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28559-2023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45103</v>
      </c>
      <c r="E465" s="1" t="n">
        <v>46232</v>
      </c>
      <c r="F465" t="inlineStr">
        <is>
          <t>ÖSTERGÖTLANDS LÄN</t>
        </is>
      </c>
      <c r="G465" t="inlineStr">
        <is>
          <t>FINSPÅNG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7022-2024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45343</v>
      </c>
      <c r="E466" s="1" t="n">
        <v>46232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46076</v>
      </c>
      <c r="E467" s="1" t="n">
        <v>46232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45082</v>
      </c>
      <c r="E468" s="1" t="n">
        <v>46232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46232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45299</v>
      </c>
      <c r="E470" s="1" t="n">
        <v>46232</v>
      </c>
      <c r="F470" t="inlineStr">
        <is>
          <t>ÖSTERGÖTLANDS LÄN</t>
        </is>
      </c>
      <c r="G470" t="inlineStr">
        <is>
          <t>FINSPÅNG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45006</v>
      </c>
      <c r="E471" s="1" t="n">
        <v>46232</v>
      </c>
      <c r="F471" t="inlineStr">
        <is>
          <t>ÖSTERGÖTLANDS LÄN</t>
        </is>
      </c>
      <c r="G471" t="inlineStr">
        <is>
          <t>FINSPÅNG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46232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46232</v>
      </c>
      <c r="F473" t="inlineStr">
        <is>
          <t>ÖSTERGÖTLANDS LÄN</t>
        </is>
      </c>
      <c r="G473" t="inlineStr">
        <is>
          <t>FINSPÅNG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12472-2024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45379</v>
      </c>
      <c r="E474" s="1" t="n">
        <v>46232</v>
      </c>
      <c r="F474" t="inlineStr">
        <is>
          <t>ÖSTERGÖTLANDS LÄN</t>
        </is>
      </c>
      <c r="G474" t="inlineStr">
        <is>
          <t>FINSPÅNG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44840</v>
      </c>
      <c r="E475" s="1" t="n">
        <v>46232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45040</v>
      </c>
      <c r="E476" s="1" t="n">
        <v>46232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46232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46080</v>
      </c>
      <c r="E478" s="1" t="n">
        <v>46232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Kyrkan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46232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11244-2026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46232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45075</v>
      </c>
      <c r="E481" s="1" t="n">
        <v>46232</v>
      </c>
      <c r="F481" t="inlineStr">
        <is>
          <t>ÖSTERGÖTLANDS LÄN</t>
        </is>
      </c>
      <c r="G481" t="inlineStr">
        <is>
          <t>FINSPÅNG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54581-2024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45617</v>
      </c>
      <c r="E482" s="1" t="n">
        <v>46232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57290-2025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45979</v>
      </c>
      <c r="E483" s="1" t="n">
        <v>46232</v>
      </c>
      <c r="F483" t="inlineStr">
        <is>
          <t>ÖSTERGÖTLANDS LÄN</t>
        </is>
      </c>
      <c r="G483" t="inlineStr">
        <is>
          <t>FINSPÅNG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57666-2025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45980</v>
      </c>
      <c r="E484" s="1" t="n">
        <v>46232</v>
      </c>
      <c r="F484" t="inlineStr">
        <is>
          <t>ÖSTERGÖTLANDS LÄN</t>
        </is>
      </c>
      <c r="G484" t="inlineStr">
        <is>
          <t>FINSPÅNG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46232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44725</v>
      </c>
      <c r="E486" s="1" t="n">
        <v>46232</v>
      </c>
      <c r="F486" t="inlineStr">
        <is>
          <t>ÖSTERGÖTLANDS LÄN</t>
        </is>
      </c>
      <c r="G486" t="inlineStr">
        <is>
          <t>FINSPÅNG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46232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46232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20157-2023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45055</v>
      </c>
      <c r="E489" s="1" t="n">
        <v>46232</v>
      </c>
      <c r="F489" t="inlineStr">
        <is>
          <t>ÖSTERGÖTLANDS LÄN</t>
        </is>
      </c>
      <c r="G489" t="inlineStr">
        <is>
          <t>FINSPÅNG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11248-2026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46080</v>
      </c>
      <c r="E490" s="1" t="n">
        <v>46232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46232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58313-2023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46232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58333-2023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45250</v>
      </c>
      <c r="E493" s="1" t="n">
        <v>46232</v>
      </c>
      <c r="F493" t="inlineStr">
        <is>
          <t>ÖSTERGÖTLANDS LÄN</t>
        </is>
      </c>
      <c r="G493" t="inlineStr">
        <is>
          <t>FINSPÅNG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58187-2025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45983</v>
      </c>
      <c r="E494" s="1" t="n">
        <v>46232</v>
      </c>
      <c r="F494" t="inlineStr">
        <is>
          <t>ÖSTERGÖTLANDS LÄN</t>
        </is>
      </c>
      <c r="G494" t="inlineStr">
        <is>
          <t>FINSPÅNG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58188-2025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45983</v>
      </c>
      <c r="E495" s="1" t="n">
        <v>46232</v>
      </c>
      <c r="F495" t="inlineStr">
        <is>
          <t>ÖSTERGÖTLANDS LÄN</t>
        </is>
      </c>
      <c r="G495" t="inlineStr">
        <is>
          <t>FINSPÅNG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45983</v>
      </c>
      <c r="E496" s="1" t="n">
        <v>46232</v>
      </c>
      <c r="F496" t="inlineStr">
        <is>
          <t>ÖSTERGÖTLANDS LÄN</t>
        </is>
      </c>
      <c r="G496" t="inlineStr">
        <is>
          <t>FINSPÅNG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33804-2023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45133</v>
      </c>
      <c r="E497" s="1" t="n">
        <v>46232</v>
      </c>
      <c r="F497" t="inlineStr">
        <is>
          <t>ÖSTERGÖTLANDS LÄN</t>
        </is>
      </c>
      <c r="G497" t="inlineStr">
        <is>
          <t>FINSPÅNG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58984-2022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44903</v>
      </c>
      <c r="E498" s="1" t="n">
        <v>46232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58189-2025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45983</v>
      </c>
      <c r="E499" s="1" t="n">
        <v>46232</v>
      </c>
      <c r="F499" t="inlineStr">
        <is>
          <t>ÖSTERGÖTLANDS LÄN</t>
        </is>
      </c>
      <c r="G499" t="inlineStr">
        <is>
          <t>FINSPÅNG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58698-2025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46232</v>
      </c>
      <c r="F500" t="inlineStr">
        <is>
          <t>ÖSTERGÖTLANDS LÄN</t>
        </is>
      </c>
      <c r="G500" t="inlineStr">
        <is>
          <t>FINSPÅNG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45548</v>
      </c>
      <c r="E501" s="1" t="n">
        <v>46232</v>
      </c>
      <c r="F501" t="inlineStr">
        <is>
          <t>ÖSTERGÖTLANDS LÄN</t>
        </is>
      </c>
      <c r="G501" t="inlineStr">
        <is>
          <t>FINSPÅNG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46232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45267</v>
      </c>
      <c r="E503" s="1" t="n">
        <v>46232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58796-2025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46232</v>
      </c>
      <c r="F504" t="inlineStr">
        <is>
          <t>ÖSTERGÖTLANDS LÄN</t>
        </is>
      </c>
      <c r="G504" t="inlineStr">
        <is>
          <t>FINSPÅNG</t>
        </is>
      </c>
      <c r="I504" t="n">
        <v>9.300000000000001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46085</v>
      </c>
      <c r="E505" s="1" t="n">
        <v>46232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46085</v>
      </c>
      <c r="E506" s="1" t="n">
        <v>46232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11807-2026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46232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58709-2025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45986</v>
      </c>
      <c r="E508" s="1" t="n">
        <v>46232</v>
      </c>
      <c r="F508" t="inlineStr">
        <is>
          <t>ÖSTERGÖTLANDS LÄN</t>
        </is>
      </c>
      <c r="G508" t="inlineStr">
        <is>
          <t>FINSPÅNG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45008</v>
      </c>
      <c r="E509" s="1" t="n">
        <v>46232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54609-2021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44473</v>
      </c>
      <c r="E510" s="1" t="n">
        <v>46232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Sveaskog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7269-2024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45344</v>
      </c>
      <c r="E511" s="1" t="n">
        <v>46232</v>
      </c>
      <c r="F511" t="inlineStr">
        <is>
          <t>ÖSTERGÖTLANDS LÄN</t>
        </is>
      </c>
      <c r="G511" t="inlineStr">
        <is>
          <t>FINSPÅNG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45362</v>
      </c>
      <c r="E512" s="1" t="n">
        <v>46232</v>
      </c>
      <c r="F512" t="inlineStr">
        <is>
          <t>ÖSTERGÖTLANDS LÄN</t>
        </is>
      </c>
      <c r="G512" t="inlineStr">
        <is>
          <t>FINSPÅNG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11730-2022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44634</v>
      </c>
      <c r="E513" s="1" t="n">
        <v>46232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45252</v>
      </c>
      <c r="E514" s="1" t="n">
        <v>46232</v>
      </c>
      <c r="F514" t="inlineStr">
        <is>
          <t>ÖSTERGÖTLANDS LÄN</t>
        </is>
      </c>
      <c r="G514" t="inlineStr">
        <is>
          <t>FINSPÅNG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48790-2023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45209</v>
      </c>
      <c r="E515" s="1" t="n">
        <v>46232</v>
      </c>
      <c r="F515" t="inlineStr">
        <is>
          <t>ÖSTERGÖTLANDS LÄN</t>
        </is>
      </c>
      <c r="G515" t="inlineStr">
        <is>
          <t>FINSPÅNG</t>
        </is>
      </c>
      <c r="I515" t="n">
        <v>14.6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45209</v>
      </c>
      <c r="E516" s="1" t="n">
        <v>46232</v>
      </c>
      <c r="F516" t="inlineStr">
        <is>
          <t>ÖSTERGÖTLANDS LÄN</t>
        </is>
      </c>
      <c r="G516" t="inlineStr">
        <is>
          <t>FINSPÅNG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43744-2021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44433</v>
      </c>
      <c r="E517" s="1" t="n">
        <v>46232</v>
      </c>
      <c r="F517" t="inlineStr">
        <is>
          <t>ÖSTERGÖTLANDS LÄN</t>
        </is>
      </c>
      <c r="G517" t="inlineStr">
        <is>
          <t>FINSPÅNG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45566</v>
      </c>
      <c r="E518" s="1" t="n">
        <v>46232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15824-2022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44664</v>
      </c>
      <c r="E519" s="1" t="n">
        <v>46232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44946</v>
      </c>
      <c r="E520" s="1" t="n">
        <v>46232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44946</v>
      </c>
      <c r="E521" s="1" t="n">
        <v>46232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49142-2023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46232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Övriga Aktiebolag</t>
        </is>
      </c>
      <c r="I522" t="n">
        <v>12.3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61202-2025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46232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44944</v>
      </c>
      <c r="E524" s="1" t="n">
        <v>46232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45009</v>
      </c>
      <c r="E525" s="1" t="n">
        <v>46232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46002</v>
      </c>
      <c r="E526" s="1" t="n">
        <v>46232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58011-2023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45247</v>
      </c>
      <c r="E527" s="1" t="n">
        <v>46232</v>
      </c>
      <c r="F527" t="inlineStr">
        <is>
          <t>ÖSTERGÖTLANDS LÄN</t>
        </is>
      </c>
      <c r="G527" t="inlineStr">
        <is>
          <t>FINSPÅNG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45095</v>
      </c>
      <c r="E528" s="1" t="n">
        <v>46232</v>
      </c>
      <c r="F528" t="inlineStr">
        <is>
          <t>ÖSTERGÖTLANDS LÄN</t>
        </is>
      </c>
      <c r="G528" t="inlineStr">
        <is>
          <t>FINSPÅNG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62235-2025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46232</v>
      </c>
      <c r="F529" t="inlineStr">
        <is>
          <t>ÖSTERGÖTLANDS LÄN</t>
        </is>
      </c>
      <c r="G529" t="inlineStr">
        <is>
          <t>FINSPÅNG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61683-2025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46002</v>
      </c>
      <c r="E530" s="1" t="n">
        <v>46232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46002</v>
      </c>
      <c r="E531" s="1" t="n">
        <v>46232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61712-2025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46002</v>
      </c>
      <c r="E532" s="1" t="n">
        <v>46232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62242-2025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46232</v>
      </c>
      <c r="F533" t="inlineStr">
        <is>
          <t>ÖSTERGÖTLANDS LÄN</t>
        </is>
      </c>
      <c r="G533" t="inlineStr">
        <is>
          <t>FINSPÅNG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40306-2021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44419</v>
      </c>
      <c r="E534" s="1" t="n">
        <v>46232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62221-2025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46232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45523</v>
      </c>
      <c r="E536" s="1" t="n">
        <v>46232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62139-2025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46232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46232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30921-2022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44767</v>
      </c>
      <c r="E539" s="1" t="n">
        <v>46232</v>
      </c>
      <c r="F539" t="inlineStr">
        <is>
          <t>ÖSTERGÖTLANDS LÄN</t>
        </is>
      </c>
      <c r="G539" t="inlineStr">
        <is>
          <t>FINSPÅNG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44964</v>
      </c>
      <c r="E540" s="1" t="n">
        <v>46232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44759</v>
      </c>
      <c r="E541" s="1" t="n">
        <v>46232</v>
      </c>
      <c r="F541" t="inlineStr">
        <is>
          <t>ÖSTERGÖTLANDS LÄN</t>
        </is>
      </c>
      <c r="G541" t="inlineStr">
        <is>
          <t>FINSPÅNG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60169-2023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46232</v>
      </c>
      <c r="F542" t="inlineStr">
        <is>
          <t>ÖSTERGÖTLANDS LÄN</t>
        </is>
      </c>
      <c r="G542" t="inlineStr">
        <is>
          <t>FINSPÅNG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9554-2022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44617</v>
      </c>
      <c r="E543" s="1" t="n">
        <v>46232</v>
      </c>
      <c r="F543" t="inlineStr">
        <is>
          <t>ÖSTERGÖTLANDS LÄN</t>
        </is>
      </c>
      <c r="G543" t="inlineStr">
        <is>
          <t>FINSPÅNG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46097</v>
      </c>
      <c r="E544" s="1" t="n">
        <v>46232</v>
      </c>
      <c r="F544" t="inlineStr">
        <is>
          <t>ÖSTERGÖTLANDS LÄN</t>
        </is>
      </c>
      <c r="G544" t="inlineStr">
        <is>
          <t>FINSPÅNG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45042</v>
      </c>
      <c r="E545" s="1" t="n">
        <v>46232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44937</v>
      </c>
      <c r="E546" s="1" t="n">
        <v>46232</v>
      </c>
      <c r="F546" t="inlineStr">
        <is>
          <t>ÖSTERGÖTLANDS LÄN</t>
        </is>
      </c>
      <c r="G546" t="inlineStr">
        <is>
          <t>FINSPÅNG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8438-2025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45709</v>
      </c>
      <c r="E547" s="1" t="n">
        <v>46232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44993</v>
      </c>
      <c r="E548" s="1" t="n">
        <v>46232</v>
      </c>
      <c r="F548" t="inlineStr">
        <is>
          <t>ÖSTERGÖTLANDS LÄN</t>
        </is>
      </c>
      <c r="G548" t="inlineStr">
        <is>
          <t>FINSPÅNG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45095</v>
      </c>
      <c r="E549" s="1" t="n">
        <v>46232</v>
      </c>
      <c r="F549" t="inlineStr">
        <is>
          <t>ÖSTERGÖTLANDS LÄN</t>
        </is>
      </c>
      <c r="G549" t="inlineStr">
        <is>
          <t>FINSPÅNG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46099</v>
      </c>
      <c r="E550" s="1" t="n">
        <v>46232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14078-2026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46232</v>
      </c>
      <c r="F551" t="inlineStr">
        <is>
          <t>ÖSTERGÖTLANDS LÄN</t>
        </is>
      </c>
      <c r="G551" t="inlineStr">
        <is>
          <t>FINSPÅNG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46099</v>
      </c>
      <c r="E552" s="1" t="n">
        <v>46232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46232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Sveaskog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44564</v>
      </c>
      <c r="E554" s="1" t="n">
        <v>46232</v>
      </c>
      <c r="F554" t="inlineStr">
        <is>
          <t>ÖSTERGÖTLANDS LÄN</t>
        </is>
      </c>
      <c r="G554" t="inlineStr">
        <is>
          <t>FINSPÅNG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46232</v>
      </c>
      <c r="F555" t="inlineStr">
        <is>
          <t>ÖSTERGÖTLANDS LÄN</t>
        </is>
      </c>
      <c r="G555" t="inlineStr">
        <is>
          <t>FINSPÅNG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46232</v>
      </c>
      <c r="F556" t="inlineStr">
        <is>
          <t>ÖSTERGÖTLANDS LÄN</t>
        </is>
      </c>
      <c r="G556" t="inlineStr">
        <is>
          <t>FINSPÅNG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52008-2024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45607</v>
      </c>
      <c r="E557" s="1" t="n">
        <v>46232</v>
      </c>
      <c r="F557" t="inlineStr">
        <is>
          <t>ÖSTERGÖTLANDS LÄN</t>
        </is>
      </c>
      <c r="G557" t="inlineStr">
        <is>
          <t>FINSPÅNG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52557-2024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45609</v>
      </c>
      <c r="E558" s="1" t="n">
        <v>46232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45665</v>
      </c>
      <c r="E559" s="1" t="n">
        <v>46232</v>
      </c>
      <c r="F559" t="inlineStr">
        <is>
          <t>ÖSTERGÖTLANDS LÄN</t>
        </is>
      </c>
      <c r="G559" t="inlineStr">
        <is>
          <t>FINSPÅNG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39415-2024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45551</v>
      </c>
      <c r="E560" s="1" t="n">
        <v>46232</v>
      </c>
      <c r="F560" t="inlineStr">
        <is>
          <t>ÖSTERGÖTLANDS LÄN</t>
        </is>
      </c>
      <c r="G560" t="inlineStr">
        <is>
          <t>FINSPÅNG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31323-2022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44774</v>
      </c>
      <c r="E561" s="1" t="n">
        <v>46232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45744</v>
      </c>
      <c r="E562" s="1" t="n">
        <v>46232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Naturvårdsverket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14560-2023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45013</v>
      </c>
      <c r="E563" s="1" t="n">
        <v>46232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15490-2026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46232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45688</v>
      </c>
      <c r="E565" s="1" t="n">
        <v>46232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19263-2024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45428</v>
      </c>
      <c r="E566" s="1" t="n">
        <v>46232</v>
      </c>
      <c r="F566" t="inlineStr">
        <is>
          <t>ÖSTERGÖTLANDS LÄN</t>
        </is>
      </c>
      <c r="G566" t="inlineStr">
        <is>
          <t>FINSPÅNG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15097-2025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46232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40544-2021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44420</v>
      </c>
      <c r="E568" s="1" t="n">
        <v>46232</v>
      </c>
      <c r="F568" t="inlineStr">
        <is>
          <t>ÖSTERGÖTLANDS LÄN</t>
        </is>
      </c>
      <c r="G568" t="inlineStr">
        <is>
          <t>FINSPÅNG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45077</v>
      </c>
      <c r="E569" s="1" t="n">
        <v>46232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46232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Kyrkan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21907-2023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45068</v>
      </c>
      <c r="E571" s="1" t="n">
        <v>46232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50811-2022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44867</v>
      </c>
      <c r="E572" s="1" t="n">
        <v>46232</v>
      </c>
      <c r="F572" t="inlineStr">
        <is>
          <t>ÖSTERGÖTLANDS LÄN</t>
        </is>
      </c>
      <c r="G572" t="inlineStr">
        <is>
          <t>FINSPÅNG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16355-2026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46232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44886</v>
      </c>
      <c r="E574" s="1" t="n">
        <v>46232</v>
      </c>
      <c r="F574" t="inlineStr">
        <is>
          <t>ÖSTERGÖTLANDS LÄN</t>
        </is>
      </c>
      <c r="G574" t="inlineStr">
        <is>
          <t>FINSPÅNG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46232</v>
      </c>
      <c r="F575" t="inlineStr">
        <is>
          <t>ÖSTERGÖTLANDS LÄN</t>
        </is>
      </c>
      <c r="G575" t="inlineStr">
        <is>
          <t>FINSPÅNG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45636</v>
      </c>
      <c r="E576" s="1" t="n">
        <v>46232</v>
      </c>
      <c r="F576" t="inlineStr">
        <is>
          <t>ÖSTERGÖTLANDS LÄN</t>
        </is>
      </c>
      <c r="G576" t="inlineStr">
        <is>
          <t>FINSPÅNG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17068-2026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46114</v>
      </c>
      <c r="E577" s="1" t="n">
        <v>46232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16996-2026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46232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17008-2026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46114</v>
      </c>
      <c r="E579" s="1" t="n">
        <v>46232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46113</v>
      </c>
      <c r="E580" s="1" t="n">
        <v>46232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11839-2025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46232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64408-2023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45280</v>
      </c>
      <c r="E582" s="1" t="n">
        <v>46232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13.6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46232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52730-2023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45225</v>
      </c>
      <c r="E584" s="1" t="n">
        <v>46232</v>
      </c>
      <c r="F584" t="inlineStr">
        <is>
          <t>ÖSTERGÖTLANDS LÄN</t>
        </is>
      </c>
      <c r="G584" t="inlineStr">
        <is>
          <t>FINSPÅNG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46121</v>
      </c>
      <c r="E585" s="1" t="n">
        <v>46232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46232</v>
      </c>
      <c r="F586" t="inlineStr">
        <is>
          <t>ÖSTERGÖTLANDS LÄN</t>
        </is>
      </c>
      <c r="G586" t="inlineStr">
        <is>
          <t>FINSPÅNG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44987</v>
      </c>
      <c r="E587" s="1" t="n">
        <v>46232</v>
      </c>
      <c r="F587" t="inlineStr">
        <is>
          <t>ÖSTERGÖTLANDS LÄN</t>
        </is>
      </c>
      <c r="G587" t="inlineStr">
        <is>
          <t>FINSPÅNG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45082</v>
      </c>
      <c r="E588" s="1" t="n">
        <v>46232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42651-2024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45566</v>
      </c>
      <c r="E589" s="1" t="n">
        <v>46232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42106-2023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45177</v>
      </c>
      <c r="E590" s="1" t="n">
        <v>46232</v>
      </c>
      <c r="F590" t="inlineStr">
        <is>
          <t>ÖSTERGÖTLANDS LÄN</t>
        </is>
      </c>
      <c r="G590" t="inlineStr">
        <is>
          <t>FINSPÅNG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18086-2026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46232</v>
      </c>
      <c r="F591" t="inlineStr">
        <is>
          <t>ÖSTERGÖTLANDS LÄN</t>
        </is>
      </c>
      <c r="G591" t="inlineStr">
        <is>
          <t>FINSPÅNG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44995</v>
      </c>
      <c r="E592" s="1" t="n">
        <v>46232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35598-2023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45147</v>
      </c>
      <c r="E593" s="1" t="n">
        <v>46232</v>
      </c>
      <c r="F593" t="inlineStr">
        <is>
          <t>ÖSTERGÖTLANDS LÄN</t>
        </is>
      </c>
      <c r="G593" t="inlineStr">
        <is>
          <t>FINSPÅNG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46232</v>
      </c>
      <c r="F594" t="inlineStr">
        <is>
          <t>ÖSTERGÖTLANDS LÄN</t>
        </is>
      </c>
      <c r="G594" t="inlineStr">
        <is>
          <t>FINSPÅNG</t>
        </is>
      </c>
      <c r="I594" t="n">
        <v>8.5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46232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53572-2023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45230</v>
      </c>
      <c r="E596" s="1" t="n">
        <v>46232</v>
      </c>
      <c r="F596" t="inlineStr">
        <is>
          <t>ÖSTERGÖTLANDS LÄN</t>
        </is>
      </c>
      <c r="G596" t="inlineStr">
        <is>
          <t>FINSPÅNG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45040</v>
      </c>
      <c r="E597" s="1" t="n">
        <v>46232</v>
      </c>
      <c r="F597" t="inlineStr">
        <is>
          <t>ÖSTERGÖTLANDS LÄN</t>
        </is>
      </c>
      <c r="G597" t="inlineStr">
        <is>
          <t>FINSPÅNG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46232</v>
      </c>
      <c r="F598" t="inlineStr">
        <is>
          <t>ÖSTERGÖTLANDS LÄN</t>
        </is>
      </c>
      <c r="G598" t="inlineStr">
        <is>
          <t>FINSPÅNG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53246-2022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44876</v>
      </c>
      <c r="E599" s="1" t="n">
        <v>46232</v>
      </c>
      <c r="F599" t="inlineStr">
        <is>
          <t>ÖSTERGÖTLANDS LÄN</t>
        </is>
      </c>
      <c r="G599" t="inlineStr">
        <is>
          <t>FINSPÅNG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42202-2023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45179</v>
      </c>
      <c r="E600" s="1" t="n">
        <v>46232</v>
      </c>
      <c r="F600" t="inlineStr">
        <is>
          <t>ÖSTERGÖTLANDS LÄN</t>
        </is>
      </c>
      <c r="G600" t="inlineStr">
        <is>
          <t>FINSPÅNG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42205-2023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45179</v>
      </c>
      <c r="E601" s="1" t="n">
        <v>46232</v>
      </c>
      <c r="F601" t="inlineStr">
        <is>
          <t>ÖSTERGÖTLANDS LÄN</t>
        </is>
      </c>
      <c r="G601" t="inlineStr">
        <is>
          <t>FINSPÅNG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8403-2025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45709</v>
      </c>
      <c r="E602" s="1" t="n">
        <v>46232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45309</v>
      </c>
      <c r="E603" s="1" t="n">
        <v>46232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45309</v>
      </c>
      <c r="E604" s="1" t="n">
        <v>46232</v>
      </c>
      <c r="F604" t="inlineStr">
        <is>
          <t>ÖSTERGÖTLANDS LÄN</t>
        </is>
      </c>
      <c r="G604" t="inlineStr">
        <is>
          <t>FINSPÅNG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2164-2024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45309</v>
      </c>
      <c r="E605" s="1" t="n">
        <v>46232</v>
      </c>
      <c r="F605" t="inlineStr">
        <is>
          <t>ÖSTERGÖTLANDS LÄN</t>
        </is>
      </c>
      <c r="G605" t="inlineStr">
        <is>
          <t>FINSPÅNG</t>
        </is>
      </c>
      <c r="I605" t="n">
        <v>15.1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7826-2025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45706</v>
      </c>
      <c r="E606" s="1" t="n">
        <v>46232</v>
      </c>
      <c r="F606" t="inlineStr">
        <is>
          <t>ÖSTERGÖTLANDS LÄN</t>
        </is>
      </c>
      <c r="G606" t="inlineStr">
        <is>
          <t>FINSPÅNG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44949</v>
      </c>
      <c r="E607" s="1" t="n">
        <v>46232</v>
      </c>
      <c r="F607" t="inlineStr">
        <is>
          <t>ÖSTERGÖTLANDS LÄN</t>
        </is>
      </c>
      <c r="G607" t="inlineStr">
        <is>
          <t>FINSPÅNG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4083-2024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45323</v>
      </c>
      <c r="E608" s="1" t="n">
        <v>46232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7825-2025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45706</v>
      </c>
      <c r="E609" s="1" t="n">
        <v>46232</v>
      </c>
      <c r="F609" t="inlineStr">
        <is>
          <t>ÖSTERGÖTLANDS LÄN</t>
        </is>
      </c>
      <c r="G609" t="inlineStr">
        <is>
          <t>FINSPÅNG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46232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44981</v>
      </c>
      <c r="E611" s="1" t="n">
        <v>46232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46232</v>
      </c>
      <c r="F612" t="inlineStr">
        <is>
          <t>ÖSTERGÖTLANDS LÄN</t>
        </is>
      </c>
      <c r="G612" t="inlineStr">
        <is>
          <t>FINSPÅNG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611-2023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44930</v>
      </c>
      <c r="E613" s="1" t="n">
        <v>46232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45086</v>
      </c>
      <c r="E614" s="1" t="n">
        <v>46232</v>
      </c>
      <c r="F614" t="inlineStr">
        <is>
          <t>ÖSTERGÖTLANDS LÄN</t>
        </is>
      </c>
      <c r="G614" t="inlineStr">
        <is>
          <t>FINSPÅNG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46232</v>
      </c>
      <c r="F615" t="inlineStr">
        <is>
          <t>ÖSTERGÖTLANDS LÄN</t>
        </is>
      </c>
      <c r="G615" t="inlineStr">
        <is>
          <t>FINSPÅNG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21722-2025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46232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25184-2023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45086</v>
      </c>
      <c r="E617" s="1" t="n">
        <v>46232</v>
      </c>
      <c r="F617" t="inlineStr">
        <is>
          <t>ÖSTERGÖTLANDS LÄN</t>
        </is>
      </c>
      <c r="G617" t="inlineStr">
        <is>
          <t>FINSPÅNG</t>
        </is>
      </c>
      <c r="I617" t="n">
        <v>10.1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45042</v>
      </c>
      <c r="E618" s="1" t="n">
        <v>46232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18494-2023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45042</v>
      </c>
      <c r="E619" s="1" t="n">
        <v>46232</v>
      </c>
      <c r="F619" t="inlineStr">
        <is>
          <t>ÖSTERGÖTLANDS LÄN</t>
        </is>
      </c>
      <c r="G619" t="inlineStr">
        <is>
          <t>FINSPÅNG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44939</v>
      </c>
      <c r="E620" s="1" t="n">
        <v>46232</v>
      </c>
      <c r="F620" t="inlineStr">
        <is>
          <t>ÖSTERGÖTLANDS LÄN</t>
        </is>
      </c>
      <c r="G620" t="inlineStr">
        <is>
          <t>FINSPÅNG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52004-2024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45607</v>
      </c>
      <c r="E621" s="1" t="n">
        <v>46232</v>
      </c>
      <c r="F621" t="inlineStr">
        <is>
          <t>ÖSTERGÖTLANDS LÄN</t>
        </is>
      </c>
      <c r="G621" t="inlineStr">
        <is>
          <t>FINSPÅNG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10083-2025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45719</v>
      </c>
      <c r="E622" s="1" t="n">
        <v>46232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25420-2022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44732</v>
      </c>
      <c r="E623" s="1" t="n">
        <v>46232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18585-2024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45425</v>
      </c>
      <c r="E624" s="1" t="n">
        <v>46232</v>
      </c>
      <c r="F624" t="inlineStr">
        <is>
          <t>ÖSTERGÖTLANDS LÄN</t>
        </is>
      </c>
      <c r="G624" t="inlineStr">
        <is>
          <t>FINSPÅNG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42111-2023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45177</v>
      </c>
      <c r="E625" s="1" t="n">
        <v>46232</v>
      </c>
      <c r="F625" t="inlineStr">
        <is>
          <t>ÖSTERGÖTLANDS LÄN</t>
        </is>
      </c>
      <c r="G625" t="inlineStr">
        <is>
          <t>FINSPÅNG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45302</v>
      </c>
      <c r="E626" s="1" t="n">
        <v>46232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45678</v>
      </c>
      <c r="E627" s="1" t="n">
        <v>46232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55624-2024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45622</v>
      </c>
      <c r="E628" s="1" t="n">
        <v>46232</v>
      </c>
      <c r="F628" t="inlineStr">
        <is>
          <t>ÖSTERGÖTLANDS LÄN</t>
        </is>
      </c>
      <c r="G628" t="inlineStr">
        <is>
          <t>FINSPÅNG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55052-2023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45237</v>
      </c>
      <c r="E629" s="1" t="n">
        <v>46232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Kyrkan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12814-2022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44642</v>
      </c>
      <c r="E630" s="1" t="n">
        <v>46232</v>
      </c>
      <c r="F630" t="inlineStr">
        <is>
          <t>ÖSTERGÖTLANDS LÄN</t>
        </is>
      </c>
      <c r="G630" t="inlineStr">
        <is>
          <t>FINSPÅNG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31180-2025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45832</v>
      </c>
      <c r="E631" s="1" t="n">
        <v>46232</v>
      </c>
      <c r="F631" t="inlineStr">
        <is>
          <t>ÖSTERGÖTLANDS LÄN</t>
        </is>
      </c>
      <c r="G631" t="inlineStr">
        <is>
          <t>FINSPÅNG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19609-2025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45770</v>
      </c>
      <c r="E632" s="1" t="n">
        <v>46232</v>
      </c>
      <c r="F632" t="inlineStr">
        <is>
          <t>ÖSTERGÖTLANDS LÄN</t>
        </is>
      </c>
      <c r="G632" t="inlineStr">
        <is>
          <t>FINSPÅNG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45456</v>
      </c>
      <c r="E633" s="1" t="n">
        <v>46232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29078-2022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44749</v>
      </c>
      <c r="E634" s="1" t="n">
        <v>46232</v>
      </c>
      <c r="F634" t="inlineStr">
        <is>
          <t>ÖSTERGÖTLANDS LÄN</t>
        </is>
      </c>
      <c r="G634" t="inlineStr">
        <is>
          <t>FINSPÅNG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45082</v>
      </c>
      <c r="E635" s="1" t="n">
        <v>46232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45516</v>
      </c>
      <c r="E636" s="1" t="n">
        <v>46232</v>
      </c>
      <c r="F636" t="inlineStr">
        <is>
          <t>ÖSTERGÖTLANDS LÄN</t>
        </is>
      </c>
      <c r="G636" t="inlineStr">
        <is>
          <t>FINSPÅNG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24513-2023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45082</v>
      </c>
      <c r="E637" s="1" t="n">
        <v>46232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39740-2023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45167</v>
      </c>
      <c r="E638" s="1" t="n">
        <v>46232</v>
      </c>
      <c r="F638" t="inlineStr">
        <is>
          <t>ÖSTERGÖTLANDS LÄN</t>
        </is>
      </c>
      <c r="G638" t="inlineStr">
        <is>
          <t>FINSPÅNG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43950-2025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45915</v>
      </c>
      <c r="E639" s="1" t="n">
        <v>46232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44930</v>
      </c>
      <c r="E640" s="1" t="n">
        <v>46232</v>
      </c>
      <c r="F640" t="inlineStr">
        <is>
          <t>ÖSTERGÖTLANDS LÄN</t>
        </is>
      </c>
      <c r="G640" t="inlineStr">
        <is>
          <t>FINSPÅNG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33027-2022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44782</v>
      </c>
      <c r="E641" s="1" t="n">
        <v>46232</v>
      </c>
      <c r="F641" t="inlineStr">
        <is>
          <t>ÖSTERGÖTLANDS LÄN</t>
        </is>
      </c>
      <c r="G641" t="inlineStr">
        <is>
          <t>FINSPÅNG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46232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46232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42779-2023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46232</v>
      </c>
      <c r="F644" t="inlineStr">
        <is>
          <t>ÖSTERGÖTLANDS LÄN</t>
        </is>
      </c>
      <c r="G644" t="inlineStr">
        <is>
          <t>FINSPÅNG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46232</v>
      </c>
      <c r="F645" t="inlineStr">
        <is>
          <t>ÖSTERGÖTLANDS LÄN</t>
        </is>
      </c>
      <c r="G645" t="inlineStr">
        <is>
          <t>FINSPÅNG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41932-2021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44425</v>
      </c>
      <c r="E646" s="1" t="n">
        <v>46232</v>
      </c>
      <c r="F646" t="inlineStr">
        <is>
          <t>ÖSTERGÖTLANDS LÄN</t>
        </is>
      </c>
      <c r="G646" t="inlineStr">
        <is>
          <t>FINSPÅNG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29630-2022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44754</v>
      </c>
      <c r="E647" s="1" t="n">
        <v>46232</v>
      </c>
      <c r="F647" t="inlineStr">
        <is>
          <t>ÖSTERGÖTLANDS LÄN</t>
        </is>
      </c>
      <c r="G647" t="inlineStr">
        <is>
          <t>FINSPÅNG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41513-2024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45560</v>
      </c>
      <c r="E648" s="1" t="n">
        <v>46232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18261-2024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45421</v>
      </c>
      <c r="E649" s="1" t="n">
        <v>46232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45692</v>
      </c>
      <c r="E650" s="1" t="n">
        <v>46232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39467-2024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46232</v>
      </c>
      <c r="F651" t="inlineStr">
        <is>
          <t>ÖSTERGÖTLANDS LÄN</t>
        </is>
      </c>
      <c r="G651" t="inlineStr">
        <is>
          <t>FINSPÅNG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35278-2025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45853</v>
      </c>
      <c r="E652" s="1" t="n">
        <v>46232</v>
      </c>
      <c r="F652" t="inlineStr">
        <is>
          <t>ÖSTERGÖTLANDS LÄN</t>
        </is>
      </c>
      <c r="G652" t="inlineStr">
        <is>
          <t>FINSPÅNG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35346-2024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45530</v>
      </c>
      <c r="E653" s="1" t="n">
        <v>46232</v>
      </c>
      <c r="F653" t="inlineStr">
        <is>
          <t>ÖSTERGÖTLANDS LÄN</t>
        </is>
      </c>
      <c r="G653" t="inlineStr">
        <is>
          <t>FINSPÅNG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46232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Sveaskog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10184-2023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44986</v>
      </c>
      <c r="E655" s="1" t="n">
        <v>46232</v>
      </c>
      <c r="F655" t="inlineStr">
        <is>
          <t>ÖSTERGÖTLANDS LÄN</t>
        </is>
      </c>
      <c r="G655" t="inlineStr">
        <is>
          <t>FINSPÅNG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31176-2022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44770</v>
      </c>
      <c r="E656" s="1" t="n">
        <v>46232</v>
      </c>
      <c r="F656" t="inlineStr">
        <is>
          <t>ÖSTERGÖTLANDS LÄN</t>
        </is>
      </c>
      <c r="G656" t="inlineStr">
        <is>
          <t>FINSPÅNG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42785-2024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45566</v>
      </c>
      <c r="E657" s="1" t="n">
        <v>46232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45302</v>
      </c>
      <c r="E658" s="1" t="n">
        <v>46232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50510-2024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45601</v>
      </c>
      <c r="E659" s="1" t="n">
        <v>46232</v>
      </c>
      <c r="F659" t="inlineStr">
        <is>
          <t>ÖSTERGÖTLANDS LÄN</t>
        </is>
      </c>
      <c r="G659" t="inlineStr">
        <is>
          <t>FINSPÅNG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8700-2025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45712</v>
      </c>
      <c r="E660" s="1" t="n">
        <v>46232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46141</v>
      </c>
      <c r="E661" s="1" t="n">
        <v>46232</v>
      </c>
      <c r="F661" t="inlineStr">
        <is>
          <t>ÖSTERGÖTLANDS LÄN</t>
        </is>
      </c>
      <c r="G661" t="inlineStr">
        <is>
          <t>FINSPÅNG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44678</v>
      </c>
      <c r="E662" s="1" t="n">
        <v>46232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12216-2022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44637</v>
      </c>
      <c r="E663" s="1" t="n">
        <v>46232</v>
      </c>
      <c r="F663" t="inlineStr">
        <is>
          <t>ÖSTERGÖTLANDS LÄN</t>
        </is>
      </c>
      <c r="G663" t="inlineStr">
        <is>
          <t>FINSPÅNG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64103-2023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46232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52561-2024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46232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20819-2026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46141</v>
      </c>
      <c r="E666" s="1" t="n">
        <v>46232</v>
      </c>
      <c r="F666" t="inlineStr">
        <is>
          <t>ÖSTERGÖTLANDS LÄN</t>
        </is>
      </c>
      <c r="G666" t="inlineStr">
        <is>
          <t>FINSPÅNG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22437-2023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45070</v>
      </c>
      <c r="E667" s="1" t="n">
        <v>46232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7743-2023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44973</v>
      </c>
      <c r="E668" s="1" t="n">
        <v>46232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56425-2022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44891</v>
      </c>
      <c r="E669" s="1" t="n">
        <v>46232</v>
      </c>
      <c r="F669" t="inlineStr">
        <is>
          <t>ÖSTERGÖTLANDS LÄN</t>
        </is>
      </c>
      <c r="G669" t="inlineStr">
        <is>
          <t>FINSPÅNG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45616</v>
      </c>
      <c r="E670" s="1" t="n">
        <v>46232</v>
      </c>
      <c r="F670" t="inlineStr">
        <is>
          <t>ÖSTERGÖTLANDS LÄN</t>
        </is>
      </c>
      <c r="G670" t="inlineStr">
        <is>
          <t>FINSPÅNG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44949</v>
      </c>
      <c r="E671" s="1" t="n">
        <v>46232</v>
      </c>
      <c r="F671" t="inlineStr">
        <is>
          <t>ÖSTERGÖTLANDS LÄN</t>
        </is>
      </c>
      <c r="G671" t="inlineStr">
        <is>
          <t>FINSPÅNG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6735-2023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44966</v>
      </c>
      <c r="E672" s="1" t="n">
        <v>46232</v>
      </c>
      <c r="F672" t="inlineStr">
        <is>
          <t>ÖSTERGÖTLANDS LÄN</t>
        </is>
      </c>
      <c r="G672" t="inlineStr">
        <is>
          <t>FINSPÅNG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44953</v>
      </c>
      <c r="E673" s="1" t="n">
        <v>46232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40319-2022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44823</v>
      </c>
      <c r="E674" s="1" t="n">
        <v>46232</v>
      </c>
      <c r="F674" t="inlineStr">
        <is>
          <t>ÖSTERGÖTLANDS LÄN</t>
        </is>
      </c>
      <c r="G674" t="inlineStr">
        <is>
          <t>FINSPÅNG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45202</v>
      </c>
      <c r="E675" s="1" t="n">
        <v>46232</v>
      </c>
      <c r="F675" t="inlineStr">
        <is>
          <t>ÖSTERGÖTLANDS LÄN</t>
        </is>
      </c>
      <c r="G675" t="inlineStr">
        <is>
          <t>FINSPÅNG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12483-2024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46232</v>
      </c>
      <c r="F676" t="inlineStr">
        <is>
          <t>ÖSTERGÖTLANDS LÄN</t>
        </is>
      </c>
      <c r="G676" t="inlineStr">
        <is>
          <t>FINSPÅNG</t>
        </is>
      </c>
      <c r="I676" t="n">
        <v>11.9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19160-2024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45428</v>
      </c>
      <c r="E677" s="1" t="n">
        <v>46232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43534-2023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45184</v>
      </c>
      <c r="E678" s="1" t="n">
        <v>46232</v>
      </c>
      <c r="F678" t="inlineStr">
        <is>
          <t>ÖSTERGÖTLANDS LÄN</t>
        </is>
      </c>
      <c r="G678" t="inlineStr">
        <is>
          <t>FINSPÅNG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57678-2025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45980</v>
      </c>
      <c r="E679" s="1" t="n">
        <v>46232</v>
      </c>
      <c r="F679" t="inlineStr">
        <is>
          <t>ÖSTERGÖTLANDS LÄN</t>
        </is>
      </c>
      <c r="G679" t="inlineStr">
        <is>
          <t>FINSPÅNG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41328-2023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46232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Kyrkan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45770</v>
      </c>
      <c r="E681" s="1" t="n">
        <v>46232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54727-2023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45236</v>
      </c>
      <c r="E682" s="1" t="n">
        <v>46232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54730-2023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45236</v>
      </c>
      <c r="E683" s="1" t="n">
        <v>46232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9003-2024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45357</v>
      </c>
      <c r="E684" s="1" t="n">
        <v>46232</v>
      </c>
      <c r="F684" t="inlineStr">
        <is>
          <t>ÖSTERGÖTLANDS LÄN</t>
        </is>
      </c>
      <c r="G684" t="inlineStr">
        <is>
          <t>FINSPÅNG</t>
        </is>
      </c>
      <c r="I684" t="n">
        <v>7.6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56420-2023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45243</v>
      </c>
      <c r="E685" s="1" t="n">
        <v>46232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46232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Kommuner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15952-2023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45022</v>
      </c>
      <c r="E687" s="1" t="n">
        <v>46232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34119-2025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45845</v>
      </c>
      <c r="E688" s="1" t="n">
        <v>46232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56405-2025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45975</v>
      </c>
      <c r="E689" s="1" t="n">
        <v>46232</v>
      </c>
      <c r="F689" t="inlineStr">
        <is>
          <t>ÖSTERGÖTLANDS LÄN</t>
        </is>
      </c>
      <c r="G689" t="inlineStr">
        <is>
          <t>FINSPÅNG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38964-2022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44816</v>
      </c>
      <c r="E690" s="1" t="n">
        <v>46232</v>
      </c>
      <c r="F690" t="inlineStr">
        <is>
          <t>ÖSTERGÖTLANDS LÄN</t>
        </is>
      </c>
      <c r="G690" t="inlineStr">
        <is>
          <t>FINSPÅNG</t>
        </is>
      </c>
      <c r="I690" t="n">
        <v>7.3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45314</v>
      </c>
      <c r="E691" s="1" t="n">
        <v>46232</v>
      </c>
      <c r="F691" t="inlineStr">
        <is>
          <t>ÖSTERGÖTLANDS LÄN</t>
        </is>
      </c>
      <c r="G691" t="inlineStr">
        <is>
          <t>FINSPÅNG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40194-2022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44820</v>
      </c>
      <c r="E692" s="1" t="n">
        <v>46232</v>
      </c>
      <c r="F692" t="inlineStr">
        <is>
          <t>ÖSTERGÖTLANDS LÄN</t>
        </is>
      </c>
      <c r="G692" t="inlineStr">
        <is>
          <t>FINSPÅNG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36406-2024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45535</v>
      </c>
      <c r="E693" s="1" t="n">
        <v>46232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Kommuner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58367-2023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45250</v>
      </c>
      <c r="E694" s="1" t="n">
        <v>46232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46317-2023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45197</v>
      </c>
      <c r="E695" s="1" t="n">
        <v>46232</v>
      </c>
      <c r="F695" t="inlineStr">
        <is>
          <t>ÖSTERGÖTLANDS LÄN</t>
        </is>
      </c>
      <c r="G695" t="inlineStr">
        <is>
          <t>FINSPÅNG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6731-2023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44966</v>
      </c>
      <c r="E696" s="1" t="n">
        <v>46232</v>
      </c>
      <c r="F696" t="inlineStr">
        <is>
          <t>ÖSTERGÖTLANDS LÄN</t>
        </is>
      </c>
      <c r="G696" t="inlineStr">
        <is>
          <t>FINSPÅNG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36994-2022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44806</v>
      </c>
      <c r="E697" s="1" t="n">
        <v>46232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29018-2026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46199</v>
      </c>
      <c r="E698" s="1" t="n">
        <v>46232</v>
      </c>
      <c r="F698" t="inlineStr">
        <is>
          <t>ÖSTERGÖTLANDS LÄN</t>
        </is>
      </c>
      <c r="G698" t="inlineStr">
        <is>
          <t>FINSPÅNG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45113</v>
      </c>
      <c r="E699" s="1" t="n">
        <v>46232</v>
      </c>
      <c r="F699" t="inlineStr">
        <is>
          <t>ÖSTERGÖTLANDS LÄN</t>
        </is>
      </c>
      <c r="G699" t="inlineStr">
        <is>
          <t>FINSPÅNG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6105-2023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44964</v>
      </c>
      <c r="E700" s="1" t="n">
        <v>46232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10485-2026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46232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Kyrkan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18171-2024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45420</v>
      </c>
      <c r="E702" s="1" t="n">
        <v>46232</v>
      </c>
      <c r="F702" t="inlineStr">
        <is>
          <t>ÖSTERGÖTLANDS LÄN</t>
        </is>
      </c>
      <c r="G702" t="inlineStr">
        <is>
          <t>FINSPÅNG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43318-2022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44834</v>
      </c>
      <c r="E703" s="1" t="n">
        <v>46232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53944-2024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45616</v>
      </c>
      <c r="E704" s="1" t="n">
        <v>46232</v>
      </c>
      <c r="F704" t="inlineStr">
        <is>
          <t>ÖSTERGÖTLANDS LÄN</t>
        </is>
      </c>
      <c r="G704" t="inlineStr">
        <is>
          <t>FINSPÅNG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60038-2023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45258</v>
      </c>
      <c r="E705" s="1" t="n">
        <v>46232</v>
      </c>
      <c r="F705" t="inlineStr">
        <is>
          <t>ÖSTERGÖTLANDS LÄN</t>
        </is>
      </c>
      <c r="G705" t="inlineStr">
        <is>
          <t>FINSPÅNG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50341-2022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44865</v>
      </c>
      <c r="E706" s="1" t="n">
        <v>46232</v>
      </c>
      <c r="F706" t="inlineStr">
        <is>
          <t>ÖSTERGÖTLANDS LÄN</t>
        </is>
      </c>
      <c r="G706" t="inlineStr">
        <is>
          <t>FINSPÅNG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4139-2023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44953</v>
      </c>
      <c r="E707" s="1" t="n">
        <v>46232</v>
      </c>
      <c r="F707" t="inlineStr">
        <is>
          <t>ÖSTERGÖTLANDS LÄN</t>
        </is>
      </c>
      <c r="G707" t="inlineStr">
        <is>
          <t>FINSPÅNG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45179</v>
      </c>
      <c r="E708" s="1" t="n">
        <v>46232</v>
      </c>
      <c r="F708" t="inlineStr">
        <is>
          <t>ÖSTERGÖTLANDS LÄN</t>
        </is>
      </c>
      <c r="G708" t="inlineStr">
        <is>
          <t>FINSPÅNG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54505-2024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45617</v>
      </c>
      <c r="E709" s="1" t="n">
        <v>46232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53610-2022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44879</v>
      </c>
      <c r="E710" s="1" t="n">
        <v>46232</v>
      </c>
      <c r="F710" t="inlineStr">
        <is>
          <t>ÖSTERGÖTLANDS LÄN</t>
        </is>
      </c>
      <c r="G710" t="inlineStr">
        <is>
          <t>FINSPÅNG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46203</v>
      </c>
      <c r="E711" s="1" t="n">
        <v>46232</v>
      </c>
      <c r="F711" t="inlineStr">
        <is>
          <t>ÖSTERGÖTLANDS LÄN</t>
        </is>
      </c>
      <c r="G711" t="inlineStr">
        <is>
          <t>FINSPÅNG</t>
        </is>
      </c>
      <c r="I711" t="n">
        <v>13.3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22938-2026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46160</v>
      </c>
      <c r="E712" s="1" t="n">
        <v>46232</v>
      </c>
      <c r="F712" t="inlineStr">
        <is>
          <t>ÖSTERGÖTLANDS LÄN</t>
        </is>
      </c>
      <c r="G712" t="inlineStr">
        <is>
          <t>FINSPÅNG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8924-2025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45713</v>
      </c>
      <c r="E713" s="1" t="n">
        <v>46232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13378-2025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45735</v>
      </c>
      <c r="E714" s="1" t="n">
        <v>46232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49677-2022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44862</v>
      </c>
      <c r="E715" s="1" t="n">
        <v>46232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9.6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56309-2022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44887</v>
      </c>
      <c r="E716" s="1" t="n">
        <v>46232</v>
      </c>
      <c r="F716" t="inlineStr">
        <is>
          <t>ÖSTERGÖTLANDS LÄN</t>
        </is>
      </c>
      <c r="G716" t="inlineStr">
        <is>
          <t>FINSPÅNG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56264-2022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44887</v>
      </c>
      <c r="E717" s="1" t="n">
        <v>46232</v>
      </c>
      <c r="F717" t="inlineStr">
        <is>
          <t>ÖSTERGÖTLANDS LÄN</t>
        </is>
      </c>
      <c r="G717" t="inlineStr">
        <is>
          <t>FINSPÅNG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18657-2024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45426</v>
      </c>
      <c r="E718" s="1" t="n">
        <v>46232</v>
      </c>
      <c r="F718" t="inlineStr">
        <is>
          <t>ÖSTERGÖTLANDS LÄN</t>
        </is>
      </c>
      <c r="G718" t="inlineStr">
        <is>
          <t>FINSPÅNG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9339-2022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44616</v>
      </c>
      <c r="E719" s="1" t="n">
        <v>46232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46232</v>
      </c>
      <c r="F720" t="inlineStr">
        <is>
          <t>ÖSTERGÖTLANDS LÄN</t>
        </is>
      </c>
      <c r="G720" t="inlineStr">
        <is>
          <t>FINSPÅNG</t>
        </is>
      </c>
      <c r="I720" t="n">
        <v>18.6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44949</v>
      </c>
      <c r="E721" s="1" t="n">
        <v>46232</v>
      </c>
      <c r="F721" t="inlineStr">
        <is>
          <t>ÖSTERGÖTLANDS LÄN</t>
        </is>
      </c>
      <c r="G721" t="inlineStr">
        <is>
          <t>FINSPÅNG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11974-2023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44995</v>
      </c>
      <c r="E722" s="1" t="n">
        <v>46232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38613-2022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44813</v>
      </c>
      <c r="E723" s="1" t="n">
        <v>46232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34941-2023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45142</v>
      </c>
      <c r="E724" s="1" t="n">
        <v>46232</v>
      </c>
      <c r="F724" t="inlineStr">
        <is>
          <t>ÖSTERGÖTLANDS LÄN</t>
        </is>
      </c>
      <c r="G724" t="inlineStr">
        <is>
          <t>FINSPÅNG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9635-2025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45715</v>
      </c>
      <c r="E725" s="1" t="n">
        <v>46232</v>
      </c>
      <c r="F725" t="inlineStr">
        <is>
          <t>ÖSTERGÖTLANDS LÄN</t>
        </is>
      </c>
      <c r="G725" t="inlineStr">
        <is>
          <t>FINSPÅNG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14454-2022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44653</v>
      </c>
      <c r="E726" s="1" t="n">
        <v>46232</v>
      </c>
      <c r="F726" t="inlineStr">
        <is>
          <t>ÖSTERGÖTLANDS LÄN</t>
        </is>
      </c>
      <c r="G726" t="inlineStr">
        <is>
          <t>FINSPÅNG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61114-2024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45645</v>
      </c>
      <c r="E727" s="1" t="n">
        <v>46232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48767-2024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45593</v>
      </c>
      <c r="E728" s="1" t="n">
        <v>46232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10420-2023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44987</v>
      </c>
      <c r="E729" s="1" t="n">
        <v>46232</v>
      </c>
      <c r="F729" t="inlineStr">
        <is>
          <t>ÖSTERGÖTLANDS LÄN</t>
        </is>
      </c>
      <c r="G729" t="inlineStr">
        <is>
          <t>FINSPÅNG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30633-2026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46211</v>
      </c>
      <c r="E730" s="1" t="n">
        <v>46232</v>
      </c>
      <c r="F730" t="inlineStr">
        <is>
          <t>ÖSTERGÖTLANDS LÄN</t>
        </is>
      </c>
      <c r="G730" t="inlineStr">
        <is>
          <t>FINSPÅNG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40410-2024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45555</v>
      </c>
      <c r="E731" s="1" t="n">
        <v>46232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45639</v>
      </c>
      <c r="E732" s="1" t="n">
        <v>46232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45314</v>
      </c>
      <c r="E733" s="1" t="n">
        <v>46232</v>
      </c>
      <c r="F733" t="inlineStr">
        <is>
          <t>ÖSTERGÖTLANDS LÄN</t>
        </is>
      </c>
      <c r="G733" t="inlineStr">
        <is>
          <t>FINSPÅNG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22579-2024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45447</v>
      </c>
      <c r="E734" s="1" t="n">
        <v>46232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25195-2022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44729</v>
      </c>
      <c r="E735" s="1" t="n">
        <v>46232</v>
      </c>
      <c r="F735" t="inlineStr">
        <is>
          <t>ÖSTERGÖTLANDS LÄN</t>
        </is>
      </c>
      <c r="G735" t="inlineStr">
        <is>
          <t>FINSPÅNG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45410-2022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44844</v>
      </c>
      <c r="E736" s="1" t="n">
        <v>46232</v>
      </c>
      <c r="F736" t="inlineStr">
        <is>
          <t>ÖSTERGÖTLANDS LÄN</t>
        </is>
      </c>
      <c r="G736" t="inlineStr">
        <is>
          <t>FINSPÅNG</t>
        </is>
      </c>
      <c r="I736" t="n">
        <v>16.6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7788-2023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44973</v>
      </c>
      <c r="E737" s="1" t="n">
        <v>46232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23350-2023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45076</v>
      </c>
      <c r="E738" s="1" t="n">
        <v>46232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27892-2023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45095</v>
      </c>
      <c r="E739" s="1" t="n">
        <v>46232</v>
      </c>
      <c r="F739" t="inlineStr">
        <is>
          <t>ÖSTERGÖTLANDS LÄN</t>
        </is>
      </c>
      <c r="G739" t="inlineStr">
        <is>
          <t>FINSPÅNG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59672-2024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46232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68122-2021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44526</v>
      </c>
      <c r="E741" s="1" t="n">
        <v>46232</v>
      </c>
      <c r="F741" t="inlineStr">
        <is>
          <t>ÖSTERGÖTLANDS LÄN</t>
        </is>
      </c>
      <c r="G741" t="inlineStr">
        <is>
          <t>FINSPÅNG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62158-2022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44922</v>
      </c>
      <c r="E742" s="1" t="n">
        <v>46232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46232</v>
      </c>
      <c r="F743" t="inlineStr">
        <is>
          <t>ÖSTERGÖTLANDS LÄN</t>
        </is>
      </c>
      <c r="G743" t="inlineStr">
        <is>
          <t>FINSPÅNG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34758-2022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44795</v>
      </c>
      <c r="E744" s="1" t="n">
        <v>46232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61076-2023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45260</v>
      </c>
      <c r="E745" s="1" t="n">
        <v>46232</v>
      </c>
      <c r="F745" t="inlineStr">
        <is>
          <t>ÖSTERGÖTLANDS LÄN</t>
        </is>
      </c>
      <c r="G745" t="inlineStr">
        <is>
          <t>FINSPÅNG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59468-2021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44491</v>
      </c>
      <c r="E746" s="1" t="n">
        <v>46232</v>
      </c>
      <c r="F746" t="inlineStr">
        <is>
          <t>ÖSTERGÖTLANDS LÄN</t>
        </is>
      </c>
      <c r="G746" t="inlineStr">
        <is>
          <t>FINSPÅNG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18306-2023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45041</v>
      </c>
      <c r="E747" s="1" t="n">
        <v>46232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59838-2023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45257</v>
      </c>
      <c r="E748" s="1" t="n">
        <v>46232</v>
      </c>
      <c r="F748" t="inlineStr">
        <is>
          <t>ÖSTERGÖTLANDS LÄN</t>
        </is>
      </c>
      <c r="G748" t="inlineStr">
        <is>
          <t>FINSPÅNG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24833-2026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46174</v>
      </c>
      <c r="E749" s="1" t="n">
        <v>46232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Sveaskog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24835-2026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46174</v>
      </c>
      <c r="E750" s="1" t="n">
        <v>46232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Sveaskog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51610-2022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44871</v>
      </c>
      <c r="E751" s="1" t="n">
        <v>46232</v>
      </c>
      <c r="F751" t="inlineStr">
        <is>
          <t>ÖSTERGÖTLANDS LÄN</t>
        </is>
      </c>
      <c r="G751" t="inlineStr">
        <is>
          <t>FINSPÅNG</t>
        </is>
      </c>
      <c r="I751" t="n">
        <v>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13826-2024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45391</v>
      </c>
      <c r="E752" s="1" t="n">
        <v>46232</v>
      </c>
      <c r="F752" t="inlineStr">
        <is>
          <t>ÖSTERGÖTLANDS LÄN</t>
        </is>
      </c>
      <c r="G752" t="inlineStr">
        <is>
          <t>FINSPÅNG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5336-2025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45692</v>
      </c>
      <c r="E753" s="1" t="n">
        <v>46232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22354-2023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45070</v>
      </c>
      <c r="E754" s="1" t="n">
        <v>46232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47224-2023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45202</v>
      </c>
      <c r="E755" s="1" t="n">
        <v>46232</v>
      </c>
      <c r="F755" t="inlineStr">
        <is>
          <t>ÖSTERGÖTLANDS LÄN</t>
        </is>
      </c>
      <c r="G755" t="inlineStr">
        <is>
          <t>FINSPÅNG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6527-2023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44966</v>
      </c>
      <c r="E756" s="1" t="n">
        <v>46232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31151-2026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46209</v>
      </c>
      <c r="E757" s="1" t="n">
        <v>46232</v>
      </c>
      <c r="F757" t="inlineStr">
        <is>
          <t>ÖSTERGÖTLANDS LÄN</t>
        </is>
      </c>
      <c r="G757" t="inlineStr">
        <is>
          <t>FINSPÅNG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4071-2024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45323</v>
      </c>
      <c r="E758" s="1" t="n">
        <v>46232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31147-2026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46209</v>
      </c>
      <c r="E759" s="1" t="n">
        <v>46232</v>
      </c>
      <c r="F759" t="inlineStr">
        <is>
          <t>ÖSTERGÖTLANDS LÄN</t>
        </is>
      </c>
      <c r="G759" t="inlineStr">
        <is>
          <t>FINSPÅNG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46232</v>
      </c>
      <c r="F760" t="inlineStr">
        <is>
          <t>ÖSTERGÖTLANDS LÄN</t>
        </is>
      </c>
      <c r="G760" t="inlineStr">
        <is>
          <t>FINSPÅNG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6575-2024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45341</v>
      </c>
      <c r="E761" s="1" t="n">
        <v>46232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31300-2026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46218</v>
      </c>
      <c r="E762" s="1" t="n">
        <v>46232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Sveaskog</t>
        </is>
      </c>
      <c r="I762" t="n">
        <v>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73260-2021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44550</v>
      </c>
      <c r="E763" s="1" t="n">
        <v>46232</v>
      </c>
      <c r="F763" t="inlineStr">
        <is>
          <t>ÖSTERGÖTLANDS LÄN</t>
        </is>
      </c>
      <c r="G763" t="inlineStr">
        <is>
          <t>FINSPÅNG</t>
        </is>
      </c>
      <c r="I763" t="n">
        <v>10.3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42705-2024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45566</v>
      </c>
      <c r="E764" s="1" t="n">
        <v>46232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45566</v>
      </c>
      <c r="E765" s="1" t="n">
        <v>46232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55612-2021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44476</v>
      </c>
      <c r="E766" s="1" t="n">
        <v>46232</v>
      </c>
      <c r="F766" t="inlineStr">
        <is>
          <t>ÖSTERGÖTLANDS LÄN</t>
        </is>
      </c>
      <c r="G766" t="inlineStr">
        <is>
          <t>FINSPÅNG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31307-2026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46219</v>
      </c>
      <c r="E767" s="1" t="n">
        <v>46232</v>
      </c>
      <c r="F767" t="inlineStr">
        <is>
          <t>ÖSTERGÖTLANDS LÄN</t>
        </is>
      </c>
      <c r="G767" t="inlineStr">
        <is>
          <t>FINSPÅNG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21517-2024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45441</v>
      </c>
      <c r="E768" s="1" t="n">
        <v>46232</v>
      </c>
      <c r="F768" t="inlineStr">
        <is>
          <t>ÖSTERGÖTLANDS LÄN</t>
        </is>
      </c>
      <c r="G768" t="inlineStr">
        <is>
          <t>FINSPÅNG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25860-2026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46176</v>
      </c>
      <c r="E769" s="1" t="n">
        <v>46232</v>
      </c>
      <c r="F769" t="inlineStr">
        <is>
          <t>ÖSTERGÖTLANDS LÄN</t>
        </is>
      </c>
      <c r="G769" t="inlineStr">
        <is>
          <t>FINSPÅNG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11785-2024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45374</v>
      </c>
      <c r="E770" s="1" t="n">
        <v>46232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Kyrkan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13821-2024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45391</v>
      </c>
      <c r="E771" s="1" t="n">
        <v>46232</v>
      </c>
      <c r="F771" t="inlineStr">
        <is>
          <t>ÖSTERGÖTLANDS LÄN</t>
        </is>
      </c>
      <c r="G771" t="inlineStr">
        <is>
          <t>FINSPÅNG</t>
        </is>
      </c>
      <c r="I771" t="n">
        <v>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31301-2026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46218</v>
      </c>
      <c r="E772" s="1" t="n">
        <v>46232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Sveaskog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25844-2026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46176</v>
      </c>
      <c r="E773" s="1" t="n">
        <v>46232</v>
      </c>
      <c r="F773" t="inlineStr">
        <is>
          <t>ÖSTERGÖTLANDS LÄN</t>
        </is>
      </c>
      <c r="G773" t="inlineStr">
        <is>
          <t>FINSPÅNG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25864-2026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46176</v>
      </c>
      <c r="E774" s="1" t="n">
        <v>46232</v>
      </c>
      <c r="F774" t="inlineStr">
        <is>
          <t>ÖSTERGÖTLANDS LÄN</t>
        </is>
      </c>
      <c r="G774" t="inlineStr">
        <is>
          <t>FINSPÅNG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44981</v>
      </c>
      <c r="E775" s="1" t="n">
        <v>46232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17557-2022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46232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Övriga Aktiebolag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45293</v>
      </c>
      <c r="E777" s="1" t="n">
        <v>46232</v>
      </c>
      <c r="F777" t="inlineStr">
        <is>
          <t>ÖSTERGÖTLANDS LÄN</t>
        </is>
      </c>
      <c r="G777" t="inlineStr">
        <is>
          <t>FINSPÅNG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40296-2024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45554</v>
      </c>
      <c r="E778" s="1" t="n">
        <v>46232</v>
      </c>
      <c r="F778" t="inlineStr">
        <is>
          <t>ÖSTERGÖTLANDS LÄN</t>
        </is>
      </c>
      <c r="G778" t="inlineStr">
        <is>
          <t>FINSPÅNG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49904-2023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45214</v>
      </c>
      <c r="E779" s="1" t="n">
        <v>46232</v>
      </c>
      <c r="F779" t="inlineStr">
        <is>
          <t>ÖSTERGÖTLANDS LÄN</t>
        </is>
      </c>
      <c r="G779" t="inlineStr">
        <is>
          <t>FINSPÅNG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32431-2023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45110</v>
      </c>
      <c r="E780" s="1" t="n">
        <v>46232</v>
      </c>
      <c r="F780" t="inlineStr">
        <is>
          <t>ÖSTERGÖTLANDS LÄN</t>
        </is>
      </c>
      <c r="G780" t="inlineStr">
        <is>
          <t>FINSPÅNG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45660</v>
      </c>
      <c r="E781" s="1" t="n">
        <v>46232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Övriga Aktiebolag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46232</v>
      </c>
      <c r="F782" t="inlineStr">
        <is>
          <t>ÖSTERGÖTLANDS LÄN</t>
        </is>
      </c>
      <c r="G782" t="inlineStr">
        <is>
          <t>FINSPÅNG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25766-2026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46232</v>
      </c>
      <c r="F783" t="inlineStr">
        <is>
          <t>ÖSTERGÖTLANDS LÄN</t>
        </is>
      </c>
      <c r="G783" t="inlineStr">
        <is>
          <t>FINSPÅNG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25629-2026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46232</v>
      </c>
      <c r="F784" t="inlineStr">
        <is>
          <t>ÖSTERGÖTLANDS LÄN</t>
        </is>
      </c>
      <c r="G784" t="inlineStr">
        <is>
          <t>FINSPÅNG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13375-2025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46232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32795-2024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45516</v>
      </c>
      <c r="E786" s="1" t="n">
        <v>46232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Kommuner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46232</v>
      </c>
      <c r="F787" t="inlineStr">
        <is>
          <t>ÖSTERGÖTLANDS LÄN</t>
        </is>
      </c>
      <c r="G787" t="inlineStr">
        <is>
          <t>FINSPÅNG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6628-2023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44966</v>
      </c>
      <c r="E788" s="1" t="n">
        <v>46232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Övriga Aktiebolag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23821-2023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45078</v>
      </c>
      <c r="E789" s="1" t="n">
        <v>46232</v>
      </c>
      <c r="F789" t="inlineStr">
        <is>
          <t>ÖSTERGÖTLANDS LÄN</t>
        </is>
      </c>
      <c r="G789" t="inlineStr">
        <is>
          <t>FINSPÅNG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31025-2023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45113</v>
      </c>
      <c r="E790" s="1" t="n">
        <v>46232</v>
      </c>
      <c r="F790" t="inlineStr">
        <is>
          <t>ÖSTERGÖTLANDS LÄN</t>
        </is>
      </c>
      <c r="G790" t="inlineStr">
        <is>
          <t>FINSPÅNG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45311-2023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45191</v>
      </c>
      <c r="E791" s="1" t="n">
        <v>46232</v>
      </c>
      <c r="F791" t="inlineStr">
        <is>
          <t>ÖSTERGÖTLANDS LÄN</t>
        </is>
      </c>
      <c r="G791" t="inlineStr">
        <is>
          <t>FINSPÅNG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18488-2025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45763</v>
      </c>
      <c r="E792" s="1" t="n">
        <v>46232</v>
      </c>
      <c r="F792" t="inlineStr">
        <is>
          <t>ÖSTERGÖTLANDS LÄN</t>
        </is>
      </c>
      <c r="G792" t="inlineStr">
        <is>
          <t>FINSPÅNG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73655-2021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44551</v>
      </c>
      <c r="E793" s="1" t="n">
        <v>46232</v>
      </c>
      <c r="F793" t="inlineStr">
        <is>
          <t>ÖSTERGÖTLANDS LÄN</t>
        </is>
      </c>
      <c r="G793" t="inlineStr">
        <is>
          <t>FINSPÅNG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31669-2026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46225</v>
      </c>
      <c r="E794" s="1" t="n">
        <v>46232</v>
      </c>
      <c r="F794" t="inlineStr">
        <is>
          <t>ÖSTERGÖTLANDS LÄN</t>
        </is>
      </c>
      <c r="G794" t="inlineStr">
        <is>
          <t>FINSPÅNG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43051-2022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44833</v>
      </c>
      <c r="E795" s="1" t="n">
        <v>46232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28558-2023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45103</v>
      </c>
      <c r="E796" s="1" t="n">
        <v>46232</v>
      </c>
      <c r="F796" t="inlineStr">
        <is>
          <t>ÖSTERGÖTLANDS LÄN</t>
        </is>
      </c>
      <c r="G796" t="inlineStr">
        <is>
          <t>FINSPÅNG</t>
        </is>
      </c>
      <c r="I796" t="n">
        <v>11.1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46232</v>
      </c>
      <c r="F797" t="inlineStr">
        <is>
          <t>ÖSTERGÖTLANDS LÄN</t>
        </is>
      </c>
      <c r="G797" t="inlineStr">
        <is>
          <t>FINSPÅNG</t>
        </is>
      </c>
      <c r="I797" t="n">
        <v>10.5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25943-2026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46181</v>
      </c>
      <c r="E798" s="1" t="n">
        <v>46232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54916-2024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45618</v>
      </c>
      <c r="E799" s="1" t="n">
        <v>46232</v>
      </c>
      <c r="F799" t="inlineStr">
        <is>
          <t>ÖSTERGÖTLANDS LÄN</t>
        </is>
      </c>
      <c r="G799" t="inlineStr">
        <is>
          <t>FINSPÅNG</t>
        </is>
      </c>
      <c r="I799" t="n">
        <v>11.8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59702-2024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45639</v>
      </c>
      <c r="E800" s="1" t="n">
        <v>46232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45299</v>
      </c>
      <c r="E801" s="1" t="n">
        <v>46232</v>
      </c>
      <c r="F801" t="inlineStr">
        <is>
          <t>ÖSTERGÖTLANDS LÄN</t>
        </is>
      </c>
      <c r="G801" t="inlineStr">
        <is>
          <t>FINSPÅNG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1020-2024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45301</v>
      </c>
      <c r="E802" s="1" t="n">
        <v>46232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22714-2022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44714</v>
      </c>
      <c r="E803" s="1" t="n">
        <v>46232</v>
      </c>
      <c r="F803" t="inlineStr">
        <is>
          <t>ÖSTERGÖTLANDS LÄN</t>
        </is>
      </c>
      <c r="G803" t="inlineStr">
        <is>
          <t>FINSPÅNG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10215-2022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44622</v>
      </c>
      <c r="E804" s="1" t="n">
        <v>46232</v>
      </c>
      <c r="F804" t="inlineStr">
        <is>
          <t>ÖSTERGÖTLANDS LÄN</t>
        </is>
      </c>
      <c r="G804" t="inlineStr">
        <is>
          <t>FINSPÅNG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54299-2023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45232</v>
      </c>
      <c r="E805" s="1" t="n">
        <v>46232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46226</v>
      </c>
      <c r="E806" s="1" t="n">
        <v>46232</v>
      </c>
      <c r="F806" t="inlineStr">
        <is>
          <t>ÖSTERGÖTLANDS LÄN</t>
        </is>
      </c>
      <c r="G806" t="inlineStr">
        <is>
          <t>FINSPÅNG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31682-2026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46226</v>
      </c>
      <c r="E807" s="1" t="n">
        <v>46232</v>
      </c>
      <c r="F807" t="inlineStr">
        <is>
          <t>ÖSTERGÖTLANDS LÄN</t>
        </is>
      </c>
      <c r="G807" t="inlineStr">
        <is>
          <t>FINSPÅNG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56288-2022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44887</v>
      </c>
      <c r="E808" s="1" t="n">
        <v>46232</v>
      </c>
      <c r="F808" t="inlineStr">
        <is>
          <t>ÖSTERGÖTLANDS LÄN</t>
        </is>
      </c>
      <c r="G808" t="inlineStr">
        <is>
          <t>FINSPÅNG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18356-2024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45422</v>
      </c>
      <c r="E809" s="1" t="n">
        <v>46232</v>
      </c>
      <c r="F809" t="inlineStr">
        <is>
          <t>ÖSTERGÖTLANDS LÄN</t>
        </is>
      </c>
      <c r="G809" t="inlineStr">
        <is>
          <t>FINSPÅNG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10206-2022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44622</v>
      </c>
      <c r="E810" s="1" t="n">
        <v>46232</v>
      </c>
      <c r="F810" t="inlineStr">
        <is>
          <t>ÖSTERGÖTLANDS LÄN</t>
        </is>
      </c>
      <c r="G810" t="inlineStr">
        <is>
          <t>FINSPÅNG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45314-2023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45191</v>
      </c>
      <c r="E811" s="1" t="n">
        <v>46232</v>
      </c>
      <c r="F811" t="inlineStr">
        <is>
          <t>ÖSTERGÖTLANDS LÄN</t>
        </is>
      </c>
      <c r="G811" t="inlineStr">
        <is>
          <t>FINSPÅNG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5616-2022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44595</v>
      </c>
      <c r="E812" s="1" t="n">
        <v>46232</v>
      </c>
      <c r="F812" t="inlineStr">
        <is>
          <t>ÖSTERGÖTLANDS LÄN</t>
        </is>
      </c>
      <c r="G812" t="inlineStr">
        <is>
          <t>FINSPÅNG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4351-2022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44589</v>
      </c>
      <c r="E813" s="1" t="n">
        <v>46232</v>
      </c>
      <c r="F813" t="inlineStr">
        <is>
          <t>ÖSTERGÖTLANDS LÄN</t>
        </is>
      </c>
      <c r="G813" t="inlineStr">
        <is>
          <t>FINSPÅNG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26905-2026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46185</v>
      </c>
      <c r="E814" s="1" t="n">
        <v>46232</v>
      </c>
      <c r="F814" t="inlineStr">
        <is>
          <t>ÖSTERGÖTLANDS LÄN</t>
        </is>
      </c>
      <c r="G814" t="inlineStr">
        <is>
          <t>FINSPÅNG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27018-2026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46232</v>
      </c>
      <c r="F815" t="inlineStr">
        <is>
          <t>ÖSTERGÖTLANDS LÄN</t>
        </is>
      </c>
      <c r="G815" t="inlineStr">
        <is>
          <t>FINSPÅNG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27369-2026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46188</v>
      </c>
      <c r="E816" s="1" t="n">
        <v>46232</v>
      </c>
      <c r="F816" t="inlineStr">
        <is>
          <t>ÖSTERGÖTLANDS LÄN</t>
        </is>
      </c>
      <c r="G816" t="inlineStr">
        <is>
          <t>FINSPÅNG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2047-2024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45308</v>
      </c>
      <c r="E817" s="1" t="n">
        <v>46232</v>
      </c>
      <c r="F817" t="inlineStr">
        <is>
          <t>ÖSTERGÖTLANDS LÄN</t>
        </is>
      </c>
      <c r="G817" t="inlineStr">
        <is>
          <t>FINSPÅNG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62168-2022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44922</v>
      </c>
      <c r="E818" s="1" t="n">
        <v>46232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53670-2024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45615</v>
      </c>
      <c r="E819" s="1" t="n">
        <v>46232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36110-2023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45149</v>
      </c>
      <c r="E820" s="1" t="n">
        <v>46232</v>
      </c>
      <c r="F820" t="inlineStr">
        <is>
          <t>ÖSTERGÖTLANDS LÄN</t>
        </is>
      </c>
      <c r="G820" t="inlineStr">
        <is>
          <t>FINSPÅNG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18349-2025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45762</v>
      </c>
      <c r="E821" s="1" t="n">
        <v>46232</v>
      </c>
      <c r="F821" t="inlineStr">
        <is>
          <t>ÖSTERGÖTLANDS LÄN</t>
        </is>
      </c>
      <c r="G821" t="inlineStr">
        <is>
          <t>FINSPÅNG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39358-2022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44817</v>
      </c>
      <c r="E822" s="1" t="n">
        <v>46232</v>
      </c>
      <c r="F822" t="inlineStr">
        <is>
          <t>ÖSTERGÖTLANDS LÄN</t>
        </is>
      </c>
      <c r="G822" t="inlineStr">
        <is>
          <t>FINSPÅNG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36191-2023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45149</v>
      </c>
      <c r="E823" s="1" t="n">
        <v>46232</v>
      </c>
      <c r="F823" t="inlineStr">
        <is>
          <t>ÖSTERGÖTLANDS LÄN</t>
        </is>
      </c>
      <c r="G823" t="inlineStr">
        <is>
          <t>FINSPÅNG</t>
        </is>
      </c>
      <c r="I823" t="n">
        <v>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55457-2024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45622</v>
      </c>
      <c r="E824" s="1" t="n">
        <v>46232</v>
      </c>
      <c r="F824" t="inlineStr">
        <is>
          <t>ÖSTERGÖTLANDS LÄN</t>
        </is>
      </c>
      <c r="G824" t="inlineStr">
        <is>
          <t>FINSPÅNG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40065-2024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45554</v>
      </c>
      <c r="E825" s="1" t="n">
        <v>46232</v>
      </c>
      <c r="F825" t="inlineStr">
        <is>
          <t>ÖSTERGÖTLANDS LÄN</t>
        </is>
      </c>
      <c r="G825" t="inlineStr">
        <is>
          <t>FINSPÅNG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27698-2023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45095</v>
      </c>
      <c r="E826" s="1" t="n">
        <v>46232</v>
      </c>
      <c r="F826" t="inlineStr">
        <is>
          <t>ÖSTERGÖTLANDS LÄN</t>
        </is>
      </c>
      <c r="G826" t="inlineStr">
        <is>
          <t>FINSPÅNG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48691-2024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45593</v>
      </c>
      <c r="E827" s="1" t="n">
        <v>46232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Övriga Aktiebolag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63585-2023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45275</v>
      </c>
      <c r="E828" s="1" t="n">
        <v>46232</v>
      </c>
      <c r="F828" t="inlineStr">
        <is>
          <t>ÖSTERGÖTLANDS LÄN</t>
        </is>
      </c>
      <c r="G828" t="inlineStr">
        <is>
          <t>FINSPÅNG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44564</v>
      </c>
      <c r="E829" s="1" t="n">
        <v>46232</v>
      </c>
      <c r="F829" t="inlineStr">
        <is>
          <t>ÖSTERGÖTLANDS LÄN</t>
        </is>
      </c>
      <c r="G829" t="inlineStr">
        <is>
          <t>FINSPÅNG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15129-2025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45744</v>
      </c>
      <c r="E830" s="1" t="n">
        <v>46232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16229-2024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45407</v>
      </c>
      <c r="E831" s="1" t="n">
        <v>46232</v>
      </c>
      <c r="F831" t="inlineStr">
        <is>
          <t>ÖSTERGÖTLANDS LÄN</t>
        </is>
      </c>
      <c r="G831" t="inlineStr">
        <is>
          <t>FINSPÅNG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22586-2023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45071</v>
      </c>
      <c r="E832" s="1" t="n">
        <v>46232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47836-2021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44448</v>
      </c>
      <c r="E833" s="1" t="n">
        <v>46232</v>
      </c>
      <c r="F833" t="inlineStr">
        <is>
          <t>ÖSTERGÖTLANDS LÄN</t>
        </is>
      </c>
      <c r="G833" t="inlineStr">
        <is>
          <t>FINSPÅNG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59777-2023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45257</v>
      </c>
      <c r="E834" s="1" t="n">
        <v>46232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59827-2023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45257</v>
      </c>
      <c r="E835" s="1" t="n">
        <v>46232</v>
      </c>
      <c r="F835" t="inlineStr">
        <is>
          <t>ÖSTERGÖTLANDS LÄN</t>
        </is>
      </c>
      <c r="G835" t="inlineStr">
        <is>
          <t>FINSPÅNG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42682-2024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45566</v>
      </c>
      <c r="E836" s="1" t="n">
        <v>46232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42678-2024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45566</v>
      </c>
      <c r="E837" s="1" t="n">
        <v>46232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42699-2024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45566</v>
      </c>
      <c r="E838" s="1" t="n">
        <v>46232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13392-2025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45735</v>
      </c>
      <c r="E839" s="1" t="n">
        <v>46232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13457-2025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45736</v>
      </c>
      <c r="E840" s="1" t="n">
        <v>46232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60249-2024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45642</v>
      </c>
      <c r="E841" s="1" t="n">
        <v>46232</v>
      </c>
      <c r="F841" t="inlineStr">
        <is>
          <t>ÖSTERGÖTLANDS LÄN</t>
        </is>
      </c>
      <c r="G841" t="inlineStr">
        <is>
          <t>FINSPÅNG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35340-2024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45530</v>
      </c>
      <c r="E842" s="1" t="n">
        <v>46232</v>
      </c>
      <c r="F842" t="inlineStr">
        <is>
          <t>ÖSTERGÖTLANDS LÄN</t>
        </is>
      </c>
      <c r="G842" t="inlineStr">
        <is>
          <t>FINSPÅNG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35343-2024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45530</v>
      </c>
      <c r="E843" s="1" t="n">
        <v>46232</v>
      </c>
      <c r="F843" t="inlineStr">
        <is>
          <t>ÖSTERGÖTLANDS LÄN</t>
        </is>
      </c>
      <c r="G843" t="inlineStr">
        <is>
          <t>FINSPÅNG</t>
        </is>
      </c>
      <c r="I843" t="n">
        <v>7.2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11149-2024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45371</v>
      </c>
      <c r="E844" s="1" t="n">
        <v>46232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Kyrkan</t>
        </is>
      </c>
      <c r="I844" t="n">
        <v>6.5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11523-2025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45727</v>
      </c>
      <c r="E845" s="1" t="n">
        <v>46232</v>
      </c>
      <c r="F845" t="inlineStr">
        <is>
          <t>ÖSTERGÖTLANDS LÄN</t>
        </is>
      </c>
      <c r="G845" t="inlineStr">
        <is>
          <t>FINSPÅNG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62155-2023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45267</v>
      </c>
      <c r="E846" s="1" t="n">
        <v>46232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Holmen skog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24328-2025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45797</v>
      </c>
      <c r="E847" s="1" t="n">
        <v>46232</v>
      </c>
      <c r="F847" t="inlineStr">
        <is>
          <t>ÖSTERGÖTLANDS LÄN</t>
        </is>
      </c>
      <c r="G847" t="inlineStr">
        <is>
          <t>FINSPÅNG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24363-2025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45797</v>
      </c>
      <c r="E848" s="1" t="n">
        <v>46232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Holmen skog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24021-2025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45796</v>
      </c>
      <c r="E849" s="1" t="n">
        <v>46232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Naturvårdsverket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24310-2025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45797</v>
      </c>
      <c r="E850" s="1" t="n">
        <v>46232</v>
      </c>
      <c r="F850" t="inlineStr">
        <is>
          <t>ÖSTERGÖTLANDS LÄN</t>
        </is>
      </c>
      <c r="G850" t="inlineStr">
        <is>
          <t>FINSPÅNG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24009-2025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45796</v>
      </c>
      <c r="E851" s="1" t="n">
        <v>46232</v>
      </c>
      <c r="F851" t="inlineStr">
        <is>
          <t>ÖSTERGÖTLANDS LÄN</t>
        </is>
      </c>
      <c r="G851" t="inlineStr">
        <is>
          <t>FINSPÅNG</t>
        </is>
      </c>
      <c r="H851" t="inlineStr">
        <is>
          <t>Naturvårdsverket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7131-2025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45702</v>
      </c>
      <c r="E852" s="1" t="n">
        <v>46232</v>
      </c>
      <c r="F852" t="inlineStr">
        <is>
          <t>ÖSTERGÖTLANDS LÄN</t>
        </is>
      </c>
      <c r="G852" t="inlineStr">
        <is>
          <t>FINSPÅNG</t>
        </is>
      </c>
      <c r="H852" t="inlineStr">
        <is>
          <t>Övriga Aktiebolag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5129-2024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45644</v>
      </c>
      <c r="E853" s="1" t="n">
        <v>46232</v>
      </c>
      <c r="F853" t="inlineStr">
        <is>
          <t>ÖSTERGÖTLANDS LÄN</t>
        </is>
      </c>
      <c r="G853" t="inlineStr">
        <is>
          <t>FINSPÅNG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1605-2024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45428</v>
      </c>
      <c r="E854" s="1" t="n">
        <v>46232</v>
      </c>
      <c r="F854" t="inlineStr">
        <is>
          <t>ÖSTERGÖTLANDS LÄN</t>
        </is>
      </c>
      <c r="G854" t="inlineStr">
        <is>
          <t>FINSPÅNG</t>
        </is>
      </c>
      <c r="I854" t="n">
        <v>0.3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1637-2024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45429</v>
      </c>
      <c r="E855" s="1" t="n">
        <v>46232</v>
      </c>
      <c r="F855" t="inlineStr">
        <is>
          <t>ÖSTERGÖTLANDS LÄN</t>
        </is>
      </c>
      <c r="G855" t="inlineStr">
        <is>
          <t>FINSPÅNG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4163-2023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45250</v>
      </c>
      <c r="E856" s="1" t="n">
        <v>46232</v>
      </c>
      <c r="F856" t="inlineStr">
        <is>
          <t>ÖSTERGÖTLANDS LÄN</t>
        </is>
      </c>
      <c r="G856" t="inlineStr">
        <is>
          <t>FINSPÅNG</t>
        </is>
      </c>
      <c r="H856" t="inlineStr">
        <is>
          <t>Sveaskog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4854-2021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44413</v>
      </c>
      <c r="E857" s="1" t="n">
        <v>46232</v>
      </c>
      <c r="F857" t="inlineStr">
        <is>
          <t>ÖSTERGÖTLANDS LÄN</t>
        </is>
      </c>
      <c r="G857" t="inlineStr">
        <is>
          <t>FINSPÅNG</t>
        </is>
      </c>
      <c r="I857" t="n">
        <v>0.1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1759-2026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46188</v>
      </c>
      <c r="E858" s="1" t="n">
        <v>46232</v>
      </c>
      <c r="F858" t="inlineStr">
        <is>
          <t>ÖSTERGÖTLANDS LÄN</t>
        </is>
      </c>
      <c r="G858" t="inlineStr">
        <is>
          <t>FINSPÅNG</t>
        </is>
      </c>
      <c r="H858" t="inlineStr">
        <is>
          <t>Övriga Aktiebolag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2026-07-29T01:52:29Z</dcterms:created>
  <dcterms:modified xmlns:dcterms="http://purl.org/dc/terms/" xmlns:xsi="http://www.w3.org/2001/XMLSchema-instance" xsi:type="dcterms:W3CDTF">2026-07-29T01:52:30Z</dcterms:modified>
</cp:coreProperties>
</file>