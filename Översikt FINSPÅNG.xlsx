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46262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46262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46262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46262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46262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46262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46262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46262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46262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46262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51549-2025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45950</v>
      </c>
      <c r="E33" s="1" t="n">
        <v>46262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4.1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Svedjenäva
Mattlummer</t>
        </is>
      </c>
      <c r="W33">
        <f>HYPERLINK("https://klasma.github.io/Logging_0562/artfynd/A 51549-2025 artfynd.xlsx", "A 51549-2025")</f>
        <v/>
      </c>
      <c r="X33">
        <f>HYPERLINK("https://klasma.github.io/Logging_0562/kartor/A 51549-2025 karta.png", "A 51549-2025")</f>
        <v/>
      </c>
      <c r="Y33">
        <f>HYPERLINK("https://klasma.github.io/Logging_0562/kartor_geotiff/A 51549-2025 georefererad karta.tif", "A 51549-2025")</f>
        <v/>
      </c>
      <c r="AA33">
        <f>HYPERLINK("https://klasma.github.io/Logging_0562/klagomål/A 51549-2025 FSC-klagomål.docx", "A 51549-2025")</f>
        <v/>
      </c>
      <c r="AB33">
        <f>HYPERLINK("https://klasma.github.io/Logging_0562/klagomålsmail/A 51549-2025 FSC-klagomål mail.docx", "A 51549-2025")</f>
        <v/>
      </c>
      <c r="AC33">
        <f>HYPERLINK("https://klasma.github.io/Logging_0562/tillsyn/A 51549-2025 tillsynsbegäran.docx", "A 51549-2025")</f>
        <v/>
      </c>
      <c r="AD33">
        <f>HYPERLINK("https://klasma.github.io/Logging_0562/tillsynsmail/A 51549-2025 tillsynsbegäran mail.docx", "A 51549-2025")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46262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Skarp dropptaggsvamp
Stor aspticka</t>
        </is>
      </c>
      <c r="W35">
        <f>HYPERLINK("https://klasma.github.io/Logging_0562/artfynd/A 42388-2025 artfynd.xlsx", "A 42388-2025")</f>
        <v/>
      </c>
      <c r="X35">
        <f>HYPERLINK("https://klasma.github.io/Logging_0562/kartor/A 42388-2025 karta.png", "A 42388-2025")</f>
        <v/>
      </c>
      <c r="Y35">
        <f>HYPERLINK("https://klasma.github.io/Logging_0562/kartor_geotiff/A 42388-2025 georefererad karta.tif", "A 42388-2025")</f>
        <v/>
      </c>
      <c r="AA35">
        <f>HYPERLINK("https://klasma.github.io/Logging_0562/klagomål/A 42388-2025 FSC-klagomål.docx", "A 42388-2025")</f>
        <v/>
      </c>
      <c r="AB35">
        <f>HYPERLINK("https://klasma.github.io/Logging_0562/klagomålsmail/A 42388-2025 FSC-klagomål mail.docx", "A 42388-2025")</f>
        <v/>
      </c>
      <c r="AC35">
        <f>HYPERLINK("https://klasma.github.io/Logging_0562/tillsyn/A 42388-2025 tillsynsbegäran.docx", "A 42388-2025")</f>
        <v/>
      </c>
      <c r="AD35">
        <f>HYPERLINK("https://klasma.github.io/Logging_0562/tillsynsmail/A 42388-2025 tillsynsbegäran mail.docx", "A 42388-2025")</f>
        <v/>
      </c>
    </row>
    <row r="36" ht="15" customHeight="1">
      <c r="A36" t="inlineStr">
        <is>
          <t>A 38963-2022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46262</v>
      </c>
      <c r="F36" t="inlineStr">
        <is>
          <t>ÖSTERGÖTLANDS LÄN</t>
        </is>
      </c>
      <c r="G36" t="inlineStr">
        <is>
          <t>FINSPÅNG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Gullklöver
Grönvit nattviol</t>
        </is>
      </c>
      <c r="W36">
        <f>HYPERLINK("https://klasma.github.io/Logging_0562/artfynd/A 38963-2022 artfynd.xlsx", "A 38963-2022")</f>
        <v/>
      </c>
      <c r="X36">
        <f>HYPERLINK("https://klasma.github.io/Logging_0562/kartor/A 38963-2022 karta.png", "A 38963-2022")</f>
        <v/>
      </c>
      <c r="Y36">
        <f>HYPERLINK("https://klasma.github.io/Logging_0562/kartor_geotiff/A 38963-2022 georefererad karta.tif", "A 38963-2022")</f>
        <v/>
      </c>
      <c r="AA36">
        <f>HYPERLINK("https://klasma.github.io/Logging_0562/klagomål/A 38963-2022 FSC-klagomål.docx", "A 38963-2022")</f>
        <v/>
      </c>
      <c r="AB36">
        <f>HYPERLINK("https://klasma.github.io/Logging_0562/klagomålsmail/A 38963-2022 FSC-klagomål mail.docx", "A 38963-2022")</f>
        <v/>
      </c>
      <c r="AC36">
        <f>HYPERLINK("https://klasma.github.io/Logging_0562/tillsyn/A 38963-2022 tillsynsbegäran.docx", "A 38963-2022")</f>
        <v/>
      </c>
      <c r="AD36">
        <f>HYPERLINK("https://klasma.github.io/Logging_0562/tillsynsmail/A 38963-2022 tillsynsbegäran mail.docx", "A 38963-2022")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46262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46262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46262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46262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46262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32570-2023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45121</v>
      </c>
      <c r="E44" s="1" t="n">
        <v>46262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7.7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Havsörn</t>
        </is>
      </c>
      <c r="W44">
        <f>HYPERLINK("https://klasma.github.io/Logging_0562/artfynd/A 32570-2023 artfynd.xlsx", "A 32570-2023")</f>
        <v/>
      </c>
      <c r="X44">
        <f>HYPERLINK("https://klasma.github.io/Logging_0562/kartor/A 32570-2023 karta.png", "A 32570-2023")</f>
        <v/>
      </c>
      <c r="Y44">
        <f>HYPERLINK("https://klasma.github.io/Logging_0562/kartor_geotiff/A 32570-2023 georefererad karta.tif", "A 32570-2023")</f>
        <v/>
      </c>
      <c r="AA44">
        <f>HYPERLINK("https://klasma.github.io/Logging_0562/klagomål/A 32570-2023 FSC-klagomål.docx", "A 32570-2023")</f>
        <v/>
      </c>
      <c r="AB44">
        <f>HYPERLINK("https://klasma.github.io/Logging_0562/klagomålsmail/A 32570-2023 FSC-klagomål mail.docx", "A 32570-2023")</f>
        <v/>
      </c>
      <c r="AC44">
        <f>HYPERLINK("https://klasma.github.io/Logging_0562/tillsyn/A 32570-2023 tillsynsbegäran.docx", "A 32570-2023")</f>
        <v/>
      </c>
      <c r="AD44">
        <f>HYPERLINK("https://klasma.github.io/Logging_0562/tillsynsmail/A 32570-2023 tillsynsbegäran mail.docx", "A 32570-2023")</f>
        <v/>
      </c>
      <c r="AE44">
        <f>HYPERLINK("https://klasma.github.io/Logging_0562/fåglar/A 32570-2023 prioriterade fågelarter.docx", "A 32570-2023")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46262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46262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46262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46262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27861-2025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46262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3.1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Plattlummer</t>
        </is>
      </c>
      <c r="W54">
        <f>HYPERLINK("https://klasma.github.io/Logging_0562/artfynd/A 27861-2025 artfynd.xlsx", "A 27861-2025")</f>
        <v/>
      </c>
      <c r="X54">
        <f>HYPERLINK("https://klasma.github.io/Logging_0562/kartor/A 27861-2025 karta.png", "A 27861-2025")</f>
        <v/>
      </c>
      <c r="Y54">
        <f>HYPERLINK("https://klasma.github.io/Logging_0562/kartor_geotiff/A 27861-2025 georefererad karta.tif", "A 27861-2025")</f>
        <v/>
      </c>
      <c r="AA54">
        <f>HYPERLINK("https://klasma.github.io/Logging_0562/klagomål/A 27861-2025 FSC-klagomål.docx", "A 27861-2025")</f>
        <v/>
      </c>
      <c r="AB54">
        <f>HYPERLINK("https://klasma.github.io/Logging_0562/klagomålsmail/A 27861-2025 FSC-klagomål mail.docx", "A 27861-2025")</f>
        <v/>
      </c>
      <c r="AC54">
        <f>HYPERLINK("https://klasma.github.io/Logging_0562/tillsyn/A 27861-2025 tillsynsbegäran.docx", "A 27861-2025")</f>
        <v/>
      </c>
      <c r="AD54">
        <f>HYPERLINK("https://klasma.github.io/Logging_0562/tillsynsmail/A 27861-2025 tillsynsbegäran mail.docx", "A 27861-2025")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36128-2023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46262</v>
      </c>
      <c r="F56" t="inlineStr">
        <is>
          <t>ÖSTERGÖTLANDS LÄN</t>
        </is>
      </c>
      <c r="G56" t="inlineStr">
        <is>
          <t>FINSPÅNG</t>
        </is>
      </c>
      <c r="I56" t="n">
        <v>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HYPERLINK("https://klasma.github.io/Logging_0562/artfynd/A 36128-2023 artfynd.xlsx", "A 36128-2023")</f>
        <v/>
      </c>
      <c r="X56">
        <f>HYPERLINK("https://klasma.github.io/Logging_0562/kartor/A 36128-2023 karta.png", "A 36128-2023")</f>
        <v/>
      </c>
      <c r="Y56">
        <f>HYPERLINK("https://klasma.github.io/Logging_0562/kartor_geotiff/A 36128-2023 georefererad karta.tif", "A 36128-2023")</f>
        <v/>
      </c>
      <c r="AA56">
        <f>HYPERLINK("https://klasma.github.io/Logging_0562/klagomål/A 36128-2023 FSC-klagomål.docx", "A 36128-2023")</f>
        <v/>
      </c>
      <c r="AB56">
        <f>HYPERLINK("https://klasma.github.io/Logging_0562/klagomålsmail/A 36128-2023 FSC-klagomål mail.docx", "A 36128-2023")</f>
        <v/>
      </c>
      <c r="AC56">
        <f>HYPERLINK("https://klasma.github.io/Logging_0562/tillsyn/A 36128-2023 tillsynsbegäran.docx", "A 36128-2023")</f>
        <v/>
      </c>
      <c r="AD56">
        <f>HYPERLINK("https://klasma.github.io/Logging_0562/tillsynsmail/A 36128-2023 tillsynsbegäran mail.docx", "A 36128-2023")</f>
        <v/>
      </c>
      <c r="AE56">
        <f>HYPERLINK("https://klasma.github.io/Logging_0562/fåglar/A 36128-2023 prioriterade fågelarter.docx", "A 36128-2023")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46262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46262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46262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53265-2023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46262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HYPERLINK("https://klasma.github.io/Logging_0562/artfynd/A 53265-2023 artfynd.xlsx", "A 53265-2023")</f>
        <v/>
      </c>
      <c r="X60">
        <f>HYPERLINK("https://klasma.github.io/Logging_0562/kartor/A 53265-2023 karta.png", "A 53265-2023")</f>
        <v/>
      </c>
      <c r="Y60">
        <f>HYPERLINK("https://klasma.github.io/Logging_0562/kartor_geotiff/A 53265-2023 georefererad karta.tif", "A 53265-2023")</f>
        <v/>
      </c>
      <c r="AA60">
        <f>HYPERLINK("https://klasma.github.io/Logging_0562/klagomål/A 53265-2023 FSC-klagomål.docx", "A 53265-2023")</f>
        <v/>
      </c>
      <c r="AB60">
        <f>HYPERLINK("https://klasma.github.io/Logging_0562/klagomålsmail/A 53265-2023 FSC-klagomål mail.docx", "A 53265-2023")</f>
        <v/>
      </c>
      <c r="AC60">
        <f>HYPERLINK("https://klasma.github.io/Logging_0562/tillsyn/A 53265-2023 tillsynsbegäran.docx", "A 53265-2023")</f>
        <v/>
      </c>
      <c r="AD60">
        <f>HYPERLINK("https://klasma.github.io/Logging_0562/tillsynsmail/A 53265-2023 tillsynsbegäran mail.docx", "A 53265-2023")</f>
        <v/>
      </c>
    </row>
    <row r="61" ht="15" customHeight="1">
      <c r="A61" t="inlineStr">
        <is>
          <t>A 57662-2022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44897</v>
      </c>
      <c r="E61" s="1" t="n">
        <v>46262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HYPERLINK("https://klasma.github.io/Logging_0562/artfynd/A 57662-2022 artfynd.xlsx", "A 57662-2022")</f>
        <v/>
      </c>
      <c r="X61">
        <f>HYPERLINK("https://klasma.github.io/Logging_0562/kartor/A 57662-2022 karta.png", "A 57662-2022")</f>
        <v/>
      </c>
      <c r="Y61">
        <f>HYPERLINK("https://klasma.github.io/Logging_0562/kartor_geotiff/A 57662-2022 georefererad karta.tif", "A 57662-2022")</f>
        <v/>
      </c>
      <c r="AA61">
        <f>HYPERLINK("https://klasma.github.io/Logging_0562/klagomål/A 57662-2022 FSC-klagomål.docx", "A 57662-2022")</f>
        <v/>
      </c>
      <c r="AB61">
        <f>HYPERLINK("https://klasma.github.io/Logging_0562/klagomålsmail/A 57662-2022 FSC-klagomål mail.docx", "A 57662-2022")</f>
        <v/>
      </c>
      <c r="AC61">
        <f>HYPERLINK("https://klasma.github.io/Logging_0562/tillsyn/A 57662-2022 tillsynsbegäran.docx", "A 57662-2022")</f>
        <v/>
      </c>
      <c r="AD61">
        <f>HYPERLINK("https://klasma.github.io/Logging_0562/tillsynsmail/A 57662-2022 tillsynsbegäran mail.docx", "A 57662-2022")</f>
        <v/>
      </c>
      <c r="AE61">
        <f>HYPERLINK("https://klasma.github.io/Logging_0562/fåglar/A 57662-2022 prioriterade fågelarter.docx", "A 57662-2022")</f>
        <v/>
      </c>
    </row>
    <row r="62" ht="15" customHeight="1">
      <c r="A62" t="inlineStr">
        <is>
          <t>A 61695-2021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44501</v>
      </c>
      <c r="E62" s="1" t="n">
        <v>46262</v>
      </c>
      <c r="F62" t="inlineStr">
        <is>
          <t>ÖSTERGÖTLANDS LÄN</t>
        </is>
      </c>
      <c r="G62" t="inlineStr">
        <is>
          <t>FINSPÅNG</t>
        </is>
      </c>
      <c r="H62" t="inlineStr">
        <is>
          <t>Sveaskog</t>
        </is>
      </c>
      <c r="I62" t="n">
        <v>1.7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HYPERLINK("https://klasma.github.io/Logging_0562/artfynd/A 61695-2021 artfynd.xlsx", "A 61695-2021")</f>
        <v/>
      </c>
      <c r="X62">
        <f>HYPERLINK("https://klasma.github.io/Logging_0562/kartor/A 61695-2021 karta.png", "A 61695-2021")</f>
        <v/>
      </c>
      <c r="Y62">
        <f>HYPERLINK("https://klasma.github.io/Logging_0562/kartor_geotiff/A 61695-2021 georefererad karta.tif", "A 61695-2021")</f>
        <v/>
      </c>
      <c r="AA62">
        <f>HYPERLINK("https://klasma.github.io/Logging_0562/klagomål/A 61695-2021 FSC-klagomål.docx", "A 61695-2021")</f>
        <v/>
      </c>
      <c r="AB62">
        <f>HYPERLINK("https://klasma.github.io/Logging_0562/klagomålsmail/A 61695-2021 FSC-klagomål mail.docx", "A 61695-2021")</f>
        <v/>
      </c>
      <c r="AC62">
        <f>HYPERLINK("https://klasma.github.io/Logging_0562/tillsyn/A 61695-2021 tillsynsbegäran.docx", "A 61695-2021")</f>
        <v/>
      </c>
      <c r="AD62">
        <f>HYPERLINK("https://klasma.github.io/Logging_0562/tillsynsmail/A 61695-2021 tillsynsbegäran mail.docx", "A 61695-2021")</f>
        <v/>
      </c>
    </row>
    <row r="63" ht="15" customHeight="1">
      <c r="A63" t="inlineStr">
        <is>
          <t>A 15123-2025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45744</v>
      </c>
      <c r="E63" s="1" t="n">
        <v>46262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Naturvårdsverket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HYPERLINK("https://klasma.github.io/Logging_0562/artfynd/A 15123-2025 artfynd.xlsx", "A 15123-2025")</f>
        <v/>
      </c>
      <c r="X63">
        <f>HYPERLINK("https://klasma.github.io/Logging_0562/kartor/A 15123-2025 karta.png", "A 15123-2025")</f>
        <v/>
      </c>
      <c r="Y63">
        <f>HYPERLINK("https://klasma.github.io/Logging_0562/kartor_geotiff/A 15123-2025 georefererad karta.tif", "A 15123-2025")</f>
        <v/>
      </c>
      <c r="AA63">
        <f>HYPERLINK("https://klasma.github.io/Logging_0562/klagomål/A 15123-2025 FSC-klagomål.docx", "A 15123-2025")</f>
        <v/>
      </c>
      <c r="AB63">
        <f>HYPERLINK("https://klasma.github.io/Logging_0562/klagomålsmail/A 15123-2025 FSC-klagomål mail.docx", "A 15123-2025")</f>
        <v/>
      </c>
      <c r="AC63">
        <f>HYPERLINK("https://klasma.github.io/Logging_0562/tillsyn/A 15123-2025 tillsynsbegäran.docx", "A 15123-2025")</f>
        <v/>
      </c>
      <c r="AD63">
        <f>HYPERLINK("https://klasma.github.io/Logging_0562/tillsynsmail/A 15123-2025 tillsynsbegäran mail.docx", "A 15123-2025")</f>
        <v/>
      </c>
      <c r="AE63">
        <f>HYPERLINK("https://klasma.github.io/Logging_0562/fåglar/A 15123-2025 prioriterade fågelarter.docx", "A 15123-2025")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46262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59061-2024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45636</v>
      </c>
      <c r="E65" s="1" t="n">
        <v>46262</v>
      </c>
      <c r="F65" t="inlineStr">
        <is>
          <t>ÖSTERGÖTLANDS LÄN</t>
        </is>
      </c>
      <c r="G65" t="inlineStr">
        <is>
          <t>FINSPÅNG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Ängsnycklar</t>
        </is>
      </c>
      <c r="W65">
        <f>HYPERLINK("https://klasma.github.io/Logging_0562/artfynd/A 59061-2024 artfynd.xlsx", "A 59061-2024")</f>
        <v/>
      </c>
      <c r="X65">
        <f>HYPERLINK("https://klasma.github.io/Logging_0562/kartor/A 59061-2024 karta.png", "A 59061-2024")</f>
        <v/>
      </c>
      <c r="Y65">
        <f>HYPERLINK("https://klasma.github.io/Logging_0562/kartor_geotiff/A 59061-2024 georefererad karta.tif", "A 59061-2024")</f>
        <v/>
      </c>
      <c r="AA65">
        <f>HYPERLINK("https://klasma.github.io/Logging_0562/klagomål/A 59061-2024 FSC-klagomål.docx", "A 59061-2024")</f>
        <v/>
      </c>
      <c r="AB65">
        <f>HYPERLINK("https://klasma.github.io/Logging_0562/klagomålsmail/A 59061-2024 FSC-klagomål mail.docx", "A 59061-2024")</f>
        <v/>
      </c>
      <c r="AC65">
        <f>HYPERLINK("https://klasma.github.io/Logging_0562/tillsyn/A 59061-2024 tillsynsbegäran.docx", "A 59061-2024")</f>
        <v/>
      </c>
      <c r="AD65">
        <f>HYPERLINK("https://klasma.github.io/Logging_0562/tillsynsmail/A 59061-2024 tillsynsbegäran mail.docx", "A 59061-2024")</f>
        <v/>
      </c>
    </row>
    <row r="66" ht="15" customHeight="1">
      <c r="A66" t="inlineStr">
        <is>
          <t>A 4644-2024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46262</v>
      </c>
      <c r="F66" t="inlineStr">
        <is>
          <t>ÖSTERGÖTLANDS LÄN</t>
        </is>
      </c>
      <c r="G66" t="inlineStr">
        <is>
          <t>FINSPÅNG</t>
        </is>
      </c>
      <c r="I66" t="n">
        <v>5.3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Kungsörn</t>
        </is>
      </c>
      <c r="W66">
        <f>HYPERLINK("https://klasma.github.io/Logging_0562/artfynd/A 4644-2024 artfynd.xlsx", "A 4644-2024")</f>
        <v/>
      </c>
      <c r="X66">
        <f>HYPERLINK("https://klasma.github.io/Logging_0562/kartor/A 4644-2024 karta.png", "A 4644-2024")</f>
        <v/>
      </c>
      <c r="Y66">
        <f>HYPERLINK("https://klasma.github.io/Logging_0562/kartor_geotiff/A 4644-2024 georefererad karta.tif", "A 4644-2024")</f>
        <v/>
      </c>
      <c r="AA66">
        <f>HYPERLINK("https://klasma.github.io/Logging_0562/klagomål/A 4644-2024 FSC-klagomål.docx", "A 4644-2024")</f>
        <v/>
      </c>
      <c r="AB66">
        <f>HYPERLINK("https://klasma.github.io/Logging_0562/klagomålsmail/A 4644-2024 FSC-klagomål mail.docx", "A 4644-2024")</f>
        <v/>
      </c>
      <c r="AC66">
        <f>HYPERLINK("https://klasma.github.io/Logging_0562/tillsyn/A 4644-2024 tillsynsbegäran.docx", "A 4644-2024")</f>
        <v/>
      </c>
      <c r="AD66">
        <f>HYPERLINK("https://klasma.github.io/Logging_0562/tillsynsmail/A 4644-2024 tillsynsbegäran mail.docx", "A 4644-2024")</f>
        <v/>
      </c>
      <c r="AE66">
        <f>HYPERLINK("https://klasma.github.io/Logging_0562/fåglar/A 4644-2024 prioriterade fågelarter.docx", "A 4644-2024")</f>
        <v/>
      </c>
    </row>
    <row r="67" ht="15" customHeight="1">
      <c r="A67" t="inlineStr">
        <is>
          <t>A 6035-2022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46262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Naturvårdsverket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Bred kärrtrollslända</t>
        </is>
      </c>
      <c r="W67">
        <f>HYPERLINK("https://klasma.github.io/Logging_0562/artfynd/A 6035-2022 artfynd.xlsx", "A 6035-2022")</f>
        <v/>
      </c>
      <c r="X67">
        <f>HYPERLINK("https://klasma.github.io/Logging_0562/kartor/A 6035-2022 karta.png", "A 6035-2022")</f>
        <v/>
      </c>
      <c r="Y67">
        <f>HYPERLINK("https://klasma.github.io/Logging_0562/kartor_geotiff/A 6035-2022 georefererad karta.tif", "A 6035-2022")</f>
        <v/>
      </c>
      <c r="AA67">
        <f>HYPERLINK("https://klasma.github.io/Logging_0562/klagomål/A 6035-2022 FSC-klagomål.docx", "A 6035-2022")</f>
        <v/>
      </c>
      <c r="AB67">
        <f>HYPERLINK("https://klasma.github.io/Logging_0562/klagomålsmail/A 6035-2022 FSC-klagomål mail.docx", "A 6035-2022")</f>
        <v/>
      </c>
      <c r="AC67">
        <f>HYPERLINK("https://klasma.github.io/Logging_0562/tillsyn/A 6035-2022 tillsynsbegäran.docx", "A 6035-2022")</f>
        <v/>
      </c>
      <c r="AD67">
        <f>HYPERLINK("https://klasma.github.io/Logging_0562/tillsynsmail/A 6035-2022 tillsynsbegäran mail.docx", "A 6035-2022")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46262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7265-2026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46262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HYPERLINK("https://klasma.github.io/Logging_0562/artfynd/A 7265-2026 artfynd.xlsx", "A 7265-2026")</f>
        <v/>
      </c>
      <c r="X69">
        <f>HYPERLINK("https://klasma.github.io/Logging_0562/kartor/A 7265-2026 karta.png", "A 7265-2026")</f>
        <v/>
      </c>
      <c r="Y69">
        <f>HYPERLINK("https://klasma.github.io/Logging_0562/kartor_geotiff/A 7265-2026 georefererad karta.tif", "A 7265-2026")</f>
        <v/>
      </c>
      <c r="AA69">
        <f>HYPERLINK("https://klasma.github.io/Logging_0562/klagomål/A 7265-2026 FSC-klagomål.docx", "A 7265-2026")</f>
        <v/>
      </c>
      <c r="AB69">
        <f>HYPERLINK("https://klasma.github.io/Logging_0562/klagomålsmail/A 7265-2026 FSC-klagomål mail.docx", "A 7265-2026")</f>
        <v/>
      </c>
      <c r="AC69">
        <f>HYPERLINK("https://klasma.github.io/Logging_0562/tillsyn/A 7265-2026 tillsynsbegäran.docx", "A 7265-2026")</f>
        <v/>
      </c>
      <c r="AD69">
        <f>HYPERLINK("https://klasma.github.io/Logging_0562/tillsynsmail/A 7265-2026 tillsynsbegäran mail.docx", "A 7265-2026")</f>
        <v/>
      </c>
      <c r="AE69">
        <f>HYPERLINK("https://klasma.github.io/Logging_0562/fåglar/A 7265-2026 prioriterade fågelarter.docx", "A 7265-2026")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46262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46262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46262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46262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18915-2026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46129</v>
      </c>
      <c r="E74" s="1" t="n">
        <v>46262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6.1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Havsörn</t>
        </is>
      </c>
      <c r="W74">
        <f>HYPERLINK("https://klasma.github.io/Logging_0562/artfynd/A 18915-2026 artfynd.xlsx", "A 18915-2026")</f>
        <v/>
      </c>
      <c r="X74">
        <f>HYPERLINK("https://klasma.github.io/Logging_0562/kartor/A 18915-2026 karta.png", "A 18915-2026")</f>
        <v/>
      </c>
      <c r="Y74">
        <f>HYPERLINK("https://klasma.github.io/Logging_0562/kartor_geotiff/A 18915-2026 georefererad karta.tif", "A 18915-2026")</f>
        <v/>
      </c>
      <c r="AA74">
        <f>HYPERLINK("https://klasma.github.io/Logging_0562/klagomål/A 18915-2026 FSC-klagomål.docx", "A 18915-2026")</f>
        <v/>
      </c>
      <c r="AB74">
        <f>HYPERLINK("https://klasma.github.io/Logging_0562/klagomålsmail/A 18915-2026 FSC-klagomål mail.docx", "A 18915-2026")</f>
        <v/>
      </c>
      <c r="AC74">
        <f>HYPERLINK("https://klasma.github.io/Logging_0562/tillsyn/A 18915-2026 tillsynsbegäran.docx", "A 18915-2026")</f>
        <v/>
      </c>
      <c r="AD74">
        <f>HYPERLINK("https://klasma.github.io/Logging_0562/tillsynsmail/A 18915-2026 tillsynsbegäran mail.docx", "A 18915-2026")</f>
        <v/>
      </c>
      <c r="AE74">
        <f>HYPERLINK("https://klasma.github.io/Logging_0562/fåglar/A 18915-2026 prioriterade fågelarter.docx", "A 18915-2026")</f>
        <v/>
      </c>
    </row>
    <row r="75" ht="15" customHeight="1">
      <c r="A75" t="inlineStr">
        <is>
          <t>A 61254-2022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46262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HYPERLINK("https://klasma.github.io/Logging_0562/artfynd/A 61254-2022 artfynd.xlsx", "A 61254-2022")</f>
        <v/>
      </c>
      <c r="X75">
        <f>HYPERLINK("https://klasma.github.io/Logging_0562/kartor/A 61254-2022 karta.png", "A 61254-2022")</f>
        <v/>
      </c>
      <c r="Y75">
        <f>HYPERLINK("https://klasma.github.io/Logging_0562/kartor_geotiff/A 61254-2022 georefererad karta.tif", "A 61254-2022")</f>
        <v/>
      </c>
      <c r="AA75">
        <f>HYPERLINK("https://klasma.github.io/Logging_0562/klagomål/A 61254-2022 FSC-klagomål.docx", "A 61254-2022")</f>
        <v/>
      </c>
      <c r="AB75">
        <f>HYPERLINK("https://klasma.github.io/Logging_0562/klagomålsmail/A 61254-2022 FSC-klagomål mail.docx", "A 61254-2022")</f>
        <v/>
      </c>
      <c r="AC75">
        <f>HYPERLINK("https://klasma.github.io/Logging_0562/tillsyn/A 61254-2022 tillsynsbegäran.docx", "A 61254-2022")</f>
        <v/>
      </c>
      <c r="AD75">
        <f>HYPERLINK("https://klasma.github.io/Logging_0562/tillsynsmail/A 61254-2022 tillsynsbegäran mail.docx", "A 61254-2022")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46262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46262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46262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Hasselsnok</t>
        </is>
      </c>
      <c r="W78">
        <f>HYPERLINK("https://klasma.github.io/Logging_0562/artfynd/A 22555-2024 artfynd.xlsx", "A 22555-2024")</f>
        <v/>
      </c>
      <c r="X78">
        <f>HYPERLINK("https://klasma.github.io/Logging_0562/kartor/A 22555-2024 karta.png", "A 22555-2024")</f>
        <v/>
      </c>
      <c r="Y78">
        <f>HYPERLINK("https://klasma.github.io/Logging_0562/kartor_geotiff/A 22555-2024 georefererad karta.tif", "A 22555-2024")</f>
        <v/>
      </c>
      <c r="AA78">
        <f>HYPERLINK("https://klasma.github.io/Logging_0562/klagomål/A 22555-2024 FSC-klagomål.docx", "A 22555-2024")</f>
        <v/>
      </c>
      <c r="AB78">
        <f>HYPERLINK("https://klasma.github.io/Logging_0562/klagomålsmail/A 22555-2024 FSC-klagomål mail.docx", "A 22555-2024")</f>
        <v/>
      </c>
      <c r="AC78">
        <f>HYPERLINK("https://klasma.github.io/Logging_0562/tillsyn/A 22555-2024 tillsynsbegäran.docx", "A 22555-2024")</f>
        <v/>
      </c>
      <c r="AD78">
        <f>HYPERLINK("https://klasma.github.io/Logging_0562/tillsynsmail/A 22555-2024 tillsynsbegäran mail.docx", "A 22555-2024")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46262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46262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46262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22587-2026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46155</v>
      </c>
      <c r="E82" s="1" t="n">
        <v>46262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HYPERLINK("https://klasma.github.io/Logging_0562/artfynd/A 22587-2026 artfynd.xlsx", "A 22587-2026")</f>
        <v/>
      </c>
      <c r="X82">
        <f>HYPERLINK("https://klasma.github.io/Logging_0562/kartor/A 22587-2026 karta.png", "A 22587-2026")</f>
        <v/>
      </c>
      <c r="Y82">
        <f>HYPERLINK("https://klasma.github.io/Logging_0562/kartor_geotiff/A 22587-2026 georefererad karta.tif", "A 22587-2026")</f>
        <v/>
      </c>
      <c r="AA82">
        <f>HYPERLINK("https://klasma.github.io/Logging_0562/klagomål/A 22587-2026 FSC-klagomål.docx", "A 22587-2026")</f>
        <v/>
      </c>
      <c r="AB82">
        <f>HYPERLINK("https://klasma.github.io/Logging_0562/klagomålsmail/A 22587-2026 FSC-klagomål mail.docx", "A 22587-2026")</f>
        <v/>
      </c>
      <c r="AC82">
        <f>HYPERLINK("https://klasma.github.io/Logging_0562/tillsyn/A 22587-2026 tillsynsbegäran.docx", "A 22587-2026")</f>
        <v/>
      </c>
      <c r="AD82">
        <f>HYPERLINK("https://klasma.github.io/Logging_0562/tillsynsmail/A 22587-2026 tillsynsbegäran mail.docx", "A 22587-2026")</f>
        <v/>
      </c>
      <c r="AE82">
        <f>HYPERLINK("https://klasma.github.io/Logging_0562/fåglar/A 22587-2026 prioriterade fågelarter.docx", "A 22587-2026")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46262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25942-2026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46262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HYPERLINK("https://klasma.github.io/Logging_0562/artfynd/A 25942-2026 artfynd.xlsx", "A 25942-2026")</f>
        <v/>
      </c>
      <c r="X84">
        <f>HYPERLINK("https://klasma.github.io/Logging_0562/kartor/A 25942-2026 karta.png", "A 25942-2026")</f>
        <v/>
      </c>
      <c r="Y84">
        <f>HYPERLINK("https://klasma.github.io/Logging_0562/kartor_geotiff/A 25942-2026 georefererad karta.tif", "A 25942-2026")</f>
        <v/>
      </c>
      <c r="AA84">
        <f>HYPERLINK("https://klasma.github.io/Logging_0562/klagomål/A 25942-2026 FSC-klagomål.docx", "A 25942-2026")</f>
        <v/>
      </c>
      <c r="AB84">
        <f>HYPERLINK("https://klasma.github.io/Logging_0562/klagomålsmail/A 25942-2026 FSC-klagomål mail.docx", "A 25942-2026")</f>
        <v/>
      </c>
      <c r="AC84">
        <f>HYPERLINK("https://klasma.github.io/Logging_0562/tillsyn/A 25942-2026 tillsynsbegäran.docx", "A 25942-2026")</f>
        <v/>
      </c>
      <c r="AD84">
        <f>HYPERLINK("https://klasma.github.io/Logging_0562/tillsynsmail/A 25942-2026 tillsynsbegäran mail.docx", "A 25942-2026")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46262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Hasselsnok</t>
        </is>
      </c>
      <c r="W85">
        <f>HYPERLINK("https://klasma.github.io/Logging_0562/artfynd/A 22439-2023 artfynd.xlsx", "A 22439-2023")</f>
        <v/>
      </c>
      <c r="X85">
        <f>HYPERLINK("https://klasma.github.io/Logging_0562/kartor/A 22439-2023 karta.png", "A 22439-2023")</f>
        <v/>
      </c>
      <c r="Y85">
        <f>HYPERLINK("https://klasma.github.io/Logging_0562/kartor_geotiff/A 22439-2023 georefererad karta.tif", "A 22439-2023")</f>
        <v/>
      </c>
      <c r="AA85">
        <f>HYPERLINK("https://klasma.github.io/Logging_0562/klagomål/A 22439-2023 FSC-klagomål.docx", "A 22439-2023")</f>
        <v/>
      </c>
      <c r="AB85">
        <f>HYPERLINK("https://klasma.github.io/Logging_0562/klagomålsmail/A 22439-2023 FSC-klagomål mail.docx", "A 22439-2023")</f>
        <v/>
      </c>
      <c r="AC85">
        <f>HYPERLINK("https://klasma.github.io/Logging_0562/tillsyn/A 22439-2023 tillsynsbegäran.docx", "A 22439-2023")</f>
        <v/>
      </c>
      <c r="AD85">
        <f>HYPERLINK("https://klasma.github.io/Logging_0562/tillsynsmail/A 22439-2023 tillsynsbegäran mail.docx", "A 22439-2023")</f>
        <v/>
      </c>
    </row>
    <row r="86" ht="15" customHeight="1">
      <c r="A86" t="inlineStr">
        <is>
          <t>A 27456-2026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46262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27456-2026 artfynd.xlsx", "A 27456-2026")</f>
        <v/>
      </c>
      <c r="X86">
        <f>HYPERLINK("https://klasma.github.io/Logging_0562/kartor/A 27456-2026 karta.png", "A 27456-2026")</f>
        <v/>
      </c>
      <c r="Y86">
        <f>HYPERLINK("https://klasma.github.io/Logging_0562/kartor_geotiff/A 27456-2026 georefererad karta.tif", "A 27456-2026")</f>
        <v/>
      </c>
      <c r="AA86">
        <f>HYPERLINK("https://klasma.github.io/Logging_0562/klagomål/A 27456-2026 FSC-klagomål.docx", "A 27456-2026")</f>
        <v/>
      </c>
      <c r="AB86">
        <f>HYPERLINK("https://klasma.github.io/Logging_0562/klagomålsmail/A 27456-2026 FSC-klagomål mail.docx", "A 27456-2026")</f>
        <v/>
      </c>
      <c r="AC86">
        <f>HYPERLINK("https://klasma.github.io/Logging_0562/tillsyn/A 27456-2026 tillsynsbegäran.docx", "A 27456-2026")</f>
        <v/>
      </c>
      <c r="AD86">
        <f>HYPERLINK("https://klasma.github.io/Logging_0562/tillsynsmail/A 27456-2026 tillsynsbegäran mail.docx", "A 27456-2026")</f>
        <v/>
      </c>
    </row>
    <row r="87" ht="15" customHeight="1">
      <c r="A87" t="inlineStr">
        <is>
          <t>A 11140-2023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46262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HYPERLINK("https://klasma.github.io/Logging_0562/artfynd/A 11140-2023 artfynd.xlsx", "A 11140-2023")</f>
        <v/>
      </c>
      <c r="X87">
        <f>HYPERLINK("https://klasma.github.io/Logging_0562/kartor/A 11140-2023 karta.png", "A 11140-2023")</f>
        <v/>
      </c>
      <c r="Y87">
        <f>HYPERLINK("https://klasma.github.io/Logging_0562/kartor_geotiff/A 11140-2023 georefererad karta.tif", "A 11140-2023")</f>
        <v/>
      </c>
      <c r="AA87">
        <f>HYPERLINK("https://klasma.github.io/Logging_0562/klagomål/A 11140-2023 FSC-klagomål.docx", "A 11140-2023")</f>
        <v/>
      </c>
      <c r="AB87">
        <f>HYPERLINK("https://klasma.github.io/Logging_0562/klagomålsmail/A 11140-2023 FSC-klagomål mail.docx", "A 11140-2023")</f>
        <v/>
      </c>
      <c r="AC87">
        <f>HYPERLINK("https://klasma.github.io/Logging_0562/tillsyn/A 11140-2023 tillsynsbegäran.docx", "A 11140-2023")</f>
        <v/>
      </c>
      <c r="AD87">
        <f>HYPERLINK("https://klasma.github.io/Logging_0562/tillsynsmail/A 11140-2023 tillsynsbegäran mail.docx", "A 11140-2023")</f>
        <v/>
      </c>
    </row>
    <row r="88" ht="15" customHeight="1">
      <c r="A88" t="inlineStr">
        <is>
          <t>A 53673-2024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45615</v>
      </c>
      <c r="E88" s="1" t="n">
        <v>46262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HYPERLINK("https://klasma.github.io/Logging_0562/artfynd/A 53673-2024 artfynd.xlsx", "A 53673-2024")</f>
        <v/>
      </c>
      <c r="X88">
        <f>HYPERLINK("https://klasma.github.io/Logging_0562/kartor/A 53673-2024 karta.png", "A 53673-2024")</f>
        <v/>
      </c>
      <c r="Y88">
        <f>HYPERLINK("https://klasma.github.io/Logging_0562/kartor_geotiff/A 53673-2024 georefererad karta.tif", "A 53673-2024")</f>
        <v/>
      </c>
      <c r="Z88">
        <f>HYPERLINK("https://klasma.github.io/Logging_0562/knärot/A 53673-2024 karta knärot.png", "A 53673-2024")</f>
        <v/>
      </c>
      <c r="AA88">
        <f>HYPERLINK("https://klasma.github.io/Logging_0562/klagomål/A 53673-2024 FSC-klagomål.docx", "A 53673-2024")</f>
        <v/>
      </c>
      <c r="AB88">
        <f>HYPERLINK("https://klasma.github.io/Logging_0562/klagomålsmail/A 53673-2024 FSC-klagomål mail.docx", "A 53673-2024")</f>
        <v/>
      </c>
      <c r="AC88">
        <f>HYPERLINK("https://klasma.github.io/Logging_0562/tillsyn/A 53673-2024 tillsynsbegäran.docx", "A 53673-2024")</f>
        <v/>
      </c>
      <c r="AD88">
        <f>HYPERLINK("https://klasma.github.io/Logging_0562/tillsynsmail/A 53673-2024 tillsynsbegäran mail.docx", "A 53673-2024")</f>
        <v/>
      </c>
    </row>
    <row r="89" ht="15" customHeight="1">
      <c r="A89" t="inlineStr">
        <is>
          <t>A 34885-2026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46262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4.2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HYPERLINK("https://klasma.github.io/Logging_0562/artfynd/A 34885-2026 artfynd.xlsx", "A 34885-2026")</f>
        <v/>
      </c>
      <c r="X89">
        <f>HYPERLINK("https://klasma.github.io/Logging_0562/kartor/A 34885-2026 karta.png", "A 34885-2026")</f>
        <v/>
      </c>
      <c r="Y89">
        <f>HYPERLINK("https://klasma.github.io/Logging_0562/kartor_geotiff/A 34885-2026 georefererad karta.tif", "A 34885-2026")</f>
        <v/>
      </c>
      <c r="AA89">
        <f>HYPERLINK("https://klasma.github.io/Logging_0562/klagomål/A 34885-2026 FSC-klagomål.docx", "A 34885-2026")</f>
        <v/>
      </c>
      <c r="AB89">
        <f>HYPERLINK("https://klasma.github.io/Logging_0562/klagomålsmail/A 34885-2026 FSC-klagomål mail.docx", "A 34885-2026")</f>
        <v/>
      </c>
      <c r="AC89">
        <f>HYPERLINK("https://klasma.github.io/Logging_0562/tillsyn/A 34885-2026 tillsynsbegäran.docx", "A 34885-2026")</f>
        <v/>
      </c>
      <c r="AD89">
        <f>HYPERLINK("https://klasma.github.io/Logging_0562/tillsynsmail/A 34885-2026 tillsynsbegäran mail.docx", "A 34885-2026")</f>
        <v/>
      </c>
      <c r="AE89">
        <f>HYPERLINK("https://klasma.github.io/Logging_0562/fåglar/A 34885-2026 prioriterade fågelarter.docx", "A 34885-2026")</f>
        <v/>
      </c>
    </row>
    <row r="90" ht="15" customHeight="1">
      <c r="A90" t="inlineStr">
        <is>
          <t>A 34886-2026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46262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Övriga Aktiebolag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HYPERLINK("https://klasma.github.io/Logging_0562/artfynd/A 34886-2026 artfynd.xlsx", "A 34886-2026")</f>
        <v/>
      </c>
      <c r="X90">
        <f>HYPERLINK("https://klasma.github.io/Logging_0562/kartor/A 34886-2026 karta.png", "A 34886-2026")</f>
        <v/>
      </c>
      <c r="Y90">
        <f>HYPERLINK("https://klasma.github.io/Logging_0562/kartor_geotiff/A 34886-2026 georefererad karta.tif", "A 34886-2026")</f>
        <v/>
      </c>
      <c r="AA90">
        <f>HYPERLINK("https://klasma.github.io/Logging_0562/klagomål/A 34886-2026 FSC-klagomål.docx", "A 34886-2026")</f>
        <v/>
      </c>
      <c r="AB90">
        <f>HYPERLINK("https://klasma.github.io/Logging_0562/klagomålsmail/A 34886-2026 FSC-klagomål mail.docx", "A 34886-2026")</f>
        <v/>
      </c>
      <c r="AC90">
        <f>HYPERLINK("https://klasma.github.io/Logging_0562/tillsyn/A 34886-2026 tillsynsbegäran.docx", "A 34886-2026")</f>
        <v/>
      </c>
      <c r="AD90">
        <f>HYPERLINK("https://klasma.github.io/Logging_0562/tillsynsmail/A 34886-2026 tillsynsbegäran mail.docx", "A 34886-2026")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46262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46262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46262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46262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46262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46262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46262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35714-2022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46262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46262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46262</v>
      </c>
      <c r="F105" t="inlineStr">
        <is>
          <t>ÖSTERGÖTLANDS LÄN</t>
        </is>
      </c>
      <c r="G105" t="inlineStr">
        <is>
          <t>FINSPÅNG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46262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46262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46262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46262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Naturvårdsverket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46262</v>
      </c>
      <c r="F110" t="inlineStr">
        <is>
          <t>ÖSTERGÖTLANDS LÄN</t>
        </is>
      </c>
      <c r="G110" t="inlineStr">
        <is>
          <t>FINSPÅNG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46262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46262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46262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46262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46262</v>
      </c>
      <c r="F115" t="inlineStr">
        <is>
          <t>ÖSTERGÖTLANDS LÄN</t>
        </is>
      </c>
      <c r="G115" t="inlineStr">
        <is>
          <t>FINSPÅNG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46262</v>
      </c>
      <c r="F116" t="inlineStr">
        <is>
          <t>ÖSTERGÖTLANDS LÄN</t>
        </is>
      </c>
      <c r="G116" t="inlineStr">
        <is>
          <t>FINSPÅNG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46262</v>
      </c>
      <c r="F117" t="inlineStr">
        <is>
          <t>ÖSTERGÖTLANDS LÄN</t>
        </is>
      </c>
      <c r="G117" t="inlineStr">
        <is>
          <t>FINSPÅNG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46262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46262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46262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46262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67767-2021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46262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44503</v>
      </c>
      <c r="E123" s="1" t="n">
        <v>46262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46262</v>
      </c>
      <c r="F124" t="inlineStr">
        <is>
          <t>ÖSTERGÖTLANDS LÄN</t>
        </is>
      </c>
      <c r="G124" t="inlineStr">
        <is>
          <t>FINSPÅNG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46262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73659-2021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46262</v>
      </c>
      <c r="F126" t="inlineStr">
        <is>
          <t>ÖSTERGÖTLANDS LÄN</t>
        </is>
      </c>
      <c r="G126" t="inlineStr">
        <is>
          <t>FINSPÅNG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46262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46262</v>
      </c>
      <c r="F128" t="inlineStr">
        <is>
          <t>ÖSTERGÖTLANDS LÄN</t>
        </is>
      </c>
      <c r="G128" t="inlineStr">
        <is>
          <t>FINSPÅNG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46262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46262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46262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46262</v>
      </c>
      <c r="F132" t="inlineStr">
        <is>
          <t>ÖSTERGÖTLANDS LÄN</t>
        </is>
      </c>
      <c r="G132" t="inlineStr">
        <is>
          <t>FINSPÅNG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46262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46262</v>
      </c>
      <c r="F134" t="inlineStr">
        <is>
          <t>ÖSTERGÖTLANDS LÄN</t>
        </is>
      </c>
      <c r="G134" t="inlineStr">
        <is>
          <t>FINSPÅNG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44462</v>
      </c>
      <c r="E135" s="1" t="n">
        <v>46262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46262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46262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46262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27162-2022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46262</v>
      </c>
      <c r="F139" t="inlineStr">
        <is>
          <t>ÖSTERGÖTLANDS LÄN</t>
        </is>
      </c>
      <c r="G139" t="inlineStr">
        <is>
          <t>FINSPÅNG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46262</v>
      </c>
      <c r="F140" t="inlineStr">
        <is>
          <t>ÖSTERGÖTLANDS LÄN</t>
        </is>
      </c>
      <c r="G140" t="inlineStr">
        <is>
          <t>FINSPÅNG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46262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46262</v>
      </c>
      <c r="F142" t="inlineStr">
        <is>
          <t>ÖSTERGÖTLANDS LÄN</t>
        </is>
      </c>
      <c r="G142" t="inlineStr">
        <is>
          <t>FINSPÅNG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44855</v>
      </c>
      <c r="E143" s="1" t="n">
        <v>46262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46262</v>
      </c>
      <c r="F144" t="inlineStr">
        <is>
          <t>ÖSTERGÖTLANDS LÄN</t>
        </is>
      </c>
      <c r="G144" t="inlineStr">
        <is>
          <t>FINSPÅNG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46262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46262</v>
      </c>
      <c r="F146" t="inlineStr">
        <is>
          <t>ÖSTERGÖTLANDS LÄN</t>
        </is>
      </c>
      <c r="G146" t="inlineStr">
        <is>
          <t>FINSPÅNG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44802</v>
      </c>
      <c r="E147" s="1" t="n">
        <v>46262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46262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46262</v>
      </c>
      <c r="F149" t="inlineStr">
        <is>
          <t>ÖSTERGÖTLANDS LÄN</t>
        </is>
      </c>
      <c r="G149" t="inlineStr">
        <is>
          <t>FINSPÅNG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46262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71597-2021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44541</v>
      </c>
      <c r="E151" s="1" t="n">
        <v>46262</v>
      </c>
      <c r="F151" t="inlineStr">
        <is>
          <t>ÖSTERGÖTLANDS LÄN</t>
        </is>
      </c>
      <c r="G151" t="inlineStr">
        <is>
          <t>FINSPÅNG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46262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46262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46262</v>
      </c>
      <c r="F154" t="inlineStr">
        <is>
          <t>ÖSTERGÖTLANDS LÄN</t>
        </is>
      </c>
      <c r="G154" t="inlineStr">
        <is>
          <t>FINSPÅNG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44595</v>
      </c>
      <c r="E155" s="1" t="n">
        <v>46262</v>
      </c>
      <c r="F155" t="inlineStr">
        <is>
          <t>ÖSTERGÖTLANDS LÄN</t>
        </is>
      </c>
      <c r="G155" t="inlineStr">
        <is>
          <t>FINSPÅNG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46262</v>
      </c>
      <c r="F156" t="inlineStr">
        <is>
          <t>ÖSTERGÖTLANDS LÄN</t>
        </is>
      </c>
      <c r="G156" t="inlineStr">
        <is>
          <t>FINSPÅNG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46262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46262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46262</v>
      </c>
      <c r="F159" t="inlineStr">
        <is>
          <t>ÖSTERGÖTLANDS LÄN</t>
        </is>
      </c>
      <c r="G159" t="inlineStr">
        <is>
          <t>FINSPÅNG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46262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46262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46262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69717-2021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46262</v>
      </c>
      <c r="F163" t="inlineStr">
        <is>
          <t>ÖSTERGÖTLANDS LÄN</t>
        </is>
      </c>
      <c r="G163" t="inlineStr">
        <is>
          <t>FINSPÅNG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46262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46262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53609-2022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46262</v>
      </c>
      <c r="F166" t="inlineStr">
        <is>
          <t>ÖSTERGÖTLANDS LÄN</t>
        </is>
      </c>
      <c r="G166" t="inlineStr">
        <is>
          <t>FINSPÅNG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46262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Övriga Aktiebolag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46262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46262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46262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46262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46262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46262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46262</v>
      </c>
      <c r="F174" t="inlineStr">
        <is>
          <t>ÖSTERGÖTLANDS LÄN</t>
        </is>
      </c>
      <c r="G174" t="inlineStr">
        <is>
          <t>FINSPÅNG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46262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46262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46262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46262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46262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46262</v>
      </c>
      <c r="F180" t="inlineStr">
        <is>
          <t>ÖSTERGÖTLANDS LÄN</t>
        </is>
      </c>
      <c r="G180" t="inlineStr">
        <is>
          <t>FINSPÅNG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44444</v>
      </c>
      <c r="E181" s="1" t="n">
        <v>46262</v>
      </c>
      <c r="F181" t="inlineStr">
        <is>
          <t>ÖSTERGÖTLANDS LÄN</t>
        </is>
      </c>
      <c r="G181" t="inlineStr">
        <is>
          <t>FINSPÅNG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44742</v>
      </c>
      <c r="E182" s="1" t="n">
        <v>46262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46262</v>
      </c>
      <c r="F183" t="inlineStr">
        <is>
          <t>ÖSTERGÖTLANDS LÄN</t>
        </is>
      </c>
      <c r="G183" t="inlineStr">
        <is>
          <t>FINSPÅNG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46262</v>
      </c>
      <c r="F184" t="inlineStr">
        <is>
          <t>ÖSTERGÖTLANDS LÄN</t>
        </is>
      </c>
      <c r="G184" t="inlineStr">
        <is>
          <t>FINSPÅNG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46262</v>
      </c>
      <c r="F185" t="inlineStr">
        <is>
          <t>ÖSTERGÖTLANDS LÄN</t>
        </is>
      </c>
      <c r="G185" t="inlineStr">
        <is>
          <t>FINSPÅNG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46262</v>
      </c>
      <c r="F186" t="inlineStr">
        <is>
          <t>ÖSTERGÖTLANDS LÄN</t>
        </is>
      </c>
      <c r="G186" t="inlineStr">
        <is>
          <t>FINSPÅNG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46262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46262</v>
      </c>
      <c r="F188" t="inlineStr">
        <is>
          <t>ÖSTERGÖTLANDS LÄN</t>
        </is>
      </c>
      <c r="G188" t="inlineStr">
        <is>
          <t>FINSPÅNG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46262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46262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46262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46262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56883-2021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46262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44533</v>
      </c>
      <c r="E194" s="1" t="n">
        <v>46262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46262</v>
      </c>
      <c r="F195" t="inlineStr">
        <is>
          <t>ÖSTERGÖTLANDS LÄN</t>
        </is>
      </c>
      <c r="G195" t="inlineStr">
        <is>
          <t>FINSPÅNG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44678</v>
      </c>
      <c r="E196" s="1" t="n">
        <v>46262</v>
      </c>
      <c r="F196" t="inlineStr">
        <is>
          <t>ÖSTERGÖTLANDS LÄN</t>
        </is>
      </c>
      <c r="G196" t="inlineStr">
        <is>
          <t>FINSPÅNG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44564</v>
      </c>
      <c r="E197" s="1" t="n">
        <v>46262</v>
      </c>
      <c r="F197" t="inlineStr">
        <is>
          <t>ÖSTERGÖTLANDS LÄN</t>
        </is>
      </c>
      <c r="G197" t="inlineStr">
        <is>
          <t>FINSPÅNG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46262</v>
      </c>
      <c r="F198" t="inlineStr">
        <is>
          <t>ÖSTERGÖTLANDS LÄN</t>
        </is>
      </c>
      <c r="G198" t="inlineStr">
        <is>
          <t>FINSPÅNG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46262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46262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44656</v>
      </c>
      <c r="E201" s="1" t="n">
        <v>46262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46262</v>
      </c>
      <c r="F202" t="inlineStr">
        <is>
          <t>ÖSTERGÖTLANDS LÄN</t>
        </is>
      </c>
      <c r="G202" t="inlineStr">
        <is>
          <t>FINSPÅNG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22603-2024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45447</v>
      </c>
      <c r="E203" s="1" t="n">
        <v>46262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28722-2023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45103</v>
      </c>
      <c r="E204" s="1" t="n">
        <v>46262</v>
      </c>
      <c r="F204" t="inlineStr">
        <is>
          <t>ÖSTERGÖTLANDS LÄN</t>
        </is>
      </c>
      <c r="G204" t="inlineStr">
        <is>
          <t>FINSPÅNG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44966</v>
      </c>
      <c r="E205" s="1" t="n">
        <v>46262</v>
      </c>
      <c r="F205" t="inlineStr">
        <is>
          <t>ÖSTERGÖTLANDS LÄN</t>
        </is>
      </c>
      <c r="G205" t="inlineStr">
        <is>
          <t>FINSPÅNG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46262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44898</v>
      </c>
      <c r="E207" s="1" t="n">
        <v>46262</v>
      </c>
      <c r="F207" t="inlineStr">
        <is>
          <t>ÖSTERGÖTLANDS LÄN</t>
        </is>
      </c>
      <c r="G207" t="inlineStr">
        <is>
          <t>FINSPÅNG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46262</v>
      </c>
      <c r="F208" t="inlineStr">
        <is>
          <t>ÖSTERGÖTLANDS LÄN</t>
        </is>
      </c>
      <c r="G208" t="inlineStr">
        <is>
          <t>FINSPÅNG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46262</v>
      </c>
      <c r="F209" t="inlineStr">
        <is>
          <t>ÖSTERGÖTLANDS LÄN</t>
        </is>
      </c>
      <c r="G209" t="inlineStr">
        <is>
          <t>FINSPÅNG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44866</v>
      </c>
      <c r="E210" s="1" t="n">
        <v>46262</v>
      </c>
      <c r="F210" t="inlineStr">
        <is>
          <t>ÖSTERGÖTLANDS LÄN</t>
        </is>
      </c>
      <c r="G210" t="inlineStr">
        <is>
          <t>FINSPÅNG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53123-2021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44467</v>
      </c>
      <c r="E211" s="1" t="n">
        <v>46262</v>
      </c>
      <c r="F211" t="inlineStr">
        <is>
          <t>ÖSTERGÖTLANDS LÄN</t>
        </is>
      </c>
      <c r="G211" t="inlineStr">
        <is>
          <t>FINSPÅNG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44677</v>
      </c>
      <c r="E212" s="1" t="n">
        <v>46262</v>
      </c>
      <c r="F212" t="inlineStr">
        <is>
          <t>ÖSTERGÖTLANDS LÄN</t>
        </is>
      </c>
      <c r="G212" t="inlineStr">
        <is>
          <t>FINSPÅNG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36100-2022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46262</v>
      </c>
      <c r="F213" t="inlineStr">
        <is>
          <t>ÖSTERGÖTLANDS LÄN</t>
        </is>
      </c>
      <c r="G213" t="inlineStr">
        <is>
          <t>FINSPÅNG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46262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44476</v>
      </c>
      <c r="E215" s="1" t="n">
        <v>46262</v>
      </c>
      <c r="F215" t="inlineStr">
        <is>
          <t>ÖSTERGÖTLANDS LÄN</t>
        </is>
      </c>
      <c r="G215" t="inlineStr">
        <is>
          <t>FINSPÅNG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46262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46262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46262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44672</v>
      </c>
      <c r="E219" s="1" t="n">
        <v>46262</v>
      </c>
      <c r="F219" t="inlineStr">
        <is>
          <t>ÖSTERGÖTLANDS LÄN</t>
        </is>
      </c>
      <c r="G219" t="inlineStr">
        <is>
          <t>FINSPÅNG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45086</v>
      </c>
      <c r="E220" s="1" t="n">
        <v>46262</v>
      </c>
      <c r="F220" t="inlineStr">
        <is>
          <t>ÖSTERGÖTLANDS LÄN</t>
        </is>
      </c>
      <c r="G220" t="inlineStr">
        <is>
          <t>FINSPÅNG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46262</v>
      </c>
      <c r="F221" t="inlineStr">
        <is>
          <t>ÖSTERGÖTLANDS LÄN</t>
        </is>
      </c>
      <c r="G221" t="inlineStr">
        <is>
          <t>FINSPÅNG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46262</v>
      </c>
      <c r="F222" t="inlineStr">
        <is>
          <t>ÖSTERGÖTLANDS LÄN</t>
        </is>
      </c>
      <c r="G222" t="inlineStr">
        <is>
          <t>FINSPÅNG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46262</v>
      </c>
      <c r="F223" t="inlineStr">
        <is>
          <t>ÖSTERGÖTLANDS LÄN</t>
        </is>
      </c>
      <c r="G223" t="inlineStr">
        <is>
          <t>FINSPÅNG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45063</v>
      </c>
      <c r="E224" s="1" t="n">
        <v>46262</v>
      </c>
      <c r="F224" t="inlineStr">
        <is>
          <t>ÖSTERGÖTLANDS LÄN</t>
        </is>
      </c>
      <c r="G224" t="inlineStr">
        <is>
          <t>FINSPÅNG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46262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46262</v>
      </c>
      <c r="F226" t="inlineStr">
        <is>
          <t>ÖSTERGÖTLANDS LÄN</t>
        </is>
      </c>
      <c r="G226" t="inlineStr">
        <is>
          <t>FINSPÅNG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30922-2022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44767</v>
      </c>
      <c r="E227" s="1" t="n">
        <v>46262</v>
      </c>
      <c r="F227" t="inlineStr">
        <is>
          <t>ÖSTERGÖTLANDS LÄN</t>
        </is>
      </c>
      <c r="G227" t="inlineStr">
        <is>
          <t>FINSPÅNG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46262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46262</v>
      </c>
      <c r="F229" t="inlineStr">
        <is>
          <t>ÖSTERGÖTLANDS LÄN</t>
        </is>
      </c>
      <c r="G229" t="inlineStr">
        <is>
          <t>FINSPÅNG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45371</v>
      </c>
      <c r="E230" s="1" t="n">
        <v>46262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Kyrkan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46262</v>
      </c>
      <c r="F231" t="inlineStr">
        <is>
          <t>ÖSTERGÖTLANDS LÄN</t>
        </is>
      </c>
      <c r="G231" t="inlineStr">
        <is>
          <t>FINSPÅNG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46262</v>
      </c>
      <c r="F232" t="inlineStr">
        <is>
          <t>ÖSTERGÖTLANDS LÄN</t>
        </is>
      </c>
      <c r="G232" t="inlineStr">
        <is>
          <t>FINSPÅNG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45727</v>
      </c>
      <c r="E233" s="1" t="n">
        <v>46262</v>
      </c>
      <c r="F233" t="inlineStr">
        <is>
          <t>ÖSTERGÖTLANDS LÄN</t>
        </is>
      </c>
      <c r="G233" t="inlineStr">
        <is>
          <t>FINSPÅNG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45555</v>
      </c>
      <c r="E234" s="1" t="n">
        <v>46262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45623</v>
      </c>
      <c r="E235" s="1" t="n">
        <v>46262</v>
      </c>
      <c r="F235" t="inlineStr">
        <is>
          <t>ÖSTERGÖTLANDS LÄN</t>
        </is>
      </c>
      <c r="G235" t="inlineStr">
        <is>
          <t>FINSPÅNG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19170-2024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46262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45206</v>
      </c>
      <c r="E237" s="1" t="n">
        <v>46262</v>
      </c>
      <c r="F237" t="inlineStr">
        <is>
          <t>ÖSTERGÖTLANDS LÄN</t>
        </is>
      </c>
      <c r="G237" t="inlineStr">
        <is>
          <t>FINSPÅNG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46262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46262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45705</v>
      </c>
      <c r="E240" s="1" t="n">
        <v>46262</v>
      </c>
      <c r="F240" t="inlineStr">
        <is>
          <t>ÖSTERGÖTLANDS LÄN</t>
        </is>
      </c>
      <c r="G240" t="inlineStr">
        <is>
          <t>FINSPÅNG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45642</v>
      </c>
      <c r="E241" s="1" t="n">
        <v>46262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45095</v>
      </c>
      <c r="E242" s="1" t="n">
        <v>46262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Övriga Aktiebolag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46262</v>
      </c>
      <c r="F243" t="inlineStr">
        <is>
          <t>ÖSTERGÖTLANDS LÄN</t>
        </is>
      </c>
      <c r="G243" t="inlineStr">
        <is>
          <t>FINSPÅNG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24328-2025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45797</v>
      </c>
      <c r="E244" s="1" t="n">
        <v>46262</v>
      </c>
      <c r="F244" t="inlineStr">
        <is>
          <t>ÖSTERGÖTLANDS LÄN</t>
        </is>
      </c>
      <c r="G244" t="inlineStr">
        <is>
          <t>FINSPÅNG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46262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44508</v>
      </c>
      <c r="E246" s="1" t="n">
        <v>46262</v>
      </c>
      <c r="F246" t="inlineStr">
        <is>
          <t>ÖSTERGÖTLANDS LÄN</t>
        </is>
      </c>
      <c r="G246" t="inlineStr">
        <is>
          <t>FINSPÅNG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46262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Naturvårdsverket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46262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46262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46262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24310-2025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45797</v>
      </c>
      <c r="E251" s="1" t="n">
        <v>46262</v>
      </c>
      <c r="F251" t="inlineStr">
        <is>
          <t>ÖSTERGÖTLANDS LÄN</t>
        </is>
      </c>
      <c r="G251" t="inlineStr">
        <is>
          <t>FINSPÅNG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45407-2022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44844</v>
      </c>
      <c r="E252" s="1" t="n">
        <v>46262</v>
      </c>
      <c r="F252" t="inlineStr">
        <is>
          <t>ÖSTERGÖTLANDS LÄN</t>
        </is>
      </c>
      <c r="G252" t="inlineStr">
        <is>
          <t>FINSPÅNG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44844</v>
      </c>
      <c r="E253" s="1" t="n">
        <v>46262</v>
      </c>
      <c r="F253" t="inlineStr">
        <is>
          <t>ÖSTERGÖTLANDS LÄN</t>
        </is>
      </c>
      <c r="G253" t="inlineStr">
        <is>
          <t>FINSPÅNG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45621</v>
      </c>
      <c r="E254" s="1" t="n">
        <v>46262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46262</v>
      </c>
      <c r="F255" t="inlineStr">
        <is>
          <t>ÖSTERGÖTLANDS LÄN</t>
        </is>
      </c>
      <c r="G255" t="inlineStr">
        <is>
          <t>FINSPÅNG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46262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46262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46262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46262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Övriga Aktiebolag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46262</v>
      </c>
      <c r="F260" t="inlineStr">
        <is>
          <t>ÖSTERGÖTLANDS LÄN</t>
        </is>
      </c>
      <c r="G260" t="inlineStr">
        <is>
          <t>FINSPÅNG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46262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45688</v>
      </c>
      <c r="E262" s="1" t="n">
        <v>46262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46262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45707</v>
      </c>
      <c r="E264" s="1" t="n">
        <v>46262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Allmännings- och besparingsskogar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45441</v>
      </c>
      <c r="E265" s="1" t="n">
        <v>46262</v>
      </c>
      <c r="F265" t="inlineStr">
        <is>
          <t>ÖSTERGÖTLANDS LÄN</t>
        </is>
      </c>
      <c r="G265" t="inlineStr">
        <is>
          <t>FINSPÅNG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45316</v>
      </c>
      <c r="E266" s="1" t="n">
        <v>46262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Övriga Aktiebolag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46262</v>
      </c>
      <c r="F267" t="inlineStr">
        <is>
          <t>ÖSTERGÖTLANDS LÄN</t>
        </is>
      </c>
      <c r="G267" t="inlineStr">
        <is>
          <t>FINSPÅNG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40006-2025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46262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45233</v>
      </c>
      <c r="E269" s="1" t="n">
        <v>46262</v>
      </c>
      <c r="F269" t="inlineStr">
        <is>
          <t>ÖSTERGÖTLANDS LÄN</t>
        </is>
      </c>
      <c r="G269" t="inlineStr">
        <is>
          <t>FINSPÅNG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46262</v>
      </c>
      <c r="F270" t="inlineStr">
        <is>
          <t>ÖSTERGÖTLANDS LÄN</t>
        </is>
      </c>
      <c r="G270" t="inlineStr">
        <is>
          <t>FINSPÅNG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46262</v>
      </c>
      <c r="F271" t="inlineStr">
        <is>
          <t>ÖSTERGÖTLANDS LÄN</t>
        </is>
      </c>
      <c r="G271" t="inlineStr">
        <is>
          <t>FINSPÅNG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46262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46262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45149</v>
      </c>
      <c r="E274" s="1" t="n">
        <v>46262</v>
      </c>
      <c r="F274" t="inlineStr">
        <is>
          <t>ÖSTERGÖTLANDS LÄN</t>
        </is>
      </c>
      <c r="G274" t="inlineStr">
        <is>
          <t>FINSPÅNG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45800</v>
      </c>
      <c r="E275" s="1" t="n">
        <v>46262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Naturvårdsverket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45955</v>
      </c>
      <c r="E276" s="1" t="n">
        <v>46262</v>
      </c>
      <c r="F276" t="inlineStr">
        <is>
          <t>ÖSTERGÖTLANDS LÄN</t>
        </is>
      </c>
      <c r="G276" t="inlineStr">
        <is>
          <t>FINSPÅNG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25306-2025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45800</v>
      </c>
      <c r="E277" s="1" t="n">
        <v>46262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Naturvårdsverket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45800</v>
      </c>
      <c r="E278" s="1" t="n">
        <v>46262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Naturvårdsverket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25342-2025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45800</v>
      </c>
      <c r="E279" s="1" t="n">
        <v>46262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Naturvårdsverket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44861</v>
      </c>
      <c r="E280" s="1" t="n">
        <v>46262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Naturvårdsverket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46262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46262</v>
      </c>
      <c r="F282" t="inlineStr">
        <is>
          <t>ÖSTERGÖTLANDS LÄN</t>
        </is>
      </c>
      <c r="G282" t="inlineStr">
        <is>
          <t>FINSPÅNG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46262</v>
      </c>
      <c r="F283" t="inlineStr">
        <is>
          <t>ÖSTERGÖTLANDS LÄN</t>
        </is>
      </c>
      <c r="G283" t="inlineStr">
        <is>
          <t>FINSPÅNG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46262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44942</v>
      </c>
      <c r="E285" s="1" t="n">
        <v>46262</v>
      </c>
      <c r="F285" t="inlineStr">
        <is>
          <t>ÖSTERGÖTLANDS LÄN</t>
        </is>
      </c>
      <c r="G285" t="inlineStr">
        <is>
          <t>FINSPÅNG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27697-2023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45095</v>
      </c>
      <c r="E286" s="1" t="n">
        <v>46262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Övriga Aktiebolag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45095</v>
      </c>
      <c r="E287" s="1" t="n">
        <v>46262</v>
      </c>
      <c r="F287" t="inlineStr">
        <is>
          <t>ÖSTERGÖTLANDS LÄN</t>
        </is>
      </c>
      <c r="G287" t="inlineStr">
        <is>
          <t>FINSPÅNG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46262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46262</v>
      </c>
      <c r="F289" t="inlineStr">
        <is>
          <t>ÖSTERGÖTLANDS LÄN</t>
        </is>
      </c>
      <c r="G289" t="inlineStr">
        <is>
          <t>FINSPÅNG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46262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53545-2025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45960</v>
      </c>
      <c r="E291" s="1" t="n">
        <v>46262</v>
      </c>
      <c r="F291" t="inlineStr">
        <is>
          <t>ÖSTERGÖTLANDS LÄN</t>
        </is>
      </c>
      <c r="G291" t="inlineStr">
        <is>
          <t>FINSPÅNG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46262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46262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45903</v>
      </c>
      <c r="E294" s="1" t="n">
        <v>46262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45969</v>
      </c>
      <c r="E295" s="1" t="n">
        <v>46262</v>
      </c>
      <c r="F295" t="inlineStr">
        <is>
          <t>ÖSTERGÖTLANDS LÄN</t>
        </is>
      </c>
      <c r="G295" t="inlineStr">
        <is>
          <t>FINSPÅNG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46262</v>
      </c>
      <c r="F296" t="inlineStr">
        <is>
          <t>ÖSTERGÖTLANDS LÄN</t>
        </is>
      </c>
      <c r="G296" t="inlineStr">
        <is>
          <t>FINSPÅNG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46262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46262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46262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46262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46262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46262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45904</v>
      </c>
      <c r="E303" s="1" t="n">
        <v>46262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39205-2022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44817</v>
      </c>
      <c r="E304" s="1" t="n">
        <v>46262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46262</v>
      </c>
      <c r="F305" t="inlineStr">
        <is>
          <t>ÖSTERGÖTLANDS LÄN</t>
        </is>
      </c>
      <c r="G305" t="inlineStr">
        <is>
          <t>FINSPÅNG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46262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42373-2025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45905</v>
      </c>
      <c r="E307" s="1" t="n">
        <v>46262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58188-2025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45983</v>
      </c>
      <c r="E308" s="1" t="n">
        <v>46262</v>
      </c>
      <c r="F308" t="inlineStr">
        <is>
          <t>ÖSTERGÖTLANDS LÄN</t>
        </is>
      </c>
      <c r="G308" t="inlineStr">
        <is>
          <t>FINSPÅNG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45983</v>
      </c>
      <c r="E309" s="1" t="n">
        <v>46262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45983</v>
      </c>
      <c r="E310" s="1" t="n">
        <v>46262</v>
      </c>
      <c r="F310" t="inlineStr">
        <is>
          <t>ÖSTERGÖTLANDS LÄN</t>
        </is>
      </c>
      <c r="G310" t="inlineStr">
        <is>
          <t>FINSPÅNG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45985</v>
      </c>
      <c r="E311" s="1" t="n">
        <v>46262</v>
      </c>
      <c r="F311" t="inlineStr">
        <is>
          <t>ÖSTERGÖTLANDS LÄN</t>
        </is>
      </c>
      <c r="G311" t="inlineStr">
        <is>
          <t>FINSPÅNG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46262</v>
      </c>
      <c r="F312" t="inlineStr">
        <is>
          <t>ÖSTERGÖTLANDS LÄN</t>
        </is>
      </c>
      <c r="G312" t="inlineStr">
        <is>
          <t>FINSPÅNG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46262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46262</v>
      </c>
      <c r="F314" t="inlineStr">
        <is>
          <t>ÖSTERGÖTLANDS LÄN</t>
        </is>
      </c>
      <c r="G314" t="inlineStr">
        <is>
          <t>FINSPÅNG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46262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46262</v>
      </c>
      <c r="F316" t="inlineStr">
        <is>
          <t>ÖSTERGÖTLANDS LÄN</t>
        </is>
      </c>
      <c r="G316" t="inlineStr">
        <is>
          <t>FINSPÅNG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46262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46262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46262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60547-2023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45259</v>
      </c>
      <c r="E320" s="1" t="n">
        <v>46262</v>
      </c>
      <c r="F320" t="inlineStr">
        <is>
          <t>ÖSTERGÖTLANDS LÄN</t>
        </is>
      </c>
      <c r="G320" t="inlineStr">
        <is>
          <t>FINSPÅNG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28508-2025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46262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28792-2025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46262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46262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46262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46262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46262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45623</v>
      </c>
      <c r="E327" s="1" t="n">
        <v>46262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46262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53821-2022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44880</v>
      </c>
      <c r="E329" s="1" t="n">
        <v>46262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46262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45924</v>
      </c>
      <c r="E331" s="1" t="n">
        <v>46262</v>
      </c>
      <c r="F331" t="inlineStr">
        <is>
          <t>ÖSTERGÖTLANDS LÄN</t>
        </is>
      </c>
      <c r="G331" t="inlineStr">
        <is>
          <t>FINSPÅNG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46262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46262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8317-2023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46262</v>
      </c>
      <c r="F334" t="inlineStr">
        <is>
          <t>ÖSTERGÖTLANDS LÄN</t>
        </is>
      </c>
      <c r="G334" t="inlineStr">
        <is>
          <t>FINSPÅNG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46262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45008</v>
      </c>
      <c r="E336" s="1" t="n">
        <v>46262</v>
      </c>
      <c r="F336" t="inlineStr">
        <is>
          <t>ÖSTERGÖTLANDS LÄN</t>
        </is>
      </c>
      <c r="G336" t="inlineStr">
        <is>
          <t>FINSPÅNG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46262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47567-2025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45931</v>
      </c>
      <c r="E338" s="1" t="n">
        <v>46262</v>
      </c>
      <c r="F338" t="inlineStr">
        <is>
          <t>ÖSTERGÖTLANDS LÄN</t>
        </is>
      </c>
      <c r="G338" t="inlineStr">
        <is>
          <t>FINSPÅNG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48652-2024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45593</v>
      </c>
      <c r="E339" s="1" t="n">
        <v>46262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46262</v>
      </c>
      <c r="F340" t="inlineStr">
        <is>
          <t>ÖSTERGÖTLANDS LÄN</t>
        </is>
      </c>
      <c r="G340" t="inlineStr">
        <is>
          <t>FINSPÅNG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45776</v>
      </c>
      <c r="E341" s="1" t="n">
        <v>46262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18134-2023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45040</v>
      </c>
      <c r="E342" s="1" t="n">
        <v>46262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45710</v>
      </c>
      <c r="E343" s="1" t="n">
        <v>46262</v>
      </c>
      <c r="F343" t="inlineStr">
        <is>
          <t>ÖSTERGÖTLANDS LÄN</t>
        </is>
      </c>
      <c r="G343" t="inlineStr">
        <is>
          <t>FINSPÅNG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45854</v>
      </c>
      <c r="E344" s="1" t="n">
        <v>46262</v>
      </c>
      <c r="F344" t="inlineStr">
        <is>
          <t>ÖSTERGÖTLANDS LÄN</t>
        </is>
      </c>
      <c r="G344" t="inlineStr">
        <is>
          <t>FINSPÅNG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45854</v>
      </c>
      <c r="E345" s="1" t="n">
        <v>46262</v>
      </c>
      <c r="F345" t="inlineStr">
        <is>
          <t>ÖSTERGÖTLANDS LÄN</t>
        </is>
      </c>
      <c r="G345" t="inlineStr">
        <is>
          <t>FINSPÅNG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46262</v>
      </c>
      <c r="F346" t="inlineStr">
        <is>
          <t>ÖSTERGÖTLANDS LÄN</t>
        </is>
      </c>
      <c r="G346" t="inlineStr">
        <is>
          <t>FINSPÅNG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45337</v>
      </c>
      <c r="E347" s="1" t="n">
        <v>46262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35279-2025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45853</v>
      </c>
      <c r="E348" s="1" t="n">
        <v>46262</v>
      </c>
      <c r="F348" t="inlineStr">
        <is>
          <t>ÖSTERGÖTLANDS LÄN</t>
        </is>
      </c>
      <c r="G348" t="inlineStr">
        <is>
          <t>FINSPÅNG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46262</v>
      </c>
      <c r="F349" t="inlineStr">
        <is>
          <t>ÖSTERGÖTLANDS LÄN</t>
        </is>
      </c>
      <c r="G349" t="inlineStr">
        <is>
          <t>FINSPÅNG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33997-2024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45523</v>
      </c>
      <c r="E350" s="1" t="n">
        <v>46262</v>
      </c>
      <c r="F350" t="inlineStr">
        <is>
          <t>ÖSTERGÖTLANDS LÄN</t>
        </is>
      </c>
      <c r="G350" t="inlineStr">
        <is>
          <t>FINSPÅNG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45863</v>
      </c>
      <c r="E351" s="1" t="n">
        <v>46262</v>
      </c>
      <c r="F351" t="inlineStr">
        <is>
          <t>ÖSTERGÖTLANDS LÄN</t>
        </is>
      </c>
      <c r="G351" t="inlineStr">
        <is>
          <t>FINSPÅNG</t>
        </is>
      </c>
      <c r="I351" t="n">
        <v>22.6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46262</v>
      </c>
      <c r="F352" t="inlineStr">
        <is>
          <t>ÖSTERGÖTLANDS LÄN</t>
        </is>
      </c>
      <c r="G352" t="inlineStr">
        <is>
          <t>FINSPÅNG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46262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45935</v>
      </c>
      <c r="E354" s="1" t="n">
        <v>46262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Övriga Aktiebolag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46262</v>
      </c>
      <c r="F355" t="inlineStr">
        <is>
          <t>ÖSTERGÖTLANDS LÄN</t>
        </is>
      </c>
      <c r="G355" t="inlineStr">
        <is>
          <t>FINSPÅNG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45274</v>
      </c>
      <c r="E356" s="1" t="n">
        <v>46262</v>
      </c>
      <c r="F356" t="inlineStr">
        <is>
          <t>ÖSTERGÖTLANDS LÄN</t>
        </is>
      </c>
      <c r="G356" t="inlineStr">
        <is>
          <t>FINSPÅNG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46262</v>
      </c>
      <c r="F357" t="inlineStr">
        <is>
          <t>ÖSTERGÖTLANDS LÄN</t>
        </is>
      </c>
      <c r="G357" t="inlineStr">
        <is>
          <t>FINSPÅNG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45820</v>
      </c>
      <c r="E358" s="1" t="n">
        <v>46262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36593-2025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46262</v>
      </c>
      <c r="F359" t="inlineStr">
        <is>
          <t>ÖSTERGÖTLANDS LÄN</t>
        </is>
      </c>
      <c r="G359" t="inlineStr">
        <is>
          <t>FINSPÅNG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58991-2021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44490</v>
      </c>
      <c r="E360" s="1" t="n">
        <v>46262</v>
      </c>
      <c r="F360" t="inlineStr">
        <is>
          <t>ÖSTERGÖTLANDS LÄN</t>
        </is>
      </c>
      <c r="G360" t="inlineStr">
        <is>
          <t>FINSPÅNG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45415</v>
      </c>
      <c r="E361" s="1" t="n">
        <v>46262</v>
      </c>
      <c r="F361" t="inlineStr">
        <is>
          <t>ÖSTERGÖTLANDS LÄN</t>
        </is>
      </c>
      <c r="G361" t="inlineStr">
        <is>
          <t>FINSPÅNG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45328</v>
      </c>
      <c r="E362" s="1" t="n">
        <v>46262</v>
      </c>
      <c r="F362" t="inlineStr">
        <is>
          <t>ÖSTERGÖTLANDS LÄN</t>
        </is>
      </c>
      <c r="G362" t="inlineStr">
        <is>
          <t>FINSPÅNG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50395-2025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45944</v>
      </c>
      <c r="E363" s="1" t="n">
        <v>46262</v>
      </c>
      <c r="F363" t="inlineStr">
        <is>
          <t>ÖSTERGÖTLANDS LÄN</t>
        </is>
      </c>
      <c r="G363" t="inlineStr">
        <is>
          <t>FINSPÅNG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45709</v>
      </c>
      <c r="E364" s="1" t="n">
        <v>46262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45095</v>
      </c>
      <c r="E365" s="1" t="n">
        <v>46262</v>
      </c>
      <c r="F365" t="inlineStr">
        <is>
          <t>ÖSTERGÖTLANDS LÄN</t>
        </is>
      </c>
      <c r="G365" t="inlineStr">
        <is>
          <t>FINSPÅNG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45880</v>
      </c>
      <c r="E366" s="1" t="n">
        <v>46262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46262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37742-2025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45880</v>
      </c>
      <c r="E368" s="1" t="n">
        <v>46262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44949</v>
      </c>
      <c r="E369" s="1" t="n">
        <v>46262</v>
      </c>
      <c r="F369" t="inlineStr">
        <is>
          <t>ÖSTERGÖTLANDS LÄN</t>
        </is>
      </c>
      <c r="G369" t="inlineStr">
        <is>
          <t>FINSPÅNG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46262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50063-2022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44860</v>
      </c>
      <c r="E371" s="1" t="n">
        <v>46262</v>
      </c>
      <c r="F371" t="inlineStr">
        <is>
          <t>ÖSTERGÖTLANDS LÄN</t>
        </is>
      </c>
      <c r="G371" t="inlineStr">
        <is>
          <t>FINSPÅNG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45456</v>
      </c>
      <c r="E372" s="1" t="n">
        <v>46262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45883</v>
      </c>
      <c r="E373" s="1" t="n">
        <v>46262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46262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45744</v>
      </c>
      <c r="E375" s="1" t="n">
        <v>46262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Naturvårdsverket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45257</v>
      </c>
      <c r="E376" s="1" t="n">
        <v>46262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45257</v>
      </c>
      <c r="E377" s="1" t="n">
        <v>46262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46262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28732-2023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46262</v>
      </c>
      <c r="F379" t="inlineStr">
        <is>
          <t>ÖSTERGÖTLANDS LÄN</t>
        </is>
      </c>
      <c r="G379" t="inlineStr">
        <is>
          <t>FINSPÅNG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46262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61595-2025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46002</v>
      </c>
      <c r="E381" s="1" t="n">
        <v>46262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45178</v>
      </c>
      <c r="E382" s="1" t="n">
        <v>46262</v>
      </c>
      <c r="F382" t="inlineStr">
        <is>
          <t>ÖSTERGÖTLANDS LÄN</t>
        </is>
      </c>
      <c r="G382" t="inlineStr">
        <is>
          <t>FINSPÅNG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46262</v>
      </c>
      <c r="F383" t="inlineStr">
        <is>
          <t>ÖSTERGÖTLANDS LÄN</t>
        </is>
      </c>
      <c r="G383" t="inlineStr">
        <is>
          <t>FINSPÅNG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13084-2023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46262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46002</v>
      </c>
      <c r="E385" s="1" t="n">
        <v>46262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46002</v>
      </c>
      <c r="E386" s="1" t="n">
        <v>46262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61712-2025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46262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73260-2021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44550</v>
      </c>
      <c r="E388" s="1" t="n">
        <v>46262</v>
      </c>
      <c r="F388" t="inlineStr">
        <is>
          <t>ÖSTERGÖTLANDS LÄN</t>
        </is>
      </c>
      <c r="G388" t="inlineStr">
        <is>
          <t>FINSPÅNG</t>
        </is>
      </c>
      <c r="I388" t="n">
        <v>10.3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62421-2021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44503</v>
      </c>
      <c r="E389" s="1" t="n">
        <v>46262</v>
      </c>
      <c r="F389" t="inlineStr">
        <is>
          <t>ÖSTERGÖTLANDS LÄN</t>
        </is>
      </c>
      <c r="G389" t="inlineStr">
        <is>
          <t>FINSPÅNG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32973-2023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45125</v>
      </c>
      <c r="E390" s="1" t="n">
        <v>46262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18258-2024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45421</v>
      </c>
      <c r="E391" s="1" t="n">
        <v>46262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46262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46262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46262</v>
      </c>
      <c r="F394" t="inlineStr">
        <is>
          <t>ÖSTERGÖTLANDS LÄN</t>
        </is>
      </c>
      <c r="G394" t="inlineStr">
        <is>
          <t>FINSPÅNG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45206</v>
      </c>
      <c r="E395" s="1" t="n">
        <v>46262</v>
      </c>
      <c r="F395" t="inlineStr">
        <is>
          <t>ÖSTERGÖTLANDS LÄN</t>
        </is>
      </c>
      <c r="G395" t="inlineStr">
        <is>
          <t>FINSPÅNG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62221-2025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46262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45020</v>
      </c>
      <c r="E397" s="1" t="n">
        <v>46262</v>
      </c>
      <c r="F397" t="inlineStr">
        <is>
          <t>ÖSTERGÖTLANDS LÄN</t>
        </is>
      </c>
      <c r="G397" t="inlineStr">
        <is>
          <t>FINSPÅNG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44840</v>
      </c>
      <c r="E398" s="1" t="n">
        <v>46262</v>
      </c>
      <c r="F398" t="inlineStr">
        <is>
          <t>ÖSTERGÖTLANDS LÄN</t>
        </is>
      </c>
      <c r="G398" t="inlineStr">
        <is>
          <t>FINSPÅNG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45041</v>
      </c>
      <c r="E399" s="1" t="n">
        <v>46262</v>
      </c>
      <c r="F399" t="inlineStr">
        <is>
          <t>ÖSTERGÖTLANDS LÄN</t>
        </is>
      </c>
      <c r="G399" t="inlineStr">
        <is>
          <t>FINSPÅNG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65742-2021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44516</v>
      </c>
      <c r="E400" s="1" t="n">
        <v>46262</v>
      </c>
      <c r="F400" t="inlineStr">
        <is>
          <t>ÖSTERGÖTLANDS LÄN</t>
        </is>
      </c>
      <c r="G400" t="inlineStr">
        <is>
          <t>FINSPÅNG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46262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62139-2025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46262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44607</v>
      </c>
      <c r="E403" s="1" t="n">
        <v>46262</v>
      </c>
      <c r="F403" t="inlineStr">
        <is>
          <t>ÖSTERGÖTLANDS LÄN</t>
        </is>
      </c>
      <c r="G403" t="inlineStr">
        <is>
          <t>FINSPÅNG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25679-2024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45463</v>
      </c>
      <c r="E404" s="1" t="n">
        <v>46262</v>
      </c>
      <c r="F404" t="inlineStr">
        <is>
          <t>ÖSTERGÖTLANDS LÄN</t>
        </is>
      </c>
      <c r="G404" t="inlineStr">
        <is>
          <t>FINSPÅNG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44993</v>
      </c>
      <c r="E405" s="1" t="n">
        <v>46262</v>
      </c>
      <c r="F405" t="inlineStr">
        <is>
          <t>ÖSTERGÖTLANDS LÄN</t>
        </is>
      </c>
      <c r="G405" t="inlineStr">
        <is>
          <t>FINSPÅNG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39655-2023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45167</v>
      </c>
      <c r="E406" s="1" t="n">
        <v>46262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Kyrkan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30920-2022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44767</v>
      </c>
      <c r="E407" s="1" t="n">
        <v>46262</v>
      </c>
      <c r="F407" t="inlineStr">
        <is>
          <t>ÖSTERGÖTLANDS LÄN</t>
        </is>
      </c>
      <c r="G407" t="inlineStr">
        <is>
          <t>FINSPÅNG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46262</v>
      </c>
      <c r="F408" t="inlineStr">
        <is>
          <t>ÖSTERGÖTLANDS LÄN</t>
        </is>
      </c>
      <c r="G408" t="inlineStr">
        <is>
          <t>FINSPÅNG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44957</v>
      </c>
      <c r="E409" s="1" t="n">
        <v>46262</v>
      </c>
      <c r="F409" t="inlineStr">
        <is>
          <t>ÖSTERGÖTLANDS LÄN</t>
        </is>
      </c>
      <c r="G409" t="inlineStr">
        <is>
          <t>FINSPÅNG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15473-2022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44662</v>
      </c>
      <c r="E410" s="1" t="n">
        <v>46262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45463</v>
      </c>
      <c r="E411" s="1" t="n">
        <v>46262</v>
      </c>
      <c r="F411" t="inlineStr">
        <is>
          <t>ÖSTERGÖTLANDS LÄN</t>
        </is>
      </c>
      <c r="G411" t="inlineStr">
        <is>
          <t>FINSPÅNG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45084</v>
      </c>
      <c r="E412" s="1" t="n">
        <v>46262</v>
      </c>
      <c r="F412" t="inlineStr">
        <is>
          <t>ÖSTERGÖTLANDS LÄN</t>
        </is>
      </c>
      <c r="G412" t="inlineStr">
        <is>
          <t>FINSPÅNG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25356-2022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44732</v>
      </c>
      <c r="E413" s="1" t="n">
        <v>46262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45601</v>
      </c>
      <c r="E414" s="1" t="n">
        <v>46262</v>
      </c>
      <c r="F414" t="inlineStr">
        <is>
          <t>ÖSTERGÖTLANDS LÄN</t>
        </is>
      </c>
      <c r="G414" t="inlineStr">
        <is>
          <t>FINSPÅNG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61012-2022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44914</v>
      </c>
      <c r="E415" s="1" t="n">
        <v>46262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70505-2021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46262</v>
      </c>
      <c r="F416" t="inlineStr">
        <is>
          <t>ÖSTERGÖTLANDS LÄN</t>
        </is>
      </c>
      <c r="G416" t="inlineStr">
        <is>
          <t>FINSPÅNG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26087-2022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44734</v>
      </c>
      <c r="E417" s="1" t="n">
        <v>46262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45442</v>
      </c>
      <c r="E418" s="1" t="n">
        <v>46262</v>
      </c>
      <c r="F418" t="inlineStr">
        <is>
          <t>ÖSTERGÖTLANDS LÄN</t>
        </is>
      </c>
      <c r="G418" t="inlineStr">
        <is>
          <t>FINSPÅNG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45853</v>
      </c>
      <c r="E419" s="1" t="n">
        <v>46262</v>
      </c>
      <c r="F419" t="inlineStr">
        <is>
          <t>ÖSTERGÖTLANDS LÄN</t>
        </is>
      </c>
      <c r="G419" t="inlineStr">
        <is>
          <t>FINSPÅNG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46262</v>
      </c>
      <c r="F420" t="inlineStr">
        <is>
          <t>ÖSTERGÖTLANDS LÄN</t>
        </is>
      </c>
      <c r="G420" t="inlineStr">
        <is>
          <t>FINSPÅNG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44887</v>
      </c>
      <c r="E421" s="1" t="n">
        <v>46262</v>
      </c>
      <c r="F421" t="inlineStr">
        <is>
          <t>ÖSTERGÖTLANDS LÄN</t>
        </is>
      </c>
      <c r="G421" t="inlineStr">
        <is>
          <t>FINSPÅNG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46262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46262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46262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46262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Kyrkan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44614</v>
      </c>
      <c r="E426" s="1" t="n">
        <v>46262</v>
      </c>
      <c r="F426" t="inlineStr">
        <is>
          <t>ÖSTERGÖTLANDS LÄN</t>
        </is>
      </c>
      <c r="G426" t="inlineStr">
        <is>
          <t>FINSPÅNG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46262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45468</v>
      </c>
      <c r="E428" s="1" t="n">
        <v>46262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44833</v>
      </c>
      <c r="E429" s="1" t="n">
        <v>46262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45761-2021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44441</v>
      </c>
      <c r="E430" s="1" t="n">
        <v>46262</v>
      </c>
      <c r="F430" t="inlineStr">
        <is>
          <t>ÖSTERGÖTLANDS LÄN</t>
        </is>
      </c>
      <c r="G430" t="inlineStr">
        <is>
          <t>FINSPÅNG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46034</v>
      </c>
      <c r="E431" s="1" t="n">
        <v>46262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46262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10148-2025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45719</v>
      </c>
      <c r="E433" s="1" t="n">
        <v>46262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45604</v>
      </c>
      <c r="E434" s="1" t="n">
        <v>46262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46262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46036</v>
      </c>
      <c r="E436" s="1" t="n">
        <v>46262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39356-2022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44817</v>
      </c>
      <c r="E437" s="1" t="n">
        <v>46262</v>
      </c>
      <c r="F437" t="inlineStr">
        <is>
          <t>ÖSTERGÖTLANDS LÄN</t>
        </is>
      </c>
      <c r="G437" t="inlineStr">
        <is>
          <t>FINSPÅNG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46040</v>
      </c>
      <c r="E438" s="1" t="n">
        <v>46262</v>
      </c>
      <c r="F438" t="inlineStr">
        <is>
          <t>ÖSTERGÖTLANDS LÄN</t>
        </is>
      </c>
      <c r="G438" t="inlineStr">
        <is>
          <t>FINSPÅNG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46040</v>
      </c>
      <c r="E439" s="1" t="n">
        <v>46262</v>
      </c>
      <c r="F439" t="inlineStr">
        <is>
          <t>ÖSTERGÖTLANDS LÄN</t>
        </is>
      </c>
      <c r="G439" t="inlineStr">
        <is>
          <t>FINSPÅNG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44865</v>
      </c>
      <c r="E440" s="1" t="n">
        <v>46262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9130-2023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46262</v>
      </c>
      <c r="F441" t="inlineStr">
        <is>
          <t>ÖSTERGÖTLANDS LÄN</t>
        </is>
      </c>
      <c r="G441" t="inlineStr">
        <is>
          <t>FINSPÅNG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45118</v>
      </c>
      <c r="E442" s="1" t="n">
        <v>46262</v>
      </c>
      <c r="F442" t="inlineStr">
        <is>
          <t>ÖSTERGÖTLANDS LÄN</t>
        </is>
      </c>
      <c r="G442" t="inlineStr">
        <is>
          <t>FINSPÅNG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45166</v>
      </c>
      <c r="E443" s="1" t="n">
        <v>46262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Övriga Aktiebolag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45467</v>
      </c>
      <c r="E444" s="1" t="n">
        <v>46262</v>
      </c>
      <c r="F444" t="inlineStr">
        <is>
          <t>ÖSTERGÖTLANDS LÄN</t>
        </is>
      </c>
      <c r="G444" t="inlineStr">
        <is>
          <t>FINSPÅNG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26247-2022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44735</v>
      </c>
      <c r="E445" s="1" t="n">
        <v>46262</v>
      </c>
      <c r="F445" t="inlineStr">
        <is>
          <t>ÖSTERGÖTLANDS LÄN</t>
        </is>
      </c>
      <c r="G445" t="inlineStr">
        <is>
          <t>FINSPÅNG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50356-2024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45600</v>
      </c>
      <c r="E446" s="1" t="n">
        <v>46262</v>
      </c>
      <c r="F446" t="inlineStr">
        <is>
          <t>ÖSTERGÖTLANDS LÄN</t>
        </is>
      </c>
      <c r="G446" t="inlineStr">
        <is>
          <t>FINSPÅNG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4850-2026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46262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53323-2023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46262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46262</v>
      </c>
      <c r="F449" t="inlineStr">
        <is>
          <t>ÖSTERGÖTLANDS LÄN</t>
        </is>
      </c>
      <c r="G449" t="inlineStr">
        <is>
          <t>FINSPÅNG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46262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46262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46262</v>
      </c>
      <c r="F452" t="inlineStr">
        <is>
          <t>ÖSTERGÖTLANDS LÄN</t>
        </is>
      </c>
      <c r="G452" t="inlineStr">
        <is>
          <t>FINSPÅNG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28559-2023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46262</v>
      </c>
      <c r="F453" t="inlineStr">
        <is>
          <t>ÖSTERGÖTLANDS LÄN</t>
        </is>
      </c>
      <c r="G453" t="inlineStr">
        <is>
          <t>FINSPÅNG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46262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45343</v>
      </c>
      <c r="E455" s="1" t="n">
        <v>46262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46262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45082</v>
      </c>
      <c r="E457" s="1" t="n">
        <v>46262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45299</v>
      </c>
      <c r="E458" s="1" t="n">
        <v>46262</v>
      </c>
      <c r="F458" t="inlineStr">
        <is>
          <t>ÖSTERGÖTLANDS LÄN</t>
        </is>
      </c>
      <c r="G458" t="inlineStr">
        <is>
          <t>FINSPÅNG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45006</v>
      </c>
      <c r="E459" s="1" t="n">
        <v>46262</v>
      </c>
      <c r="F459" t="inlineStr">
        <is>
          <t>ÖSTERGÖTLANDS LÄN</t>
        </is>
      </c>
      <c r="G459" t="inlineStr">
        <is>
          <t>FINSPÅNG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46262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46262</v>
      </c>
      <c r="F461" t="inlineStr">
        <is>
          <t>ÖSTERGÖTLANDS LÄN</t>
        </is>
      </c>
      <c r="G461" t="inlineStr">
        <is>
          <t>FINSPÅNG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12472-2024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45379</v>
      </c>
      <c r="E462" s="1" t="n">
        <v>46262</v>
      </c>
      <c r="F462" t="inlineStr">
        <is>
          <t>ÖSTERGÖTLANDS LÄN</t>
        </is>
      </c>
      <c r="G462" t="inlineStr">
        <is>
          <t>FINSPÅNG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44571-2022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44840</v>
      </c>
      <c r="E463" s="1" t="n">
        <v>46262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46262</v>
      </c>
      <c r="F464" t="inlineStr">
        <is>
          <t>ÖSTERGÖTLANDS LÄN</t>
        </is>
      </c>
      <c r="G464" t="inlineStr">
        <is>
          <t>FINSPÅNG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45075</v>
      </c>
      <c r="E465" s="1" t="n">
        <v>46262</v>
      </c>
      <c r="F465" t="inlineStr">
        <is>
          <t>ÖSTERGÖTLANDS LÄN</t>
        </is>
      </c>
      <c r="G465" t="inlineStr">
        <is>
          <t>FINSPÅNG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46262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46262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Övriga Aktiebolag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46262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24192-2022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44725</v>
      </c>
      <c r="E469" s="1" t="n">
        <v>46262</v>
      </c>
      <c r="F469" t="inlineStr">
        <is>
          <t>ÖSTERGÖTLANDS LÄN</t>
        </is>
      </c>
      <c r="G469" t="inlineStr">
        <is>
          <t>FINSPÅNG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46262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46262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45055</v>
      </c>
      <c r="E472" s="1" t="n">
        <v>46262</v>
      </c>
      <c r="F472" t="inlineStr">
        <is>
          <t>ÖSTERGÖTLANDS LÄN</t>
        </is>
      </c>
      <c r="G472" t="inlineStr">
        <is>
          <t>FINSPÅNG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7269-2026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46262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Övriga Aktiebolag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45688</v>
      </c>
      <c r="E474" s="1" t="n">
        <v>46262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58313-2023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46262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46262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46060</v>
      </c>
      <c r="E477" s="1" t="n">
        <v>46262</v>
      </c>
      <c r="F477" t="inlineStr">
        <is>
          <t>ÖSTERGÖTLANDS LÄN</t>
        </is>
      </c>
      <c r="G477" t="inlineStr">
        <is>
          <t>FINSPÅNG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8079-2026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46262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46262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45133</v>
      </c>
      <c r="E480" s="1" t="n">
        <v>46262</v>
      </c>
      <c r="F480" t="inlineStr">
        <is>
          <t>ÖSTERGÖTLANDS LÄN</t>
        </is>
      </c>
      <c r="G480" t="inlineStr">
        <is>
          <t>FINSPÅNG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8266-2026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46064</v>
      </c>
      <c r="E481" s="1" t="n">
        <v>46262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Sveaskog</t>
        </is>
      </c>
      <c r="I481" t="n">
        <v>10.5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46262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8553-2026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46262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46262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8270-2026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46262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Sveaskog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46064</v>
      </c>
      <c r="E486" s="1" t="n">
        <v>46262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Sveaskog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46262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Sveaskog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46262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Sveaskog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46064</v>
      </c>
      <c r="E489" s="1" t="n">
        <v>46262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39114-2024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45548</v>
      </c>
      <c r="E490" s="1" t="n">
        <v>46262</v>
      </c>
      <c r="F490" t="inlineStr">
        <is>
          <t>ÖSTERGÖTLANDS LÄN</t>
        </is>
      </c>
      <c r="G490" t="inlineStr">
        <is>
          <t>FINSPÅNG</t>
        </is>
      </c>
      <c r="I490" t="n">
        <v>9.699999999999999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62186-2023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45267</v>
      </c>
      <c r="E491" s="1" t="n">
        <v>46262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46262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45008</v>
      </c>
      <c r="E493" s="1" t="n">
        <v>46262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54609-2021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44473</v>
      </c>
      <c r="E494" s="1" t="n">
        <v>46262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Sveaskog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46070</v>
      </c>
      <c r="E495" s="1" t="n">
        <v>46262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9173-2026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46262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7269-2024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45344</v>
      </c>
      <c r="E497" s="1" t="n">
        <v>46262</v>
      </c>
      <c r="F497" t="inlineStr">
        <is>
          <t>ÖSTERGÖTLANDS LÄN</t>
        </is>
      </c>
      <c r="G497" t="inlineStr">
        <is>
          <t>FINSPÅNG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9809-2024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45362</v>
      </c>
      <c r="E498" s="1" t="n">
        <v>46262</v>
      </c>
      <c r="F498" t="inlineStr">
        <is>
          <t>ÖSTERGÖTLANDS LÄN</t>
        </is>
      </c>
      <c r="G498" t="inlineStr">
        <is>
          <t>FINSPÅNG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11730-2022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44634</v>
      </c>
      <c r="E499" s="1" t="n">
        <v>46262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58905-2023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45252</v>
      </c>
      <c r="E500" s="1" t="n">
        <v>46262</v>
      </c>
      <c r="F500" t="inlineStr">
        <is>
          <t>ÖSTERGÖTLANDS LÄN</t>
        </is>
      </c>
      <c r="G500" t="inlineStr">
        <is>
          <t>FINSPÅNG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46073</v>
      </c>
      <c r="E501" s="1" t="n">
        <v>46262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14.5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48790-2023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45209</v>
      </c>
      <c r="E502" s="1" t="n">
        <v>46262</v>
      </c>
      <c r="F502" t="inlineStr">
        <is>
          <t>ÖSTERGÖTLANDS LÄN</t>
        </is>
      </c>
      <c r="G502" t="inlineStr">
        <is>
          <t>FINSPÅNG</t>
        </is>
      </c>
      <c r="I502" t="n">
        <v>14.6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45209</v>
      </c>
      <c r="E503" s="1" t="n">
        <v>46262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46076</v>
      </c>
      <c r="E504" s="1" t="n">
        <v>46262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46262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46262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15824-2022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46262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10872-2026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46078</v>
      </c>
      <c r="E508" s="1" t="n">
        <v>46262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46080</v>
      </c>
      <c r="E509" s="1" t="n">
        <v>46262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11244-2026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46080</v>
      </c>
      <c r="E510" s="1" t="n">
        <v>46262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44946</v>
      </c>
      <c r="E511" s="1" t="n">
        <v>46262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44946</v>
      </c>
      <c r="E512" s="1" t="n">
        <v>46262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11063-2026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46079</v>
      </c>
      <c r="E513" s="1" t="n">
        <v>46262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44944</v>
      </c>
      <c r="E514" s="1" t="n">
        <v>46262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11251-2026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46080</v>
      </c>
      <c r="E515" s="1" t="n">
        <v>46262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11248-2026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46080</v>
      </c>
      <c r="E516" s="1" t="n">
        <v>46262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45009</v>
      </c>
      <c r="E517" s="1" t="n">
        <v>46262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46262</v>
      </c>
      <c r="F518" t="inlineStr">
        <is>
          <t>ÖSTERGÖTLANDS LÄN</t>
        </is>
      </c>
      <c r="G518" t="inlineStr">
        <is>
          <t>FINSPÅNG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45095</v>
      </c>
      <c r="E519" s="1" t="n">
        <v>46262</v>
      </c>
      <c r="F519" t="inlineStr">
        <is>
          <t>ÖSTERGÖTLANDS LÄN</t>
        </is>
      </c>
      <c r="G519" t="inlineStr">
        <is>
          <t>FINSPÅNG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11839-2026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46085</v>
      </c>
      <c r="E520" s="1" t="n">
        <v>46262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46262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46262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11807-2026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46262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45523</v>
      </c>
      <c r="E524" s="1" t="n">
        <v>46262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44767</v>
      </c>
      <c r="E525" s="1" t="n">
        <v>46262</v>
      </c>
      <c r="F525" t="inlineStr">
        <is>
          <t>ÖSTERGÖTLANDS LÄN</t>
        </is>
      </c>
      <c r="G525" t="inlineStr">
        <is>
          <t>FINSPÅNG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44964</v>
      </c>
      <c r="E526" s="1" t="n">
        <v>46262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30271-2022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44759</v>
      </c>
      <c r="E527" s="1" t="n">
        <v>46262</v>
      </c>
      <c r="F527" t="inlineStr">
        <is>
          <t>ÖSTERGÖTLANDS LÄN</t>
        </is>
      </c>
      <c r="G527" t="inlineStr">
        <is>
          <t>FINSPÅNG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46262</v>
      </c>
      <c r="F528" t="inlineStr">
        <is>
          <t>ÖSTERGÖTLANDS LÄN</t>
        </is>
      </c>
      <c r="G528" t="inlineStr">
        <is>
          <t>FINSPÅNG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9554-2022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44617</v>
      </c>
      <c r="E529" s="1" t="n">
        <v>46262</v>
      </c>
      <c r="F529" t="inlineStr">
        <is>
          <t>ÖSTERGÖTLANDS LÄN</t>
        </is>
      </c>
      <c r="G529" t="inlineStr">
        <is>
          <t>FINSPÅNG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18445-2023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45042</v>
      </c>
      <c r="E530" s="1" t="n">
        <v>46262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44937</v>
      </c>
      <c r="E531" s="1" t="n">
        <v>46262</v>
      </c>
      <c r="F531" t="inlineStr">
        <is>
          <t>ÖSTERGÖTLANDS LÄN</t>
        </is>
      </c>
      <c r="G531" t="inlineStr">
        <is>
          <t>FINSPÅNG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46262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45709</v>
      </c>
      <c r="E533" s="1" t="n">
        <v>46262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13768-2026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46097</v>
      </c>
      <c r="E534" s="1" t="n">
        <v>46262</v>
      </c>
      <c r="F534" t="inlineStr">
        <is>
          <t>ÖSTERGÖTLANDS LÄN</t>
        </is>
      </c>
      <c r="G534" t="inlineStr">
        <is>
          <t>FINSPÅNG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11541-2023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46262</v>
      </c>
      <c r="F535" t="inlineStr">
        <is>
          <t>ÖSTERGÖTLANDS LÄN</t>
        </is>
      </c>
      <c r="G535" t="inlineStr">
        <is>
          <t>FINSPÅNG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45095</v>
      </c>
      <c r="E536" s="1" t="n">
        <v>46262</v>
      </c>
      <c r="F536" t="inlineStr">
        <is>
          <t>ÖSTERGÖTLANDS LÄN</t>
        </is>
      </c>
      <c r="G536" t="inlineStr">
        <is>
          <t>FINSPÅNG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46262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Sveaskog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14078-2026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46262</v>
      </c>
      <c r="F538" t="inlineStr">
        <is>
          <t>ÖSTERGÖTLANDS LÄN</t>
        </is>
      </c>
      <c r="G538" t="inlineStr">
        <is>
          <t>FINSPÅNG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46262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46262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Sveaskog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44564</v>
      </c>
      <c r="E541" s="1" t="n">
        <v>46262</v>
      </c>
      <c r="F541" t="inlineStr">
        <is>
          <t>ÖSTERGÖTLANDS LÄN</t>
        </is>
      </c>
      <c r="G541" t="inlineStr">
        <is>
          <t>FINSPÅNG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46099</v>
      </c>
      <c r="E542" s="1" t="n">
        <v>46262</v>
      </c>
      <c r="F542" t="inlineStr">
        <is>
          <t>ÖSTERGÖTLANDS LÄN</t>
        </is>
      </c>
      <c r="G542" t="inlineStr">
        <is>
          <t>FINSPÅNG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52007-2024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45607</v>
      </c>
      <c r="E543" s="1" t="n">
        <v>46262</v>
      </c>
      <c r="F543" t="inlineStr">
        <is>
          <t>ÖSTERGÖTLANDS LÄN</t>
        </is>
      </c>
      <c r="G543" t="inlineStr">
        <is>
          <t>FINSPÅNG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45607</v>
      </c>
      <c r="E544" s="1" t="n">
        <v>46262</v>
      </c>
      <c r="F544" t="inlineStr">
        <is>
          <t>ÖSTERGÖTLANDS LÄN</t>
        </is>
      </c>
      <c r="G544" t="inlineStr">
        <is>
          <t>FINSPÅNG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52557-2024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45609</v>
      </c>
      <c r="E545" s="1" t="n">
        <v>46262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46262</v>
      </c>
      <c r="F546" t="inlineStr">
        <is>
          <t>ÖSTERGÖTLANDS LÄN</t>
        </is>
      </c>
      <c r="G546" t="inlineStr">
        <is>
          <t>FINSPÅNG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39415-2024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46262</v>
      </c>
      <c r="F547" t="inlineStr">
        <is>
          <t>ÖSTERGÖTLANDS LÄN</t>
        </is>
      </c>
      <c r="G547" t="inlineStr">
        <is>
          <t>FINSPÅNG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31323-2022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44774</v>
      </c>
      <c r="E548" s="1" t="n">
        <v>46262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15140-2025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45744</v>
      </c>
      <c r="E549" s="1" t="n">
        <v>46262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Naturvårdsverket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14560-2023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45013</v>
      </c>
      <c r="E550" s="1" t="n">
        <v>46262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15490-2026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46262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4753-2025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45688</v>
      </c>
      <c r="E552" s="1" t="n">
        <v>46262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19263-2024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45428</v>
      </c>
      <c r="E553" s="1" t="n">
        <v>46262</v>
      </c>
      <c r="F553" t="inlineStr">
        <is>
          <t>ÖSTERGÖTLANDS LÄN</t>
        </is>
      </c>
      <c r="G553" t="inlineStr">
        <is>
          <t>FINSPÅNG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15097-2025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46262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46262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45077</v>
      </c>
      <c r="E556" s="1" t="n">
        <v>46262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13229-2023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45002</v>
      </c>
      <c r="E557" s="1" t="n">
        <v>46262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Kyrkan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21907-2023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45068</v>
      </c>
      <c r="E558" s="1" t="n">
        <v>46262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50811-2022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44867</v>
      </c>
      <c r="E559" s="1" t="n">
        <v>46262</v>
      </c>
      <c r="F559" t="inlineStr">
        <is>
          <t>ÖSTERGÖTLANDS LÄN</t>
        </is>
      </c>
      <c r="G559" t="inlineStr">
        <is>
          <t>FINSPÅNG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16849-2026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46113</v>
      </c>
      <c r="E560" s="1" t="n">
        <v>46262</v>
      </c>
      <c r="F560" t="inlineStr">
        <is>
          <t>ÖSTERGÖTLANDS LÄN</t>
        </is>
      </c>
      <c r="G560" t="inlineStr">
        <is>
          <t>FINSPÅNG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46262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46114</v>
      </c>
      <c r="E562" s="1" t="n">
        <v>46262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17008-2026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46114</v>
      </c>
      <c r="E563" s="1" t="n">
        <v>46262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46262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54923-2022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44886</v>
      </c>
      <c r="E565" s="1" t="n">
        <v>46262</v>
      </c>
      <c r="F565" t="inlineStr">
        <is>
          <t>ÖSTERGÖTLANDS LÄN</t>
        </is>
      </c>
      <c r="G565" t="inlineStr">
        <is>
          <t>FINSPÅNG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45636</v>
      </c>
      <c r="E566" s="1" t="n">
        <v>46262</v>
      </c>
      <c r="F566" t="inlineStr">
        <is>
          <t>ÖSTERGÖTLANDS LÄN</t>
        </is>
      </c>
      <c r="G566" t="inlineStr">
        <is>
          <t>FINSPÅNG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11839-2025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46262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64408-2023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45280</v>
      </c>
      <c r="E568" s="1" t="n">
        <v>46262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Övriga Aktiebolag</t>
        </is>
      </c>
      <c r="I568" t="n">
        <v>13.6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46120</v>
      </c>
      <c r="E569" s="1" t="n">
        <v>46262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46121</v>
      </c>
      <c r="E570" s="1" t="n">
        <v>46262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46122</v>
      </c>
      <c r="E571" s="1" t="n">
        <v>46262</v>
      </c>
      <c r="F571" t="inlineStr">
        <is>
          <t>ÖSTERGÖTLANDS LÄN</t>
        </is>
      </c>
      <c r="G571" t="inlineStr">
        <is>
          <t>FINSPÅNG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45225</v>
      </c>
      <c r="E572" s="1" t="n">
        <v>46262</v>
      </c>
      <c r="F572" t="inlineStr">
        <is>
          <t>ÖSTERGÖTLANDS LÄN</t>
        </is>
      </c>
      <c r="G572" t="inlineStr">
        <is>
          <t>FINSPÅNG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46125</v>
      </c>
      <c r="E573" s="1" t="n">
        <v>46262</v>
      </c>
      <c r="F573" t="inlineStr">
        <is>
          <t>ÖSTERGÖTLANDS LÄN</t>
        </is>
      </c>
      <c r="G573" t="inlineStr">
        <is>
          <t>FINSPÅNG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44987</v>
      </c>
      <c r="E574" s="1" t="n">
        <v>46262</v>
      </c>
      <c r="F574" t="inlineStr">
        <is>
          <t>ÖSTERGÖTLANDS LÄN</t>
        </is>
      </c>
      <c r="G574" t="inlineStr">
        <is>
          <t>FINSPÅNG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24500-2023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45082</v>
      </c>
      <c r="E575" s="1" t="n">
        <v>46262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45566</v>
      </c>
      <c r="E576" s="1" t="n">
        <v>46262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42106-2023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46262</v>
      </c>
      <c r="F577" t="inlineStr">
        <is>
          <t>ÖSTERGÖTLANDS LÄN</t>
        </is>
      </c>
      <c r="G577" t="inlineStr">
        <is>
          <t>FINSPÅNG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44995</v>
      </c>
      <c r="E578" s="1" t="n">
        <v>46262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18974-2026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46129</v>
      </c>
      <c r="E579" s="1" t="n">
        <v>46262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35598-2023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45147</v>
      </c>
      <c r="E580" s="1" t="n">
        <v>46262</v>
      </c>
      <c r="F580" t="inlineStr">
        <is>
          <t>ÖSTERGÖTLANDS LÄN</t>
        </is>
      </c>
      <c r="G580" t="inlineStr">
        <is>
          <t>FINSPÅNG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46262</v>
      </c>
      <c r="F581" t="inlineStr">
        <is>
          <t>ÖSTERGÖTLANDS LÄN</t>
        </is>
      </c>
      <c r="G581" t="inlineStr">
        <is>
          <t>FINSPÅNG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6733-2023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44966</v>
      </c>
      <c r="E582" s="1" t="n">
        <v>46262</v>
      </c>
      <c r="F582" t="inlineStr">
        <is>
          <t>ÖSTERGÖTLANDS LÄN</t>
        </is>
      </c>
      <c r="G582" t="inlineStr">
        <is>
          <t>FINSPÅNG</t>
        </is>
      </c>
      <c r="I582" t="n">
        <v>8.5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45230</v>
      </c>
      <c r="E583" s="1" t="n">
        <v>46262</v>
      </c>
      <c r="F583" t="inlineStr">
        <is>
          <t>ÖSTERGÖTLANDS LÄN</t>
        </is>
      </c>
      <c r="G583" t="inlineStr">
        <is>
          <t>FINSPÅNG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17994-2023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45040</v>
      </c>
      <c r="E584" s="1" t="n">
        <v>46262</v>
      </c>
      <c r="F584" t="inlineStr">
        <is>
          <t>ÖSTERGÖTLANDS LÄN</t>
        </is>
      </c>
      <c r="G584" t="inlineStr">
        <is>
          <t>FINSPÅNG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7826-2025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46262</v>
      </c>
      <c r="F585" t="inlineStr">
        <is>
          <t>ÖSTERGÖTLANDS LÄN</t>
        </is>
      </c>
      <c r="G585" t="inlineStr">
        <is>
          <t>FINSPÅNG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53246-2022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44876</v>
      </c>
      <c r="E586" s="1" t="n">
        <v>46262</v>
      </c>
      <c r="F586" t="inlineStr">
        <is>
          <t>ÖSTERGÖTLANDS LÄN</t>
        </is>
      </c>
      <c r="G586" t="inlineStr">
        <is>
          <t>FINSPÅNG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45179</v>
      </c>
      <c r="E587" s="1" t="n">
        <v>46262</v>
      </c>
      <c r="F587" t="inlineStr">
        <is>
          <t>ÖSTERGÖTLANDS LÄN</t>
        </is>
      </c>
      <c r="G587" t="inlineStr">
        <is>
          <t>FINSPÅNG</t>
        </is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45179</v>
      </c>
      <c r="E588" s="1" t="n">
        <v>46262</v>
      </c>
      <c r="F588" t="inlineStr">
        <is>
          <t>ÖSTERGÖTLANDS LÄN</t>
        </is>
      </c>
      <c r="G588" t="inlineStr">
        <is>
          <t>FINSPÅNG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46262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7825-2025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45706</v>
      </c>
      <c r="E590" s="1" t="n">
        <v>46262</v>
      </c>
      <c r="F590" t="inlineStr">
        <is>
          <t>ÖSTERGÖTLANDS LÄN</t>
        </is>
      </c>
      <c r="G590" t="inlineStr">
        <is>
          <t>FINSPÅNG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45309</v>
      </c>
      <c r="E591" s="1" t="n">
        <v>46262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46262</v>
      </c>
      <c r="F592" t="inlineStr">
        <is>
          <t>ÖSTERGÖTLANDS LÄN</t>
        </is>
      </c>
      <c r="G592" t="inlineStr">
        <is>
          <t>FINSPÅNG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45309</v>
      </c>
      <c r="E593" s="1" t="n">
        <v>46262</v>
      </c>
      <c r="F593" t="inlineStr">
        <is>
          <t>ÖSTERGÖTLANDS LÄN</t>
        </is>
      </c>
      <c r="G593" t="inlineStr">
        <is>
          <t>FINSPÅNG</t>
        </is>
      </c>
      <c r="I593" t="n">
        <v>15.1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46262</v>
      </c>
      <c r="F594" t="inlineStr">
        <is>
          <t>ÖSTERGÖTLANDS LÄN</t>
        </is>
      </c>
      <c r="G594" t="inlineStr">
        <is>
          <t>FINSPÅNG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45086</v>
      </c>
      <c r="E595" s="1" t="n">
        <v>46262</v>
      </c>
      <c r="F595" t="inlineStr">
        <is>
          <t>ÖSTERGÖTLANDS LÄN</t>
        </is>
      </c>
      <c r="G595" t="inlineStr">
        <is>
          <t>FINSPÅNG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44949</v>
      </c>
      <c r="E596" s="1" t="n">
        <v>46262</v>
      </c>
      <c r="F596" t="inlineStr">
        <is>
          <t>ÖSTERGÖTLANDS LÄN</t>
        </is>
      </c>
      <c r="G596" t="inlineStr">
        <is>
          <t>FINSPÅNG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46262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45740</v>
      </c>
      <c r="E598" s="1" t="n">
        <v>46262</v>
      </c>
      <c r="F598" t="inlineStr">
        <is>
          <t>ÖSTERGÖTLANDS LÄN</t>
        </is>
      </c>
      <c r="G598" t="inlineStr">
        <is>
          <t>FINSPÅNG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45783</v>
      </c>
      <c r="E599" s="1" t="n">
        <v>46262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14565-2023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45013</v>
      </c>
      <c r="E600" s="1" t="n">
        <v>46262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9378-2023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44981</v>
      </c>
      <c r="E601" s="1" t="n">
        <v>46262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46262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611-2023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44930</v>
      </c>
      <c r="E603" s="1" t="n">
        <v>46262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25184-2023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45086</v>
      </c>
      <c r="E604" s="1" t="n">
        <v>46262</v>
      </c>
      <c r="F604" t="inlineStr">
        <is>
          <t>ÖSTERGÖTLANDS LÄN</t>
        </is>
      </c>
      <c r="G604" t="inlineStr">
        <is>
          <t>FINSPÅNG</t>
        </is>
      </c>
      <c r="I604" t="n">
        <v>10.1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45042</v>
      </c>
      <c r="E605" s="1" t="n">
        <v>46262</v>
      </c>
      <c r="F605" t="inlineStr">
        <is>
          <t>ÖSTERGÖTLANDS LÄN</t>
        </is>
      </c>
      <c r="G605" t="inlineStr">
        <is>
          <t>FINSPÅNG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45042</v>
      </c>
      <c r="E606" s="1" t="n">
        <v>46262</v>
      </c>
      <c r="F606" t="inlineStr">
        <is>
          <t>ÖSTERGÖTLANDS LÄN</t>
        </is>
      </c>
      <c r="G606" t="inlineStr">
        <is>
          <t>FINSPÅNG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44939</v>
      </c>
      <c r="E607" s="1" t="n">
        <v>46262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45607</v>
      </c>
      <c r="E608" s="1" t="n">
        <v>46262</v>
      </c>
      <c r="F608" t="inlineStr">
        <is>
          <t>ÖSTERGÖTLANDS LÄN</t>
        </is>
      </c>
      <c r="G608" t="inlineStr">
        <is>
          <t>FINSPÅNG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25420-2022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44732</v>
      </c>
      <c r="E609" s="1" t="n">
        <v>46262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45425</v>
      </c>
      <c r="E610" s="1" t="n">
        <v>46262</v>
      </c>
      <c r="F610" t="inlineStr">
        <is>
          <t>ÖSTERGÖTLANDS LÄN</t>
        </is>
      </c>
      <c r="G610" t="inlineStr">
        <is>
          <t>FINSPÅNG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45177</v>
      </c>
      <c r="E611" s="1" t="n">
        <v>46262</v>
      </c>
      <c r="F611" t="inlineStr">
        <is>
          <t>ÖSTERGÖTLANDS LÄN</t>
        </is>
      </c>
      <c r="G611" t="inlineStr">
        <is>
          <t>FINSPÅNG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45302</v>
      </c>
      <c r="E612" s="1" t="n">
        <v>46262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45678</v>
      </c>
      <c r="E613" s="1" t="n">
        <v>46262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55624-2024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45622</v>
      </c>
      <c r="E614" s="1" t="n">
        <v>46262</v>
      </c>
      <c r="F614" t="inlineStr">
        <is>
          <t>ÖSTERGÖTLANDS LÄN</t>
        </is>
      </c>
      <c r="G614" t="inlineStr">
        <is>
          <t>FINSPÅNG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31180-2025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46262</v>
      </c>
      <c r="F615" t="inlineStr">
        <is>
          <t>ÖSTERGÖTLANDS LÄN</t>
        </is>
      </c>
      <c r="G615" t="inlineStr">
        <is>
          <t>FINSPÅNG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55052-2023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45237</v>
      </c>
      <c r="E616" s="1" t="n">
        <v>46262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Kyrkan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32789-2024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45516</v>
      </c>
      <c r="E617" s="1" t="n">
        <v>46262</v>
      </c>
      <c r="F617" t="inlineStr">
        <is>
          <t>ÖSTERGÖTLANDS LÄN</t>
        </is>
      </c>
      <c r="G617" t="inlineStr">
        <is>
          <t>FINSPÅNG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45915</v>
      </c>
      <c r="E618" s="1" t="n">
        <v>46262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12814-2022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44642</v>
      </c>
      <c r="E619" s="1" t="n">
        <v>46262</v>
      </c>
      <c r="F619" t="inlineStr">
        <is>
          <t>ÖSTERGÖTLANDS LÄN</t>
        </is>
      </c>
      <c r="G619" t="inlineStr">
        <is>
          <t>FINSPÅNG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6635-2025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46262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19609-2025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46262</v>
      </c>
      <c r="F621" t="inlineStr">
        <is>
          <t>ÖSTERGÖTLANDS LÄN</t>
        </is>
      </c>
      <c r="G621" t="inlineStr">
        <is>
          <t>FINSPÅNG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45456</v>
      </c>
      <c r="E622" s="1" t="n">
        <v>46262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29078-2022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44749</v>
      </c>
      <c r="E623" s="1" t="n">
        <v>46262</v>
      </c>
      <c r="F623" t="inlineStr">
        <is>
          <t>ÖSTERGÖTLANDS LÄN</t>
        </is>
      </c>
      <c r="G623" t="inlineStr">
        <is>
          <t>FINSPÅNG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24503-2023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45082</v>
      </c>
      <c r="E624" s="1" t="n">
        <v>46262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24513-2023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45082</v>
      </c>
      <c r="E625" s="1" t="n">
        <v>46262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39740-2023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45167</v>
      </c>
      <c r="E626" s="1" t="n">
        <v>46262</v>
      </c>
      <c r="F626" t="inlineStr">
        <is>
          <t>ÖSTERGÖTLANDS LÄN</t>
        </is>
      </c>
      <c r="G626" t="inlineStr">
        <is>
          <t>FINSPÅNG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41513-2024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45560</v>
      </c>
      <c r="E627" s="1" t="n">
        <v>46262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46262</v>
      </c>
      <c r="F628" t="inlineStr">
        <is>
          <t>ÖSTERGÖTLANDS LÄN</t>
        </is>
      </c>
      <c r="G628" t="inlineStr">
        <is>
          <t>FINSPÅNG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33027-2022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44782</v>
      </c>
      <c r="E629" s="1" t="n">
        <v>46262</v>
      </c>
      <c r="F629" t="inlineStr">
        <is>
          <t>ÖSTERGÖTLANDS LÄN</t>
        </is>
      </c>
      <c r="G629" t="inlineStr">
        <is>
          <t>FINSPÅNG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45692</v>
      </c>
      <c r="E630" s="1" t="n">
        <v>46262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61447-2024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45646</v>
      </c>
      <c r="E631" s="1" t="n">
        <v>46262</v>
      </c>
      <c r="F631" t="inlineStr">
        <is>
          <t>ÖSTERGÖTLANDS LÄN</t>
        </is>
      </c>
      <c r="G631" t="inlineStr">
        <is>
          <t>FINSPÅNG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42779-2023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45181</v>
      </c>
      <c r="E632" s="1" t="n">
        <v>46262</v>
      </c>
      <c r="F632" t="inlineStr">
        <is>
          <t>ÖSTERGÖTLANDS LÄN</t>
        </is>
      </c>
      <c r="G632" t="inlineStr">
        <is>
          <t>FINSPÅNG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52731-2023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45225</v>
      </c>
      <c r="E633" s="1" t="n">
        <v>46262</v>
      </c>
      <c r="F633" t="inlineStr">
        <is>
          <t>ÖSTERGÖTLANDS LÄN</t>
        </is>
      </c>
      <c r="G633" t="inlineStr">
        <is>
          <t>FINSPÅNG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29630-2022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44754</v>
      </c>
      <c r="E634" s="1" t="n">
        <v>46262</v>
      </c>
      <c r="F634" t="inlineStr">
        <is>
          <t>ÖSTERGÖTLANDS LÄN</t>
        </is>
      </c>
      <c r="G634" t="inlineStr">
        <is>
          <t>FINSPÅNG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18261-2024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45421</v>
      </c>
      <c r="E635" s="1" t="n">
        <v>46262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35278-2025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45853</v>
      </c>
      <c r="E636" s="1" t="n">
        <v>46262</v>
      </c>
      <c r="F636" t="inlineStr">
        <is>
          <t>ÖSTERGÖTLANDS LÄN</t>
        </is>
      </c>
      <c r="G636" t="inlineStr">
        <is>
          <t>FINSPÅNG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39467-2024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45551</v>
      </c>
      <c r="E637" s="1" t="n">
        <v>46262</v>
      </c>
      <c r="F637" t="inlineStr">
        <is>
          <t>ÖSTERGÖTLANDS LÄN</t>
        </is>
      </c>
      <c r="G637" t="inlineStr">
        <is>
          <t>FINSPÅNG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46262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35346-2024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45530</v>
      </c>
      <c r="E639" s="1" t="n">
        <v>46262</v>
      </c>
      <c r="F639" t="inlineStr">
        <is>
          <t>ÖSTERGÖTLANDS LÄN</t>
        </is>
      </c>
      <c r="G639" t="inlineStr">
        <is>
          <t>FINSPÅNG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10184-2023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44986</v>
      </c>
      <c r="E640" s="1" t="n">
        <v>46262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31176-2022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44770</v>
      </c>
      <c r="E641" s="1" t="n">
        <v>46262</v>
      </c>
      <c r="F641" t="inlineStr">
        <is>
          <t>ÖSTERGÖTLANDS LÄN</t>
        </is>
      </c>
      <c r="G641" t="inlineStr">
        <is>
          <t>FINSPÅNG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42785-2024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45566</v>
      </c>
      <c r="E642" s="1" t="n">
        <v>46262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46262</v>
      </c>
      <c r="F643" t="inlineStr">
        <is>
          <t>ÖSTERGÖTLANDS LÄN</t>
        </is>
      </c>
      <c r="G643" t="inlineStr">
        <is>
          <t>FINSPÅNG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45302</v>
      </c>
      <c r="E644" s="1" t="n">
        <v>46262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50510-2024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45601</v>
      </c>
      <c r="E645" s="1" t="n">
        <v>46262</v>
      </c>
      <c r="F645" t="inlineStr">
        <is>
          <t>ÖSTERGÖTLANDS LÄN</t>
        </is>
      </c>
      <c r="G645" t="inlineStr">
        <is>
          <t>FINSPÅNG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45712</v>
      </c>
      <c r="E646" s="1" t="n">
        <v>46262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17321-2022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44678</v>
      </c>
      <c r="E647" s="1" t="n">
        <v>46262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12216-2022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44637</v>
      </c>
      <c r="E648" s="1" t="n">
        <v>46262</v>
      </c>
      <c r="F648" t="inlineStr">
        <is>
          <t>ÖSTERGÖTLANDS LÄN</t>
        </is>
      </c>
      <c r="G648" t="inlineStr">
        <is>
          <t>FINSPÅNG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20819-2026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46141</v>
      </c>
      <c r="E649" s="1" t="n">
        <v>46262</v>
      </c>
      <c r="F649" t="inlineStr">
        <is>
          <t>ÖSTERGÖTLANDS LÄN</t>
        </is>
      </c>
      <c r="G649" t="inlineStr">
        <is>
          <t>FINSPÅNG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64103-2023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45279</v>
      </c>
      <c r="E650" s="1" t="n">
        <v>46262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52561-2024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45609</v>
      </c>
      <c r="E651" s="1" t="n">
        <v>46262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45070</v>
      </c>
      <c r="E652" s="1" t="n">
        <v>46262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7743-2023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44973</v>
      </c>
      <c r="E653" s="1" t="n">
        <v>46262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56425-2022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44891</v>
      </c>
      <c r="E654" s="1" t="n">
        <v>46262</v>
      </c>
      <c r="F654" t="inlineStr">
        <is>
          <t>ÖSTERGÖTLANDS LÄN</t>
        </is>
      </c>
      <c r="G654" t="inlineStr">
        <is>
          <t>FINSPÅNG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53945-2024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46262</v>
      </c>
      <c r="F655" t="inlineStr">
        <is>
          <t>ÖSTERGÖTLANDS LÄN</t>
        </is>
      </c>
      <c r="G655" t="inlineStr">
        <is>
          <t>FINSPÅNG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43534-2023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45184</v>
      </c>
      <c r="E656" s="1" t="n">
        <v>46262</v>
      </c>
      <c r="F656" t="inlineStr">
        <is>
          <t>ÖSTERGÖTLANDS LÄN</t>
        </is>
      </c>
      <c r="G656" t="inlineStr">
        <is>
          <t>FINSPÅNG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57678-2025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45980</v>
      </c>
      <c r="E657" s="1" t="n">
        <v>46262</v>
      </c>
      <c r="F657" t="inlineStr">
        <is>
          <t>ÖSTERGÖTLANDS LÄN</t>
        </is>
      </c>
      <c r="G657" t="inlineStr">
        <is>
          <t>FINSPÅNG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46262</v>
      </c>
      <c r="F658" t="inlineStr">
        <is>
          <t>ÖSTERGÖTLANDS LÄN</t>
        </is>
      </c>
      <c r="G658" t="inlineStr">
        <is>
          <t>FINSPÅNG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6735-2023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44966</v>
      </c>
      <c r="E659" s="1" t="n">
        <v>46262</v>
      </c>
      <c r="F659" t="inlineStr">
        <is>
          <t>ÖSTERGÖTLANDS LÄN</t>
        </is>
      </c>
      <c r="G659" t="inlineStr">
        <is>
          <t>FINSPÅNG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46262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44823</v>
      </c>
      <c r="E661" s="1" t="n">
        <v>46262</v>
      </c>
      <c r="F661" t="inlineStr">
        <is>
          <t>ÖSTERGÖTLANDS LÄN</t>
        </is>
      </c>
      <c r="G661" t="inlineStr">
        <is>
          <t>FINSPÅNG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47317-2023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45202</v>
      </c>
      <c r="E662" s="1" t="n">
        <v>46262</v>
      </c>
      <c r="F662" t="inlineStr">
        <is>
          <t>ÖSTERGÖTLANDS LÄN</t>
        </is>
      </c>
      <c r="G662" t="inlineStr">
        <is>
          <t>FINSPÅNG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45379</v>
      </c>
      <c r="E663" s="1" t="n">
        <v>46262</v>
      </c>
      <c r="F663" t="inlineStr">
        <is>
          <t>ÖSTERGÖTLANDS LÄN</t>
        </is>
      </c>
      <c r="G663" t="inlineStr">
        <is>
          <t>FINSPÅNG</t>
        </is>
      </c>
      <c r="I663" t="n">
        <v>11.9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34119-2025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45845</v>
      </c>
      <c r="E664" s="1" t="n">
        <v>46262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19160-2024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45428</v>
      </c>
      <c r="E665" s="1" t="n">
        <v>46262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41328-2023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45174</v>
      </c>
      <c r="E666" s="1" t="n">
        <v>46262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Kyrkan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19529-2025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45770</v>
      </c>
      <c r="E667" s="1" t="n">
        <v>46262</v>
      </c>
      <c r="F667" t="inlineStr">
        <is>
          <t>ÖSTERGÖTLANDS LÄN</t>
        </is>
      </c>
      <c r="G667" t="inlineStr">
        <is>
          <t>FINSPÅNG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54727-2023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45236</v>
      </c>
      <c r="E668" s="1" t="n">
        <v>46262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54730-2023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45236</v>
      </c>
      <c r="E669" s="1" t="n">
        <v>46262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45357</v>
      </c>
      <c r="E670" s="1" t="n">
        <v>46262</v>
      </c>
      <c r="F670" t="inlineStr">
        <is>
          <t>ÖSTERGÖTLANDS LÄN</t>
        </is>
      </c>
      <c r="G670" t="inlineStr">
        <is>
          <t>FINSPÅNG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10485-2026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46077</v>
      </c>
      <c r="E671" s="1" t="n">
        <v>46262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Kyrkan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56420-2023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45243</v>
      </c>
      <c r="E672" s="1" t="n">
        <v>46262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15952-2023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45022</v>
      </c>
      <c r="E673" s="1" t="n">
        <v>46262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22938-2026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46262</v>
      </c>
      <c r="F674" t="inlineStr">
        <is>
          <t>ÖSTERGÖTLANDS LÄN</t>
        </is>
      </c>
      <c r="G674" t="inlineStr">
        <is>
          <t>FINSPÅNG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38964-2022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44816</v>
      </c>
      <c r="E675" s="1" t="n">
        <v>46262</v>
      </c>
      <c r="F675" t="inlineStr">
        <is>
          <t>ÖSTERGÖTLANDS LÄN</t>
        </is>
      </c>
      <c r="G675" t="inlineStr">
        <is>
          <t>FINSPÅNG</t>
        </is>
      </c>
      <c r="I675" t="n">
        <v>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45314</v>
      </c>
      <c r="E676" s="1" t="n">
        <v>46262</v>
      </c>
      <c r="F676" t="inlineStr">
        <is>
          <t>ÖSTERGÖTLANDS LÄN</t>
        </is>
      </c>
      <c r="G676" t="inlineStr">
        <is>
          <t>FINSPÅNG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40194-2022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44820</v>
      </c>
      <c r="E677" s="1" t="n">
        <v>46262</v>
      </c>
      <c r="F677" t="inlineStr">
        <is>
          <t>ÖSTERGÖTLANDS LÄN</t>
        </is>
      </c>
      <c r="G677" t="inlineStr">
        <is>
          <t>FINSPÅNG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36406-2024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45535</v>
      </c>
      <c r="E678" s="1" t="n">
        <v>46262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Kommuner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58367-2023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46262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46317-2023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45197</v>
      </c>
      <c r="E680" s="1" t="n">
        <v>46262</v>
      </c>
      <c r="F680" t="inlineStr">
        <is>
          <t>ÖSTERGÖTLANDS LÄN</t>
        </is>
      </c>
      <c r="G680" t="inlineStr">
        <is>
          <t>FINSPÅNG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44966</v>
      </c>
      <c r="E681" s="1" t="n">
        <v>46262</v>
      </c>
      <c r="F681" t="inlineStr">
        <is>
          <t>ÖSTERGÖTLANDS LÄN</t>
        </is>
      </c>
      <c r="G681" t="inlineStr">
        <is>
          <t>FINSPÅNG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36994-2022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44806</v>
      </c>
      <c r="E682" s="1" t="n">
        <v>46262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31130-2023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45113</v>
      </c>
      <c r="E683" s="1" t="n">
        <v>46262</v>
      </c>
      <c r="F683" t="inlineStr">
        <is>
          <t>ÖSTERGÖTLANDS LÄN</t>
        </is>
      </c>
      <c r="G683" t="inlineStr">
        <is>
          <t>FINSPÅNG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44964</v>
      </c>
      <c r="E684" s="1" t="n">
        <v>46262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46174</v>
      </c>
      <c r="E685" s="1" t="n">
        <v>46262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5.5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46262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18171-2024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45420</v>
      </c>
      <c r="E687" s="1" t="n">
        <v>46262</v>
      </c>
      <c r="F687" t="inlineStr">
        <is>
          <t>ÖSTERGÖTLANDS LÄN</t>
        </is>
      </c>
      <c r="G687" t="inlineStr">
        <is>
          <t>FINSPÅNG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43318-2022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44834</v>
      </c>
      <c r="E688" s="1" t="n">
        <v>46262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53944-2024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46262</v>
      </c>
      <c r="F689" t="inlineStr">
        <is>
          <t>ÖSTERGÖTLANDS LÄN</t>
        </is>
      </c>
      <c r="G689" t="inlineStr">
        <is>
          <t>FINSPÅNG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60038-2023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45258</v>
      </c>
      <c r="E690" s="1" t="n">
        <v>46262</v>
      </c>
      <c r="F690" t="inlineStr">
        <is>
          <t>ÖSTERGÖTLANDS LÄN</t>
        </is>
      </c>
      <c r="G690" t="inlineStr">
        <is>
          <t>FINSPÅNG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50341-2022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44865</v>
      </c>
      <c r="E691" s="1" t="n">
        <v>46262</v>
      </c>
      <c r="F691" t="inlineStr">
        <is>
          <t>ÖSTERGÖTLANDS LÄN</t>
        </is>
      </c>
      <c r="G691" t="inlineStr">
        <is>
          <t>FINSPÅNG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4139-2023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44953</v>
      </c>
      <c r="E692" s="1" t="n">
        <v>46262</v>
      </c>
      <c r="F692" t="inlineStr">
        <is>
          <t>ÖSTERGÖTLANDS LÄN</t>
        </is>
      </c>
      <c r="G692" t="inlineStr">
        <is>
          <t>FINSPÅNG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54505-2024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45617</v>
      </c>
      <c r="E693" s="1" t="n">
        <v>46262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53610-2022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44879</v>
      </c>
      <c r="E694" s="1" t="n">
        <v>46262</v>
      </c>
      <c r="F694" t="inlineStr">
        <is>
          <t>ÖSTERGÖTLANDS LÄN</t>
        </is>
      </c>
      <c r="G694" t="inlineStr">
        <is>
          <t>FINSPÅNG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25860-2026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46176</v>
      </c>
      <c r="E695" s="1" t="n">
        <v>46262</v>
      </c>
      <c r="F695" t="inlineStr">
        <is>
          <t>ÖSTERGÖTLANDS LÄN</t>
        </is>
      </c>
      <c r="G695" t="inlineStr">
        <is>
          <t>FINSPÅNG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25844-2026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46262</v>
      </c>
      <c r="F696" t="inlineStr">
        <is>
          <t>ÖSTERGÖTLANDS LÄN</t>
        </is>
      </c>
      <c r="G696" t="inlineStr">
        <is>
          <t>FINSPÅNG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25864-2026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46176</v>
      </c>
      <c r="E697" s="1" t="n">
        <v>46262</v>
      </c>
      <c r="F697" t="inlineStr">
        <is>
          <t>ÖSTERGÖTLANDS LÄN</t>
        </is>
      </c>
      <c r="G697" t="inlineStr">
        <is>
          <t>FINSPÅNG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8924-2025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45713</v>
      </c>
      <c r="E698" s="1" t="n">
        <v>46262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13378-2025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46262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49677-2022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44862</v>
      </c>
      <c r="E700" s="1" t="n">
        <v>46262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9.6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56309-2022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44887</v>
      </c>
      <c r="E701" s="1" t="n">
        <v>46262</v>
      </c>
      <c r="F701" t="inlineStr">
        <is>
          <t>ÖSTERGÖTLANDS LÄN</t>
        </is>
      </c>
      <c r="G701" t="inlineStr">
        <is>
          <t>FINSPÅNG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56264-2022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44887</v>
      </c>
      <c r="E702" s="1" t="n">
        <v>46262</v>
      </c>
      <c r="F702" t="inlineStr">
        <is>
          <t>ÖSTERGÖTLANDS LÄN</t>
        </is>
      </c>
      <c r="G702" t="inlineStr">
        <is>
          <t>FINSPÅNG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18657-2024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45426</v>
      </c>
      <c r="E703" s="1" t="n">
        <v>46262</v>
      </c>
      <c r="F703" t="inlineStr">
        <is>
          <t>ÖSTERGÖTLANDS LÄN</t>
        </is>
      </c>
      <c r="G703" t="inlineStr">
        <is>
          <t>FINSPÅNG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9339-2022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44616</v>
      </c>
      <c r="E704" s="1" t="n">
        <v>46262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46178</v>
      </c>
      <c r="E705" s="1" t="n">
        <v>46262</v>
      </c>
      <c r="F705" t="inlineStr">
        <is>
          <t>ÖSTERGÖTLANDS LÄN</t>
        </is>
      </c>
      <c r="G705" t="inlineStr">
        <is>
          <t>FINSPÅNG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25766-2026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46178</v>
      </c>
      <c r="E706" s="1" t="n">
        <v>46262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25629-2026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46262</v>
      </c>
      <c r="F707" t="inlineStr">
        <is>
          <t>ÖSTERGÖTLANDS LÄN</t>
        </is>
      </c>
      <c r="G707" t="inlineStr">
        <is>
          <t>FINSPÅNG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44949</v>
      </c>
      <c r="E708" s="1" t="n">
        <v>46262</v>
      </c>
      <c r="F708" t="inlineStr">
        <is>
          <t>ÖSTERGÖTLANDS LÄN</t>
        </is>
      </c>
      <c r="G708" t="inlineStr">
        <is>
          <t>FINSPÅNG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11974-2023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44995</v>
      </c>
      <c r="E709" s="1" t="n">
        <v>46262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25760-2026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46262</v>
      </c>
      <c r="F710" t="inlineStr">
        <is>
          <t>ÖSTERGÖTLANDS LÄN</t>
        </is>
      </c>
      <c r="G710" t="inlineStr">
        <is>
          <t>FINSPÅNG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38613-2022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44813</v>
      </c>
      <c r="E711" s="1" t="n">
        <v>46262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31669-2026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46225</v>
      </c>
      <c r="E712" s="1" t="n">
        <v>46262</v>
      </c>
      <c r="F712" t="inlineStr">
        <is>
          <t>ÖSTERGÖTLANDS LÄN</t>
        </is>
      </c>
      <c r="G712" t="inlineStr">
        <is>
          <t>FINSPÅNG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31668-2026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46225</v>
      </c>
      <c r="E713" s="1" t="n">
        <v>46262</v>
      </c>
      <c r="F713" t="inlineStr">
        <is>
          <t>ÖSTERGÖTLANDS LÄN</t>
        </is>
      </c>
      <c r="G713" t="inlineStr">
        <is>
          <t>FINSPÅNG</t>
        </is>
      </c>
      <c r="I713" t="n">
        <v>10.5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25943-2026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46262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Sveaskog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34941-2023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45142</v>
      </c>
      <c r="E715" s="1" t="n">
        <v>46262</v>
      </c>
      <c r="F715" t="inlineStr">
        <is>
          <t>ÖSTERGÖTLANDS LÄN</t>
        </is>
      </c>
      <c r="G715" t="inlineStr">
        <is>
          <t>FINSPÅNG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9635-2025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45715</v>
      </c>
      <c r="E716" s="1" t="n">
        <v>46262</v>
      </c>
      <c r="F716" t="inlineStr">
        <is>
          <t>ÖSTERGÖTLANDS LÄN</t>
        </is>
      </c>
      <c r="G716" t="inlineStr">
        <is>
          <t>FINSPÅNG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14454-2022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44653</v>
      </c>
      <c r="E717" s="1" t="n">
        <v>46262</v>
      </c>
      <c r="F717" t="inlineStr">
        <is>
          <t>ÖSTERGÖTLANDS LÄN</t>
        </is>
      </c>
      <c r="G717" t="inlineStr">
        <is>
          <t>FINSPÅNG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31675-2026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46226</v>
      </c>
      <c r="E718" s="1" t="n">
        <v>46262</v>
      </c>
      <c r="F718" t="inlineStr">
        <is>
          <t>ÖSTERGÖTLANDS LÄN</t>
        </is>
      </c>
      <c r="G718" t="inlineStr">
        <is>
          <t>FINSPÅNG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46226</v>
      </c>
      <c r="E719" s="1" t="n">
        <v>46262</v>
      </c>
      <c r="F719" t="inlineStr">
        <is>
          <t>ÖSTERGÖTLANDS LÄN</t>
        </is>
      </c>
      <c r="G719" t="inlineStr">
        <is>
          <t>FINSPÅNG</t>
        </is>
      </c>
      <c r="I719" t="n">
        <v>6.1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61114-2024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45645</v>
      </c>
      <c r="E720" s="1" t="n">
        <v>46262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48767-2024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45593</v>
      </c>
      <c r="E721" s="1" t="n">
        <v>46262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10420-2023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44987</v>
      </c>
      <c r="E722" s="1" t="n">
        <v>46262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40410-2024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45555</v>
      </c>
      <c r="E723" s="1" t="n">
        <v>46262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26905-2026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46185</v>
      </c>
      <c r="E724" s="1" t="n">
        <v>46262</v>
      </c>
      <c r="F724" t="inlineStr">
        <is>
          <t>ÖSTERGÖTLANDS LÄN</t>
        </is>
      </c>
      <c r="G724" t="inlineStr">
        <is>
          <t>FINSPÅNG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46262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46262</v>
      </c>
      <c r="F726" t="inlineStr">
        <is>
          <t>ÖSTERGÖTLANDS LÄN</t>
        </is>
      </c>
      <c r="G726" t="inlineStr">
        <is>
          <t>FINSPÅNG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46262</v>
      </c>
      <c r="F727" t="inlineStr">
        <is>
          <t>ÖSTERGÖTLANDS LÄN</t>
        </is>
      </c>
      <c r="G727" t="inlineStr">
        <is>
          <t>FINSPÅNG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22579-2024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45447</v>
      </c>
      <c r="E728" s="1" t="n">
        <v>46262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27369-2026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46188</v>
      </c>
      <c r="E729" s="1" t="n">
        <v>46262</v>
      </c>
      <c r="F729" t="inlineStr">
        <is>
          <t>ÖSTERGÖTLANDS LÄN</t>
        </is>
      </c>
      <c r="G729" t="inlineStr">
        <is>
          <t>FINSPÅNG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44729</v>
      </c>
      <c r="E730" s="1" t="n">
        <v>46262</v>
      </c>
      <c r="F730" t="inlineStr">
        <is>
          <t>ÖSTERGÖTLANDS LÄN</t>
        </is>
      </c>
      <c r="G730" t="inlineStr">
        <is>
          <t>FINSPÅNG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44844</v>
      </c>
      <c r="E731" s="1" t="n">
        <v>46262</v>
      </c>
      <c r="F731" t="inlineStr">
        <is>
          <t>ÖSTERGÖTLANDS LÄN</t>
        </is>
      </c>
      <c r="G731" t="inlineStr">
        <is>
          <t>FINSPÅNG</t>
        </is>
      </c>
      <c r="I731" t="n">
        <v>16.6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7788-2023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46262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46262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45095</v>
      </c>
      <c r="E734" s="1" t="n">
        <v>46262</v>
      </c>
      <c r="F734" t="inlineStr">
        <is>
          <t>ÖSTERGÖTLANDS LÄN</t>
        </is>
      </c>
      <c r="G734" t="inlineStr">
        <is>
          <t>FINSPÅNG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46262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68122-2021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44526</v>
      </c>
      <c r="E736" s="1" t="n">
        <v>46262</v>
      </c>
      <c r="F736" t="inlineStr">
        <is>
          <t>ÖSTERGÖTLANDS LÄN</t>
        </is>
      </c>
      <c r="G736" t="inlineStr">
        <is>
          <t>FINSPÅNG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32000-2026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46232</v>
      </c>
      <c r="E737" s="1" t="n">
        <v>46262</v>
      </c>
      <c r="F737" t="inlineStr">
        <is>
          <t>ÖSTERGÖTLANDS LÄN</t>
        </is>
      </c>
      <c r="G737" t="inlineStr">
        <is>
          <t>FINSPÅNG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62158-2022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44922</v>
      </c>
      <c r="E738" s="1" t="n">
        <v>46262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34758-2022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44795</v>
      </c>
      <c r="E739" s="1" t="n">
        <v>46262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61076-2023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45260</v>
      </c>
      <c r="E740" s="1" t="n">
        <v>46262</v>
      </c>
      <c r="F740" t="inlineStr">
        <is>
          <t>ÖSTERGÖTLANDS LÄN</t>
        </is>
      </c>
      <c r="G740" t="inlineStr">
        <is>
          <t>FINSPÅNG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59468-2021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44491</v>
      </c>
      <c r="E741" s="1" t="n">
        <v>46262</v>
      </c>
      <c r="F741" t="inlineStr">
        <is>
          <t>ÖSTERGÖTLANDS LÄN</t>
        </is>
      </c>
      <c r="G741" t="inlineStr">
        <is>
          <t>FINSPÅNG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18306-2023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45041</v>
      </c>
      <c r="E742" s="1" t="n">
        <v>46262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Naturvårdsverket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59838-2023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45257</v>
      </c>
      <c r="E743" s="1" t="n">
        <v>46262</v>
      </c>
      <c r="F743" t="inlineStr">
        <is>
          <t>ÖSTERGÖTLANDS LÄN</t>
        </is>
      </c>
      <c r="G743" t="inlineStr">
        <is>
          <t>FINSPÅNG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51610-2022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44871</v>
      </c>
      <c r="E744" s="1" t="n">
        <v>46262</v>
      </c>
      <c r="F744" t="inlineStr">
        <is>
          <t>ÖSTERGÖTLANDS LÄN</t>
        </is>
      </c>
      <c r="G744" t="inlineStr">
        <is>
          <t>FINSPÅNG</t>
        </is>
      </c>
      <c r="I744" t="n">
        <v>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13826-2024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45391</v>
      </c>
      <c r="E745" s="1" t="n">
        <v>46262</v>
      </c>
      <c r="F745" t="inlineStr">
        <is>
          <t>ÖSTERGÖTLANDS LÄN</t>
        </is>
      </c>
      <c r="G745" t="inlineStr">
        <is>
          <t>FINSPÅNG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5336-2025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45692</v>
      </c>
      <c r="E746" s="1" t="n">
        <v>46262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46233</v>
      </c>
      <c r="E747" s="1" t="n">
        <v>46262</v>
      </c>
      <c r="F747" t="inlineStr">
        <is>
          <t>ÖSTERGÖTLANDS LÄN</t>
        </is>
      </c>
      <c r="G747" t="inlineStr">
        <is>
          <t>FINSPÅNG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45070</v>
      </c>
      <c r="E748" s="1" t="n">
        <v>46262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46262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6527-2023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46262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28386-2026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46196</v>
      </c>
      <c r="E751" s="1" t="n">
        <v>46262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Kommuner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4071-2024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45323</v>
      </c>
      <c r="E752" s="1" t="n">
        <v>46262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45341</v>
      </c>
      <c r="E753" s="1" t="n">
        <v>46262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73260-2021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44550</v>
      </c>
      <c r="E754" s="1" t="n">
        <v>46262</v>
      </c>
      <c r="F754" t="inlineStr">
        <is>
          <t>ÖSTERGÖTLANDS LÄN</t>
        </is>
      </c>
      <c r="G754" t="inlineStr">
        <is>
          <t>FINSPÅNG</t>
        </is>
      </c>
      <c r="I754" t="n">
        <v>10.3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42705-2024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46262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42711-2024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45566</v>
      </c>
      <c r="E756" s="1" t="n">
        <v>46262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55612-2021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44476</v>
      </c>
      <c r="E757" s="1" t="n">
        <v>46262</v>
      </c>
      <c r="F757" t="inlineStr">
        <is>
          <t>ÖSTERGÖTLANDS LÄN</t>
        </is>
      </c>
      <c r="G757" t="inlineStr">
        <is>
          <t>FINSPÅNG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21517-2024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46262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45374</v>
      </c>
      <c r="E759" s="1" t="n">
        <v>46262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Kyrkan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46262</v>
      </c>
      <c r="F760" t="inlineStr">
        <is>
          <t>ÖSTERGÖTLANDS LÄN</t>
        </is>
      </c>
      <c r="G760" t="inlineStr">
        <is>
          <t>FINSPÅNG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44981</v>
      </c>
      <c r="E761" s="1" t="n">
        <v>46262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17557-2022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44679</v>
      </c>
      <c r="E762" s="1" t="n">
        <v>46262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45293</v>
      </c>
      <c r="E763" s="1" t="n">
        <v>46262</v>
      </c>
      <c r="F763" t="inlineStr">
        <is>
          <t>ÖSTERGÖTLANDS LÄN</t>
        </is>
      </c>
      <c r="G763" t="inlineStr">
        <is>
          <t>FINSPÅNG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46262</v>
      </c>
      <c r="F764" t="inlineStr">
        <is>
          <t>ÖSTERGÖTLANDS LÄN</t>
        </is>
      </c>
      <c r="G764" t="inlineStr">
        <is>
          <t>FINSPÅNG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45214</v>
      </c>
      <c r="E765" s="1" t="n">
        <v>46262</v>
      </c>
      <c r="F765" t="inlineStr">
        <is>
          <t>ÖSTERGÖTLANDS LÄN</t>
        </is>
      </c>
      <c r="G765" t="inlineStr">
        <is>
          <t>FINSPÅNG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46262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46262</v>
      </c>
      <c r="F767" t="inlineStr">
        <is>
          <t>ÖSTERGÖTLANDS LÄN</t>
        </is>
      </c>
      <c r="G767" t="inlineStr">
        <is>
          <t>FINSPÅNG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45660</v>
      </c>
      <c r="E768" s="1" t="n">
        <v>46262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Övriga Aktiebolag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13375-2025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45735</v>
      </c>
      <c r="E769" s="1" t="n">
        <v>46262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32795-2024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45516</v>
      </c>
      <c r="E770" s="1" t="n">
        <v>46262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Kommuner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45846</v>
      </c>
      <c r="E771" s="1" t="n">
        <v>46262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6628-2023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46262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Övriga Aktiebolag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45078</v>
      </c>
      <c r="E773" s="1" t="n">
        <v>46262</v>
      </c>
      <c r="F773" t="inlineStr">
        <is>
          <t>ÖSTERGÖTLANDS LÄN</t>
        </is>
      </c>
      <c r="G773" t="inlineStr">
        <is>
          <t>FINSPÅNG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31025-2023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46262</v>
      </c>
      <c r="F774" t="inlineStr">
        <is>
          <t>ÖSTERGÖTLANDS LÄN</t>
        </is>
      </c>
      <c r="G774" t="inlineStr">
        <is>
          <t>FINSPÅNG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45311-2023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46262</v>
      </c>
      <c r="F775" t="inlineStr">
        <is>
          <t>ÖSTERGÖTLANDS LÄN</t>
        </is>
      </c>
      <c r="G775" t="inlineStr">
        <is>
          <t>FINSPÅNG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18488-2025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45763</v>
      </c>
      <c r="E776" s="1" t="n">
        <v>46262</v>
      </c>
      <c r="F776" t="inlineStr">
        <is>
          <t>ÖSTERGÖTLANDS LÄN</t>
        </is>
      </c>
      <c r="G776" t="inlineStr">
        <is>
          <t>FINSPÅNG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73655-2021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44551</v>
      </c>
      <c r="E777" s="1" t="n">
        <v>46262</v>
      </c>
      <c r="F777" t="inlineStr">
        <is>
          <t>ÖSTERGÖTLANDS LÄN</t>
        </is>
      </c>
      <c r="G777" t="inlineStr">
        <is>
          <t>FINSPÅNG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43051-2022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44833</v>
      </c>
      <c r="E778" s="1" t="n">
        <v>46262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28558-2023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45103</v>
      </c>
      <c r="E779" s="1" t="n">
        <v>46262</v>
      </c>
      <c r="F779" t="inlineStr">
        <is>
          <t>ÖSTERGÖTLANDS LÄN</t>
        </is>
      </c>
      <c r="G779" t="inlineStr">
        <is>
          <t>FINSPÅNG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54916-2024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46262</v>
      </c>
      <c r="F780" t="inlineStr">
        <is>
          <t>ÖSTERGÖTLANDS LÄN</t>
        </is>
      </c>
      <c r="G780" t="inlineStr">
        <is>
          <t>FINSPÅNG</t>
        </is>
      </c>
      <c r="I780" t="n">
        <v>11.8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59702-2024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46262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45299</v>
      </c>
      <c r="E782" s="1" t="n">
        <v>46262</v>
      </c>
      <c r="F782" t="inlineStr">
        <is>
          <t>ÖSTERGÖTLANDS LÄN</t>
        </is>
      </c>
      <c r="G782" t="inlineStr">
        <is>
          <t>FINSPÅNG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46262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29731-2026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46262</v>
      </c>
      <c r="F784" t="inlineStr">
        <is>
          <t>ÖSTERGÖTLANDS LÄN</t>
        </is>
      </c>
      <c r="G784" t="inlineStr">
        <is>
          <t>FINSPÅNG</t>
        </is>
      </c>
      <c r="I784" t="n">
        <v>18.6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29482-2026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46203</v>
      </c>
      <c r="E785" s="1" t="n">
        <v>46262</v>
      </c>
      <c r="F785" t="inlineStr">
        <is>
          <t>ÖSTERGÖTLANDS LÄN</t>
        </is>
      </c>
      <c r="G785" t="inlineStr">
        <is>
          <t>FINSPÅNG</t>
        </is>
      </c>
      <c r="I785" t="n">
        <v>13.3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22714-2022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44714</v>
      </c>
      <c r="E786" s="1" t="n">
        <v>46262</v>
      </c>
      <c r="F786" t="inlineStr">
        <is>
          <t>ÖSTERGÖTLANDS LÄN</t>
        </is>
      </c>
      <c r="G786" t="inlineStr">
        <is>
          <t>FINSPÅNG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10215-2022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46262</v>
      </c>
      <c r="F787" t="inlineStr">
        <is>
          <t>ÖSTERGÖTLANDS LÄN</t>
        </is>
      </c>
      <c r="G787" t="inlineStr">
        <is>
          <t>FINSPÅNG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31147-2026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46262</v>
      </c>
      <c r="F788" t="inlineStr">
        <is>
          <t>ÖSTERGÖTLANDS LÄN</t>
        </is>
      </c>
      <c r="G788" t="inlineStr">
        <is>
          <t>FINSPÅNG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54299-2023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45232</v>
      </c>
      <c r="E789" s="1" t="n">
        <v>46262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56288-2022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44887</v>
      </c>
      <c r="E790" s="1" t="n">
        <v>46262</v>
      </c>
      <c r="F790" t="inlineStr">
        <is>
          <t>ÖSTERGÖTLANDS LÄN</t>
        </is>
      </c>
      <c r="G790" t="inlineStr">
        <is>
          <t>FINSPÅNG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18356-2024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45422</v>
      </c>
      <c r="E791" s="1" t="n">
        <v>46262</v>
      </c>
      <c r="F791" t="inlineStr">
        <is>
          <t>ÖSTERGÖTLANDS LÄN</t>
        </is>
      </c>
      <c r="G791" t="inlineStr">
        <is>
          <t>FINSPÅNG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10206-2022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44622</v>
      </c>
      <c r="E792" s="1" t="n">
        <v>46262</v>
      </c>
      <c r="F792" t="inlineStr">
        <is>
          <t>ÖSTERGÖTLANDS LÄN</t>
        </is>
      </c>
      <c r="G792" t="inlineStr">
        <is>
          <t>FINSPÅNG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45314-2023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45191</v>
      </c>
      <c r="E793" s="1" t="n">
        <v>46262</v>
      </c>
      <c r="F793" t="inlineStr">
        <is>
          <t>ÖSTERGÖTLANDS LÄN</t>
        </is>
      </c>
      <c r="G793" t="inlineStr">
        <is>
          <t>FINSPÅNG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5616-2022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44595</v>
      </c>
      <c r="E794" s="1" t="n">
        <v>46262</v>
      </c>
      <c r="F794" t="inlineStr">
        <is>
          <t>ÖSTERGÖTLANDS LÄN</t>
        </is>
      </c>
      <c r="G794" t="inlineStr">
        <is>
          <t>FINSPÅNG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4351-2022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44589</v>
      </c>
      <c r="E795" s="1" t="n">
        <v>46262</v>
      </c>
      <c r="F795" t="inlineStr">
        <is>
          <t>ÖSTERGÖTLANDS LÄN</t>
        </is>
      </c>
      <c r="G795" t="inlineStr">
        <is>
          <t>FINSPÅNG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31151-2026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46209</v>
      </c>
      <c r="E796" s="1" t="n">
        <v>46262</v>
      </c>
      <c r="F796" t="inlineStr">
        <is>
          <t>ÖSTERGÖTLANDS LÄN</t>
        </is>
      </c>
      <c r="G796" t="inlineStr">
        <is>
          <t>FINSPÅNG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31152-2026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46209</v>
      </c>
      <c r="E797" s="1" t="n">
        <v>46262</v>
      </c>
      <c r="F797" t="inlineStr">
        <is>
          <t>ÖSTERGÖTLANDS LÄN</t>
        </is>
      </c>
      <c r="G797" t="inlineStr">
        <is>
          <t>FINSPÅNG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2047-2024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45308</v>
      </c>
      <c r="E798" s="1" t="n">
        <v>46262</v>
      </c>
      <c r="F798" t="inlineStr">
        <is>
          <t>ÖSTERGÖTLANDS LÄN</t>
        </is>
      </c>
      <c r="G798" t="inlineStr">
        <is>
          <t>FINSPÅNG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62168-2022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44922</v>
      </c>
      <c r="E799" s="1" t="n">
        <v>46262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53670-2024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45615</v>
      </c>
      <c r="E800" s="1" t="n">
        <v>46262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36110-2023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45149</v>
      </c>
      <c r="E801" s="1" t="n">
        <v>46262</v>
      </c>
      <c r="F801" t="inlineStr">
        <is>
          <t>ÖSTERGÖTLANDS LÄN</t>
        </is>
      </c>
      <c r="G801" t="inlineStr">
        <is>
          <t>FINSPÅNG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18349-2025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45762</v>
      </c>
      <c r="E802" s="1" t="n">
        <v>46262</v>
      </c>
      <c r="F802" t="inlineStr">
        <is>
          <t>ÖSTERGÖTLANDS LÄN</t>
        </is>
      </c>
      <c r="G802" t="inlineStr">
        <is>
          <t>FINSPÅNG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39358-2022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44817</v>
      </c>
      <c r="E803" s="1" t="n">
        <v>46262</v>
      </c>
      <c r="F803" t="inlineStr">
        <is>
          <t>ÖSTERGÖTLANDS LÄN</t>
        </is>
      </c>
      <c r="G803" t="inlineStr">
        <is>
          <t>FINSPÅNG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36191-2023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45149</v>
      </c>
      <c r="E804" s="1" t="n">
        <v>46262</v>
      </c>
      <c r="F804" t="inlineStr">
        <is>
          <t>ÖSTERGÖTLANDS LÄN</t>
        </is>
      </c>
      <c r="G804" t="inlineStr">
        <is>
          <t>FINSPÅNG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55457-2024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45622</v>
      </c>
      <c r="E805" s="1" t="n">
        <v>46262</v>
      </c>
      <c r="F805" t="inlineStr">
        <is>
          <t>ÖSTERGÖTLANDS LÄN</t>
        </is>
      </c>
      <c r="G805" t="inlineStr">
        <is>
          <t>FINSPÅNG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40065-2024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45554</v>
      </c>
      <c r="E806" s="1" t="n">
        <v>46262</v>
      </c>
      <c r="F806" t="inlineStr">
        <is>
          <t>ÖSTERGÖTLANDS LÄN</t>
        </is>
      </c>
      <c r="G806" t="inlineStr">
        <is>
          <t>FINSPÅNG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27698-2023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45095</v>
      </c>
      <c r="E807" s="1" t="n">
        <v>46262</v>
      </c>
      <c r="F807" t="inlineStr">
        <is>
          <t>ÖSTERGÖTLANDS LÄN</t>
        </is>
      </c>
      <c r="G807" t="inlineStr">
        <is>
          <t>FINSPÅNG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48691-2024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45593</v>
      </c>
      <c r="E808" s="1" t="n">
        <v>46262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Övriga Aktiebolag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63585-2023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45275</v>
      </c>
      <c r="E809" s="1" t="n">
        <v>46262</v>
      </c>
      <c r="F809" t="inlineStr">
        <is>
          <t>ÖSTERGÖTLANDS LÄN</t>
        </is>
      </c>
      <c r="G809" t="inlineStr">
        <is>
          <t>FINSPÅNG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44564</v>
      </c>
      <c r="E810" s="1" t="n">
        <v>46262</v>
      </c>
      <c r="F810" t="inlineStr">
        <is>
          <t>ÖSTERGÖTLANDS LÄN</t>
        </is>
      </c>
      <c r="G810" t="inlineStr">
        <is>
          <t>FINSPÅNG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15129-2025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45744</v>
      </c>
      <c r="E811" s="1" t="n">
        <v>46262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Naturvårdsverket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34555-2026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46262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Sveaskog</t>
        </is>
      </c>
      <c r="I812" t="n">
        <v>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16229-2024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45407</v>
      </c>
      <c r="E813" s="1" t="n">
        <v>46262</v>
      </c>
      <c r="F813" t="inlineStr">
        <is>
          <t>ÖSTERGÖTLANDS LÄN</t>
        </is>
      </c>
      <c r="G813" t="inlineStr">
        <is>
          <t>FINSPÅNG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22586-2023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45071</v>
      </c>
      <c r="E814" s="1" t="n">
        <v>46262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47836-2021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44448</v>
      </c>
      <c r="E815" s="1" t="n">
        <v>46262</v>
      </c>
      <c r="F815" t="inlineStr">
        <is>
          <t>ÖSTERGÖTLANDS LÄN</t>
        </is>
      </c>
      <c r="G815" t="inlineStr">
        <is>
          <t>FINSPÅNG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59777-2023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45257</v>
      </c>
      <c r="E816" s="1" t="n">
        <v>46262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59827-2023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45257</v>
      </c>
      <c r="E817" s="1" t="n">
        <v>46262</v>
      </c>
      <c r="F817" t="inlineStr">
        <is>
          <t>ÖSTERGÖTLANDS LÄN</t>
        </is>
      </c>
      <c r="G817" t="inlineStr">
        <is>
          <t>FINSPÅNG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30864-2026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46212</v>
      </c>
      <c r="E818" s="1" t="n">
        <v>46262</v>
      </c>
      <c r="F818" t="inlineStr">
        <is>
          <t>ÖSTERGÖTLANDS LÄN</t>
        </is>
      </c>
      <c r="G818" t="inlineStr">
        <is>
          <t>FINSPÅNG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42682-2024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45566</v>
      </c>
      <c r="E819" s="1" t="n">
        <v>46262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30633-2026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46211</v>
      </c>
      <c r="E820" s="1" t="n">
        <v>46262</v>
      </c>
      <c r="F820" t="inlineStr">
        <is>
          <t>ÖSTERGÖTLANDS LÄN</t>
        </is>
      </c>
      <c r="G820" t="inlineStr">
        <is>
          <t>FINSPÅNG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42678-2024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45566</v>
      </c>
      <c r="E821" s="1" t="n">
        <v>46262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42699-2024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45566</v>
      </c>
      <c r="E822" s="1" t="n">
        <v>46262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13392-2025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45735</v>
      </c>
      <c r="E823" s="1" t="n">
        <v>46262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10.9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13457-2025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45736</v>
      </c>
      <c r="E824" s="1" t="n">
        <v>46262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3.3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34883-2026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46258</v>
      </c>
      <c r="E825" s="1" t="n">
        <v>46262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Övriga Aktiebolag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34884-2026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46262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Övriga Aktiebolag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31301-2026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46218</v>
      </c>
      <c r="E827" s="1" t="n">
        <v>46262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Sveaskog</t>
        </is>
      </c>
      <c r="I827" t="n">
        <v>4.4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46218</v>
      </c>
      <c r="E828" s="1" t="n">
        <v>46262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Sveaskog</t>
        </is>
      </c>
      <c r="I828" t="n">
        <v>9.5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46219</v>
      </c>
      <c r="E829" s="1" t="n">
        <v>46262</v>
      </c>
      <c r="F829" t="inlineStr">
        <is>
          <t>ÖSTERGÖTLANDS LÄN</t>
        </is>
      </c>
      <c r="G829" t="inlineStr">
        <is>
          <t>FINSPÅNG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46262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46262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46262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46262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46262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46262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2026-08-28T01:50:14Z</dcterms:created>
  <dcterms:modified xmlns:dcterms="http://purl.org/dc/terms/" xmlns:xsi="http://www.w3.org/2001/XMLSchema-instance" xsi:type="dcterms:W3CDTF">2026-08-28T01:50:15Z</dcterms:modified>
</cp:coreProperties>
</file>