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46270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46270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46270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46270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46270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46270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46270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46270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46270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46270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46270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46270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46270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46270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46270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46270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46270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46270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46270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46270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32570-2023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45121</v>
      </c>
      <c r="E43" s="1" t="n">
        <v>46270</v>
      </c>
      <c r="F43" t="inlineStr">
        <is>
          <t>ÖSTERGÖTLANDS LÄN</t>
        </is>
      </c>
      <c r="G43" t="inlineStr">
        <is>
          <t>FINSPÅNG</t>
        </is>
      </c>
      <c r="H43" t="inlineStr">
        <is>
          <t>Övriga Aktiebolag</t>
        </is>
      </c>
      <c r="I43" t="n">
        <v>7.7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Havsörn</t>
        </is>
      </c>
      <c r="W43">
        <f>HYPERLINK("https://klasma.github.io/Logging_0562/artfynd/A 32570-2023 artfynd.xlsx", "A 32570-2023")</f>
        <v/>
      </c>
      <c r="X43">
        <f>HYPERLINK("https://klasma.github.io/Logging_0562/kartor/A 32570-2023 karta.png", "A 32570-2023")</f>
        <v/>
      </c>
      <c r="Y43">
        <f>HYPERLINK("https://klasma.github.io/Logging_0562/kartor_geotiff/A 32570-2023 georefererad karta.tif", "A 32570-2023")</f>
        <v/>
      </c>
      <c r="AA43">
        <f>HYPERLINK("https://klasma.github.io/Logging_0562/klagomål/A 32570-2023 FSC-klagomål.docx", "A 32570-2023")</f>
        <v/>
      </c>
      <c r="AB43">
        <f>HYPERLINK("https://klasma.github.io/Logging_0562/klagomålsmail/A 32570-2023 FSC-klagomål mail.docx", "A 32570-2023")</f>
        <v/>
      </c>
      <c r="AC43">
        <f>HYPERLINK("https://klasma.github.io/Logging_0562/tillsyn/A 32570-2023 tillsynsbegäran.docx", "A 32570-2023")</f>
        <v/>
      </c>
      <c r="AD43">
        <f>HYPERLINK("https://klasma.github.io/Logging_0562/tillsynsmail/A 32570-2023 tillsynsbegäran mail.docx", "A 32570-2023")</f>
        <v/>
      </c>
      <c r="AE43">
        <f>HYPERLINK("https://klasma.github.io/Logging_0562/fåglar/A 32570-2023 prioriterade fågelarter.docx", "A 32570-2023")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46270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46270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46270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46270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46270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46270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46270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46270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46270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46270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46270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46270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46270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46270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HYPERLINK("https://klasma.github.io/Logging_0562/artfynd/A 34310-2025 artfynd.xlsx", "A 34310-2025")</f>
        <v/>
      </c>
      <c r="X64">
        <f>HYPERLINK("https://klasma.github.io/Logging_0562/kartor/A 34310-2025 karta.png", "A 34310-2025")</f>
        <v/>
      </c>
      <c r="Y64">
        <f>HYPERLINK("https://klasma.github.io/Logging_0562/kartor_geotiff/A 34310-2025 georefererad karta.tif", "A 34310-2025")</f>
        <v/>
      </c>
      <c r="AA64">
        <f>HYPERLINK("https://klasma.github.io/Logging_0562/klagomål/A 34310-2025 FSC-klagomål.docx", "A 34310-2025")</f>
        <v/>
      </c>
      <c r="AB64">
        <f>HYPERLINK("https://klasma.github.io/Logging_0562/klagomålsmail/A 34310-2025 FSC-klagomål mail.docx", "A 34310-2025")</f>
        <v/>
      </c>
      <c r="AC64">
        <f>HYPERLINK("https://klasma.github.io/Logging_0562/tillsyn/A 34310-2025 tillsynsbegäran.docx", "A 34310-2025")</f>
        <v/>
      </c>
      <c r="AD64">
        <f>HYPERLINK("https://klasma.github.io/Logging_0562/tillsynsmail/A 34310-2025 tillsynsbegäran mail.docx", "A 34310-2025")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46270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46270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46270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HYPERLINK("https://klasma.github.io/Logging_0562/artfynd/A 37748-2025 artfynd.xlsx", "A 37748-2025")</f>
        <v/>
      </c>
      <c r="X67">
        <f>HYPERLINK("https://klasma.github.io/Logging_0562/kartor/A 37748-2025 karta.png", "A 37748-2025")</f>
        <v/>
      </c>
      <c r="Y67">
        <f>HYPERLINK("https://klasma.github.io/Logging_0562/kartor_geotiff/A 37748-2025 georefererad karta.tif", "A 37748-2025")</f>
        <v/>
      </c>
      <c r="AA67">
        <f>HYPERLINK("https://klasma.github.io/Logging_0562/klagomål/A 37748-2025 FSC-klagomål.docx", "A 37748-2025")</f>
        <v/>
      </c>
      <c r="AB67">
        <f>HYPERLINK("https://klasma.github.io/Logging_0562/klagomålsmail/A 37748-2025 FSC-klagomål mail.docx", "A 37748-2025")</f>
        <v/>
      </c>
      <c r="AC67">
        <f>HYPERLINK("https://klasma.github.io/Logging_0562/tillsyn/A 37748-2025 tillsynsbegäran.docx", "A 37748-2025")</f>
        <v/>
      </c>
      <c r="AD67">
        <f>HYPERLINK("https://klasma.github.io/Logging_0562/tillsynsmail/A 37748-2025 tillsynsbegäran mail.docx", "A 37748-2025")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46270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7265-2026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46270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HYPERLINK("https://klasma.github.io/Logging_0562/artfynd/A 7265-2026 artfynd.xlsx", "A 7265-2026")</f>
        <v/>
      </c>
      <c r="X69">
        <f>HYPERLINK("https://klasma.github.io/Logging_0562/kartor/A 7265-2026 karta.png", "A 7265-2026")</f>
        <v/>
      </c>
      <c r="Y69">
        <f>HYPERLINK("https://klasma.github.io/Logging_0562/kartor_geotiff/A 7265-2026 georefererad karta.tif", "A 7265-2026")</f>
        <v/>
      </c>
      <c r="AA69">
        <f>HYPERLINK("https://klasma.github.io/Logging_0562/klagomål/A 7265-2026 FSC-klagomål.docx", "A 7265-2026")</f>
        <v/>
      </c>
      <c r="AB69">
        <f>HYPERLINK("https://klasma.github.io/Logging_0562/klagomålsmail/A 7265-2026 FSC-klagomål mail.docx", "A 7265-2026")</f>
        <v/>
      </c>
      <c r="AC69">
        <f>HYPERLINK("https://klasma.github.io/Logging_0562/tillsyn/A 7265-2026 tillsynsbegäran.docx", "A 7265-2026")</f>
        <v/>
      </c>
      <c r="AD69">
        <f>HYPERLINK("https://klasma.github.io/Logging_0562/tillsynsmail/A 7265-2026 tillsynsbegäran mail.docx", "A 7265-2026")</f>
        <v/>
      </c>
      <c r="AE69">
        <f>HYPERLINK("https://klasma.github.io/Logging_0562/fåglar/A 7265-2026 prioriterade fågelarter.docx", "A 7265-2026")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46270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46270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46270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46270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61254-2022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46270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HYPERLINK("https://klasma.github.io/Logging_0562/artfynd/A 61254-2022 artfynd.xlsx", "A 61254-2022")</f>
        <v/>
      </c>
      <c r="X74">
        <f>HYPERLINK("https://klasma.github.io/Logging_0562/kartor/A 61254-2022 karta.png", "A 61254-2022")</f>
        <v/>
      </c>
      <c r="Y74">
        <f>HYPERLINK("https://klasma.github.io/Logging_0562/kartor_geotiff/A 61254-2022 georefererad karta.tif", "A 61254-2022")</f>
        <v/>
      </c>
      <c r="AA74">
        <f>HYPERLINK("https://klasma.github.io/Logging_0562/klagomål/A 61254-2022 FSC-klagomål.docx", "A 61254-2022")</f>
        <v/>
      </c>
      <c r="AB74">
        <f>HYPERLINK("https://klasma.github.io/Logging_0562/klagomålsmail/A 61254-2022 FSC-klagomål mail.docx", "A 61254-2022")</f>
        <v/>
      </c>
      <c r="AC74">
        <f>HYPERLINK("https://klasma.github.io/Logging_0562/tillsyn/A 61254-2022 tillsynsbegäran.docx", "A 61254-2022")</f>
        <v/>
      </c>
      <c r="AD74">
        <f>HYPERLINK("https://klasma.github.io/Logging_0562/tillsynsmail/A 61254-2022 tillsynsbegäran mail.docx", "A 61254-2022")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46270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HYPERLINK("https://klasma.github.io/Logging_0562/artfynd/A 18915-2026 artfynd.xlsx", "A 18915-2026")</f>
        <v/>
      </c>
      <c r="X75">
        <f>HYPERLINK("https://klasma.github.io/Logging_0562/kartor/A 18915-2026 karta.png", "A 18915-2026")</f>
        <v/>
      </c>
      <c r="Y75">
        <f>HYPERLINK("https://klasma.github.io/Logging_0562/kartor_geotiff/A 18915-2026 georefererad karta.tif", "A 18915-2026")</f>
        <v/>
      </c>
      <c r="AA75">
        <f>HYPERLINK("https://klasma.github.io/Logging_0562/klagomål/A 18915-2026 FSC-klagomål.docx", "A 18915-2026")</f>
        <v/>
      </c>
      <c r="AB75">
        <f>HYPERLINK("https://klasma.github.io/Logging_0562/klagomålsmail/A 18915-2026 FSC-klagomål mail.docx", "A 18915-2026")</f>
        <v/>
      </c>
      <c r="AC75">
        <f>HYPERLINK("https://klasma.github.io/Logging_0562/tillsyn/A 18915-2026 tillsynsbegäran.docx", "A 18915-2026")</f>
        <v/>
      </c>
      <c r="AD75">
        <f>HYPERLINK("https://klasma.github.io/Logging_0562/tillsynsmail/A 18915-2026 tillsynsbegäran mail.docx", "A 18915-2026")</f>
        <v/>
      </c>
      <c r="AE75">
        <f>HYPERLINK("https://klasma.github.io/Logging_0562/fåglar/A 18915-2026 prioriterade fågelarter.docx", "A 18915-2026")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46270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46270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46270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Hasselsnok</t>
        </is>
      </c>
      <c r="W78">
        <f>HYPERLINK("https://klasma.github.io/Logging_0562/artfynd/A 22555-2024 artfynd.xlsx", "A 22555-2024")</f>
        <v/>
      </c>
      <c r="X78">
        <f>HYPERLINK("https://klasma.github.io/Logging_0562/kartor/A 22555-2024 karta.png", "A 22555-2024")</f>
        <v/>
      </c>
      <c r="Y78">
        <f>HYPERLINK("https://klasma.github.io/Logging_0562/kartor_geotiff/A 22555-2024 georefererad karta.tif", "A 22555-2024")</f>
        <v/>
      </c>
      <c r="AA78">
        <f>HYPERLINK("https://klasma.github.io/Logging_0562/klagomål/A 22555-2024 FSC-klagomål.docx", "A 22555-2024")</f>
        <v/>
      </c>
      <c r="AB78">
        <f>HYPERLINK("https://klasma.github.io/Logging_0562/klagomålsmail/A 22555-2024 FSC-klagomål mail.docx", "A 22555-2024")</f>
        <v/>
      </c>
      <c r="AC78">
        <f>HYPERLINK("https://klasma.github.io/Logging_0562/tillsyn/A 22555-2024 tillsynsbegäran.docx", "A 22555-2024")</f>
        <v/>
      </c>
      <c r="AD78">
        <f>HYPERLINK("https://klasma.github.io/Logging_0562/tillsynsmail/A 22555-2024 tillsynsbegäran mail.docx", "A 22555-2024")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46270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3941-2026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46043</v>
      </c>
      <c r="E80" s="1" t="n">
        <v>46270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HYPERLINK("https://klasma.github.io/Logging_0562/artfynd/A 3941-2026 artfynd.xlsx", "A 3941-2026")</f>
        <v/>
      </c>
      <c r="X80">
        <f>HYPERLINK("https://klasma.github.io/Logging_0562/kartor/A 3941-2026 karta.png", "A 3941-2026")</f>
        <v/>
      </c>
      <c r="Y80">
        <f>HYPERLINK("https://klasma.github.io/Logging_0562/kartor_geotiff/A 3941-2026 georefererad karta.tif", "A 3941-2026")</f>
        <v/>
      </c>
      <c r="AA80">
        <f>HYPERLINK("https://klasma.github.io/Logging_0562/klagomål/A 3941-2026 FSC-klagomål.docx", "A 3941-2026")</f>
        <v/>
      </c>
      <c r="AB80">
        <f>HYPERLINK("https://klasma.github.io/Logging_0562/klagomålsmail/A 3941-2026 FSC-klagomål mail.docx", "A 3941-2026")</f>
        <v/>
      </c>
      <c r="AC80">
        <f>HYPERLINK("https://klasma.github.io/Logging_0562/tillsyn/A 3941-2026 tillsynsbegäran.docx", "A 3941-2026")</f>
        <v/>
      </c>
      <c r="AD80">
        <f>HYPERLINK("https://klasma.github.io/Logging_0562/tillsynsmail/A 3941-2026 tillsynsbegäran mail.docx", "A 3941-2026")</f>
        <v/>
      </c>
      <c r="AE80">
        <f>HYPERLINK("https://klasma.github.io/Logging_0562/fåglar/A 3941-2026 prioriterade fågelarter.docx", "A 3941-2026")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46270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22587-2026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46155</v>
      </c>
      <c r="E82" s="1" t="n">
        <v>46270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HYPERLINK("https://klasma.github.io/Logging_0562/artfynd/A 22587-2026 artfynd.xlsx", "A 22587-2026")</f>
        <v/>
      </c>
      <c r="X82">
        <f>HYPERLINK("https://klasma.github.io/Logging_0562/kartor/A 22587-2026 karta.png", "A 22587-2026")</f>
        <v/>
      </c>
      <c r="Y82">
        <f>HYPERLINK("https://klasma.github.io/Logging_0562/kartor_geotiff/A 22587-2026 georefererad karta.tif", "A 22587-2026")</f>
        <v/>
      </c>
      <c r="AA82">
        <f>HYPERLINK("https://klasma.github.io/Logging_0562/klagomål/A 22587-2026 FSC-klagomål.docx", "A 22587-2026")</f>
        <v/>
      </c>
      <c r="AB82">
        <f>HYPERLINK("https://klasma.github.io/Logging_0562/klagomålsmail/A 22587-2026 FSC-klagomål mail.docx", "A 22587-2026")</f>
        <v/>
      </c>
      <c r="AC82">
        <f>HYPERLINK("https://klasma.github.io/Logging_0562/tillsyn/A 22587-2026 tillsynsbegäran.docx", "A 22587-2026")</f>
        <v/>
      </c>
      <c r="AD82">
        <f>HYPERLINK("https://klasma.github.io/Logging_0562/tillsynsmail/A 22587-2026 tillsynsbegäran mail.docx", "A 22587-2026")</f>
        <v/>
      </c>
      <c r="AE82">
        <f>HYPERLINK("https://klasma.github.io/Logging_0562/fåglar/A 22587-2026 prioriterade fågelarter.docx", "A 22587-2026")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46270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46270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46270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46270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46270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46270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46270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46270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46270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46270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46270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46270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46270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46270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46270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46270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46270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46270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46270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46270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46270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46270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46270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46270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46270</v>
      </c>
      <c r="F112" t="inlineStr">
        <is>
          <t>ÖSTERGÖTLANDS LÄN</t>
        </is>
      </c>
      <c r="G112" t="inlineStr">
        <is>
          <t>FINSPÅNG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46270</v>
      </c>
      <c r="F113" t="inlineStr">
        <is>
          <t>ÖSTERGÖTLANDS LÄN</t>
        </is>
      </c>
      <c r="G113" t="inlineStr">
        <is>
          <t>FINSPÅNG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46270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46270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46270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46270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46270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46270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46270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46270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46270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46270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46270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46270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46270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44601</v>
      </c>
      <c r="E128" s="1" t="n">
        <v>46270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46270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46270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46270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46270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46270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46270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46270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46270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46270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46270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46270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46270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46270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46270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46270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46270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46270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46270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46270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46270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46270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46270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46270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44469</v>
      </c>
      <c r="E152" s="1" t="n">
        <v>46270</v>
      </c>
      <c r="F152" t="inlineStr">
        <is>
          <t>ÖSTERGÖTLANDS LÄN</t>
        </is>
      </c>
      <c r="G152" t="inlineStr">
        <is>
          <t>FINSPÅNG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46270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46270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46270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46270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46270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46270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46270</v>
      </c>
      <c r="F159" t="inlineStr">
        <is>
          <t>ÖSTERGÖTLANDS LÄN</t>
        </is>
      </c>
      <c r="G159" t="inlineStr">
        <is>
          <t>FINSPÅNG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46270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46270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46270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46270</v>
      </c>
      <c r="F163" t="inlineStr">
        <is>
          <t>ÖSTERGÖTLANDS LÄN</t>
        </is>
      </c>
      <c r="G163" t="inlineStr">
        <is>
          <t>FINSPÅNG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46270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46270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46270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46270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46270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46270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46270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46270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46270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46270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46270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46270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46270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46270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46270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44444</v>
      </c>
      <c r="E179" s="1" t="n">
        <v>46270</v>
      </c>
      <c r="F179" t="inlineStr">
        <is>
          <t>ÖSTERGÖTLANDS LÄN</t>
        </is>
      </c>
      <c r="G179" t="inlineStr">
        <is>
          <t>FINSPÅNG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46270</v>
      </c>
      <c r="F180" t="inlineStr">
        <is>
          <t>ÖSTERGÖTLANDS LÄN</t>
        </is>
      </c>
      <c r="G180" t="inlineStr">
        <is>
          <t>FINSPÅNG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46270</v>
      </c>
      <c r="F181" t="inlineStr">
        <is>
          <t>ÖSTERGÖTLANDS LÄN</t>
        </is>
      </c>
      <c r="G181" t="inlineStr">
        <is>
          <t>FINSPÅNG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46270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46270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46270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46270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46270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46270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46270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46270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46270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46270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46270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46270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46270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46270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46270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46270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44656</v>
      </c>
      <c r="E198" s="1" t="n">
        <v>46270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46270</v>
      </c>
      <c r="F199" t="inlineStr">
        <is>
          <t>ÖSTERGÖTLANDS LÄN</t>
        </is>
      </c>
      <c r="G199" t="inlineStr">
        <is>
          <t>FINSPÅNG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46270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Naturvårdsverket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46270</v>
      </c>
      <c r="F201" t="inlineStr">
        <is>
          <t>ÖSTERGÖTLANDS LÄN</t>
        </is>
      </c>
      <c r="G201" t="inlineStr">
        <is>
          <t>FINSPÅNG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46270</v>
      </c>
      <c r="F202" t="inlineStr">
        <is>
          <t>ÖSTERGÖTLANDS LÄN</t>
        </is>
      </c>
      <c r="G202" t="inlineStr">
        <is>
          <t>FINSPÅNG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46270</v>
      </c>
      <c r="F203" t="inlineStr">
        <is>
          <t>ÖSTERGÖTLANDS LÄN</t>
        </is>
      </c>
      <c r="G203" t="inlineStr">
        <is>
          <t>FINSPÅNG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44677</v>
      </c>
      <c r="E204" s="1" t="n">
        <v>46270</v>
      </c>
      <c r="F204" t="inlineStr">
        <is>
          <t>ÖSTERGÖTLANDS LÄN</t>
        </is>
      </c>
      <c r="G204" t="inlineStr">
        <is>
          <t>FINSPÅNG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46270</v>
      </c>
      <c r="F205" t="inlineStr">
        <is>
          <t>ÖSTERGÖTLANDS LÄN</t>
        </is>
      </c>
      <c r="G205" t="inlineStr">
        <is>
          <t>FINSPÅNG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46270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44898</v>
      </c>
      <c r="E207" s="1" t="n">
        <v>46270</v>
      </c>
      <c r="F207" t="inlineStr">
        <is>
          <t>ÖSTERGÖTLANDS LÄN</t>
        </is>
      </c>
      <c r="G207" t="inlineStr">
        <is>
          <t>FINSPÅNG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44476</v>
      </c>
      <c r="E208" s="1" t="n">
        <v>46270</v>
      </c>
      <c r="F208" t="inlineStr">
        <is>
          <t>ÖSTERGÖTLANDS LÄN</t>
        </is>
      </c>
      <c r="G208" t="inlineStr">
        <is>
          <t>FINSPÅNG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46270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46270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Övriga Aktiebolag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28722-2023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45103</v>
      </c>
      <c r="E211" s="1" t="n">
        <v>46270</v>
      </c>
      <c r="F211" t="inlineStr">
        <is>
          <t>ÖSTERGÖTLANDS LÄN</t>
        </is>
      </c>
      <c r="G211" t="inlineStr">
        <is>
          <t>FINSPÅNG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46270</v>
      </c>
      <c r="F212" t="inlineStr">
        <is>
          <t>ÖSTERGÖTLANDS LÄN</t>
        </is>
      </c>
      <c r="G212" t="inlineStr">
        <is>
          <t>FINSPÅNG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46270</v>
      </c>
      <c r="F213" t="inlineStr">
        <is>
          <t>ÖSTERGÖTLANDS LÄN</t>
        </is>
      </c>
      <c r="G213" t="inlineStr">
        <is>
          <t>FINSPÅNG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46270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46270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46270</v>
      </c>
      <c r="F216" t="inlineStr">
        <is>
          <t>ÖSTERGÖTLANDS LÄN</t>
        </is>
      </c>
      <c r="G216" t="inlineStr">
        <is>
          <t>FINSPÅNG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46270</v>
      </c>
      <c r="F217" t="inlineStr">
        <is>
          <t>ÖSTERGÖTLANDS LÄN</t>
        </is>
      </c>
      <c r="G217" t="inlineStr">
        <is>
          <t>FINSPÅNG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46270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46270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46270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46270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46270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44767</v>
      </c>
      <c r="E223" s="1" t="n">
        <v>46270</v>
      </c>
      <c r="F223" t="inlineStr">
        <is>
          <t>ÖSTERGÖTLANDS LÄN</t>
        </is>
      </c>
      <c r="G223" t="inlineStr">
        <is>
          <t>FINSPÅNG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46270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46270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46270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45206</v>
      </c>
      <c r="E227" s="1" t="n">
        <v>46270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46270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46270</v>
      </c>
      <c r="F229" t="inlineStr">
        <is>
          <t>ÖSTERGÖTLANDS LÄN</t>
        </is>
      </c>
      <c r="G229" t="inlineStr">
        <is>
          <t>FINSPÅNG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46270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46270</v>
      </c>
      <c r="F231" t="inlineStr">
        <is>
          <t>ÖSTERGÖTLANDS LÄN</t>
        </is>
      </c>
      <c r="G231" t="inlineStr">
        <is>
          <t>FINSPÅNG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46270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46270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46270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46270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46270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45407-2022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44844</v>
      </c>
      <c r="E237" s="1" t="n">
        <v>46270</v>
      </c>
      <c r="F237" t="inlineStr">
        <is>
          <t>ÖSTERGÖTLANDS LÄN</t>
        </is>
      </c>
      <c r="G237" t="inlineStr">
        <is>
          <t>FINSPÅNG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46270</v>
      </c>
      <c r="F238" t="inlineStr">
        <is>
          <t>ÖSTERGÖTLANDS LÄN</t>
        </is>
      </c>
      <c r="G238" t="inlineStr">
        <is>
          <t>FINSPÅNG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46270</v>
      </c>
      <c r="F239" t="inlineStr">
        <is>
          <t>ÖSTERGÖTLANDS LÄN</t>
        </is>
      </c>
      <c r="G239" t="inlineStr">
        <is>
          <t>FINSPÅNG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46270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46270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46270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45688</v>
      </c>
      <c r="E243" s="1" t="n">
        <v>46270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46270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46270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46270</v>
      </c>
      <c r="F246" t="inlineStr">
        <is>
          <t>ÖSTERGÖTLANDS LÄN</t>
        </is>
      </c>
      <c r="G246" t="inlineStr">
        <is>
          <t>FINSPÅNG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46270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Naturvårdsverket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45797</v>
      </c>
      <c r="E248" s="1" t="n">
        <v>46270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46270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46270</v>
      </c>
      <c r="F250" t="inlineStr">
        <is>
          <t>ÖSTERGÖTLANDS LÄN</t>
        </is>
      </c>
      <c r="G250" t="inlineStr">
        <is>
          <t>FINSPÅNG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46270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Naturvårdsverket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46270</v>
      </c>
      <c r="F252" t="inlineStr">
        <is>
          <t>ÖSTERGÖTLANDS LÄN</t>
        </is>
      </c>
      <c r="G252" t="inlineStr">
        <is>
          <t>FINSPÅNG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46270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Övriga Aktiebolag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46270</v>
      </c>
      <c r="F254" t="inlineStr">
        <is>
          <t>ÖSTERGÖTLANDS LÄN</t>
        </is>
      </c>
      <c r="G254" t="inlineStr">
        <is>
          <t>FINSPÅNG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46270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Övriga Aktiebolag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46270</v>
      </c>
      <c r="F256" t="inlineStr">
        <is>
          <t>ÖSTERGÖTLANDS LÄN</t>
        </is>
      </c>
      <c r="G256" t="inlineStr">
        <is>
          <t>FINSPÅNG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46270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46270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46270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Övriga Aktiebolag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46270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46270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46270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46270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46270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46270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46270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45259</v>
      </c>
      <c r="E267" s="1" t="n">
        <v>46270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46270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46270</v>
      </c>
      <c r="F269" t="inlineStr">
        <is>
          <t>ÖSTERGÖTLANDS LÄN</t>
        </is>
      </c>
      <c r="G269" t="inlineStr">
        <is>
          <t>FINSPÅNG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44880</v>
      </c>
      <c r="E270" s="1" t="n">
        <v>46270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46270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46270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45853</v>
      </c>
      <c r="E273" s="1" t="n">
        <v>46270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46270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44918</v>
      </c>
      <c r="E275" s="1" t="n">
        <v>46270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46270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46270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46270</v>
      </c>
      <c r="F278" t="inlineStr">
        <is>
          <t>ÖSTERGÖTLANDS LÄN</t>
        </is>
      </c>
      <c r="G278" t="inlineStr">
        <is>
          <t>FINSPÅNG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46270</v>
      </c>
      <c r="F279" t="inlineStr">
        <is>
          <t>ÖSTERGÖTLANDS LÄN</t>
        </is>
      </c>
      <c r="G279" t="inlineStr">
        <is>
          <t>FINSPÅNG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46270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46270</v>
      </c>
      <c r="F281" t="inlineStr">
        <is>
          <t>ÖSTERGÖTLANDS LÄN</t>
        </is>
      </c>
      <c r="G281" t="inlineStr">
        <is>
          <t>FINSPÅNG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45720</v>
      </c>
      <c r="E282" s="1" t="n">
        <v>46270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46270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46270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46270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46270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46270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Allmännings- och besparingsskogar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46270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46270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46270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46270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46270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46270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46270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18134-2023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45040</v>
      </c>
      <c r="E295" s="1" t="n">
        <v>46270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46270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45710</v>
      </c>
      <c r="E297" s="1" t="n">
        <v>46270</v>
      </c>
      <c r="F297" t="inlineStr">
        <is>
          <t>ÖSTERGÖTLANDS LÄN</t>
        </is>
      </c>
      <c r="G297" t="inlineStr">
        <is>
          <t>FINSPÅNG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46270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46270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46270</v>
      </c>
      <c r="F301" t="inlineStr">
        <is>
          <t>ÖSTERGÖTLANDS LÄN</t>
        </is>
      </c>
      <c r="G301" t="inlineStr">
        <is>
          <t>FINSPÅNG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46270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46270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46270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46270</v>
      </c>
      <c r="F305" t="inlineStr">
        <is>
          <t>ÖSTERGÖTLANDS LÄN</t>
        </is>
      </c>
      <c r="G305" t="inlineStr">
        <is>
          <t>FINSPÅNG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46270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46270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46270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46270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46270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46270</v>
      </c>
      <c r="F311" t="inlineStr">
        <is>
          <t>ÖSTERGÖTLANDS LÄN</t>
        </is>
      </c>
      <c r="G311" t="inlineStr">
        <is>
          <t>FINSPÅNG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46270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45274</v>
      </c>
      <c r="E313" s="1" t="n">
        <v>46270</v>
      </c>
      <c r="F313" t="inlineStr">
        <is>
          <t>ÖSTERGÖTLANDS LÄN</t>
        </is>
      </c>
      <c r="G313" t="inlineStr">
        <is>
          <t>FINSPÅNG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46270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46270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46270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46270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46270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46270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46270</v>
      </c>
      <c r="F320" t="inlineStr">
        <is>
          <t>ÖSTERGÖTLANDS LÄN</t>
        </is>
      </c>
      <c r="G320" t="inlineStr">
        <is>
          <t>FINSPÅNG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46270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45415</v>
      </c>
      <c r="E322" s="1" t="n">
        <v>46270</v>
      </c>
      <c r="F322" t="inlineStr">
        <is>
          <t>ÖSTERGÖTLANDS LÄN</t>
        </is>
      </c>
      <c r="G322" t="inlineStr">
        <is>
          <t>FINSPÅNG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45328</v>
      </c>
      <c r="E323" s="1" t="n">
        <v>46270</v>
      </c>
      <c r="F323" t="inlineStr">
        <is>
          <t>ÖSTERGÖTLANDS LÄN</t>
        </is>
      </c>
      <c r="G323" t="inlineStr">
        <is>
          <t>FINSPÅNG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46270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Kyrkan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46270</v>
      </c>
      <c r="F327" t="inlineStr">
        <is>
          <t>ÖSTERGÖTLANDS LÄN</t>
        </is>
      </c>
      <c r="G327" t="inlineStr">
        <is>
          <t>FINSPÅNG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46270</v>
      </c>
      <c r="F329" t="inlineStr">
        <is>
          <t>ÖSTERGÖTLANDS LÄN</t>
        </is>
      </c>
      <c r="G329" t="inlineStr">
        <is>
          <t>FINSPÅNG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44860</v>
      </c>
      <c r="E330" s="1" t="n">
        <v>46270</v>
      </c>
      <c r="F330" t="inlineStr">
        <is>
          <t>ÖSTERGÖTLANDS LÄN</t>
        </is>
      </c>
      <c r="G330" t="inlineStr">
        <is>
          <t>FINSPÅNG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46270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46270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Naturvårdsverket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46270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46270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46270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46270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46270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46270</v>
      </c>
      <c r="F338" t="inlineStr">
        <is>
          <t>ÖSTERGÖTLANDS LÄN</t>
        </is>
      </c>
      <c r="G338" t="inlineStr">
        <is>
          <t>FINSPÅNG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46270</v>
      </c>
      <c r="F339" t="inlineStr">
        <is>
          <t>ÖSTERGÖTLANDS LÄN</t>
        </is>
      </c>
      <c r="G339" t="inlineStr">
        <is>
          <t>FINSPÅNG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46270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45178</v>
      </c>
      <c r="E341" s="1" t="n">
        <v>46270</v>
      </c>
      <c r="F341" t="inlineStr">
        <is>
          <t>ÖSTERGÖTLANDS LÄN</t>
        </is>
      </c>
      <c r="G341" t="inlineStr">
        <is>
          <t>FINSPÅNG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46270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62421-2021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44503</v>
      </c>
      <c r="E343" s="1" t="n">
        <v>46270</v>
      </c>
      <c r="F343" t="inlineStr">
        <is>
          <t>ÖSTERGÖTLANDS LÄN</t>
        </is>
      </c>
      <c r="G343" t="inlineStr">
        <is>
          <t>FINSPÅNG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46270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Övriga Aktiebolag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47567-2025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45931</v>
      </c>
      <c r="E345" s="1" t="n">
        <v>46270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45421</v>
      </c>
      <c r="E346" s="1" t="n">
        <v>46270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45541</v>
      </c>
      <c r="E347" s="1" t="n">
        <v>46270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46270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45206</v>
      </c>
      <c r="E349" s="1" t="n">
        <v>46270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46270</v>
      </c>
      <c r="F350" t="inlineStr">
        <is>
          <t>ÖSTERGÖTLANDS LÄN</t>
        </is>
      </c>
      <c r="G350" t="inlineStr">
        <is>
          <t>FINSPÅNG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45776</v>
      </c>
      <c r="E351" s="1" t="n">
        <v>46270</v>
      </c>
      <c r="F351" t="inlineStr">
        <is>
          <t>ÖSTERGÖTLANDS LÄN</t>
        </is>
      </c>
      <c r="G351" t="inlineStr">
        <is>
          <t>FINSPÅNG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46270</v>
      </c>
      <c r="F352" t="inlineStr">
        <is>
          <t>ÖSTERGÖTLANDS LÄN</t>
        </is>
      </c>
      <c r="G352" t="inlineStr">
        <is>
          <t>FINSPÅNG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45041</v>
      </c>
      <c r="E353" s="1" t="n">
        <v>46270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65742-2021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46270</v>
      </c>
      <c r="F354" t="inlineStr">
        <is>
          <t>ÖSTERGÖTLANDS LÄN</t>
        </is>
      </c>
      <c r="G354" t="inlineStr">
        <is>
          <t>FINSPÅNG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46270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44607</v>
      </c>
      <c r="E356" s="1" t="n">
        <v>46270</v>
      </c>
      <c r="F356" t="inlineStr">
        <is>
          <t>ÖSTERGÖTLANDS LÄN</t>
        </is>
      </c>
      <c r="G356" t="inlineStr">
        <is>
          <t>FINSPÅNG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45854</v>
      </c>
      <c r="E357" s="1" t="n">
        <v>46270</v>
      </c>
      <c r="F357" t="inlineStr">
        <is>
          <t>ÖSTERGÖTLANDS LÄN</t>
        </is>
      </c>
      <c r="G357" t="inlineStr">
        <is>
          <t>FINSPÅNG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46270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45463</v>
      </c>
      <c r="E359" s="1" t="n">
        <v>46270</v>
      </c>
      <c r="F359" t="inlineStr">
        <is>
          <t>ÖSTERGÖTLANDS LÄN</t>
        </is>
      </c>
      <c r="G359" t="inlineStr">
        <is>
          <t>FINSPÅNG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45853</v>
      </c>
      <c r="E360" s="1" t="n">
        <v>46270</v>
      </c>
      <c r="F360" t="inlineStr">
        <is>
          <t>ÖSTERGÖTLANDS LÄN</t>
        </is>
      </c>
      <c r="G360" t="inlineStr">
        <is>
          <t>FINSPÅNG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46270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46270</v>
      </c>
      <c r="F362" t="inlineStr">
        <is>
          <t>ÖSTERGÖTLANDS LÄN</t>
        </is>
      </c>
      <c r="G362" t="inlineStr">
        <is>
          <t>FINSPÅNG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46270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39655-2023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45167</v>
      </c>
      <c r="E365" s="1" t="n">
        <v>46270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44767</v>
      </c>
      <c r="E366" s="1" t="n">
        <v>46270</v>
      </c>
      <c r="F366" t="inlineStr">
        <is>
          <t>ÖSTERGÖTLANDS LÄN</t>
        </is>
      </c>
      <c r="G366" t="inlineStr">
        <is>
          <t>FINSPÅNG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45523</v>
      </c>
      <c r="E367" s="1" t="n">
        <v>46270</v>
      </c>
      <c r="F367" t="inlineStr">
        <is>
          <t>ÖSTERGÖTLANDS LÄN</t>
        </is>
      </c>
      <c r="G367" t="inlineStr">
        <is>
          <t>FINSPÅNG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46270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45935</v>
      </c>
      <c r="E369" s="1" t="n">
        <v>46270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46270</v>
      </c>
      <c r="F370" t="inlineStr">
        <is>
          <t>ÖSTERGÖTLANDS LÄN</t>
        </is>
      </c>
      <c r="G370" t="inlineStr">
        <is>
          <t>FINSPÅNG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44957</v>
      </c>
      <c r="E371" s="1" t="n">
        <v>46270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44662</v>
      </c>
      <c r="E372" s="1" t="n">
        <v>46270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45863</v>
      </c>
      <c r="E373" s="1" t="n">
        <v>46270</v>
      </c>
      <c r="F373" t="inlineStr">
        <is>
          <t>ÖSTERGÖTLANDS LÄN</t>
        </is>
      </c>
      <c r="G373" t="inlineStr">
        <is>
          <t>FINSPÅNG</t>
        </is>
      </c>
      <c r="I373" t="n">
        <v>22.6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46270</v>
      </c>
      <c r="F374" t="inlineStr">
        <is>
          <t>ÖSTERGÖTLANDS LÄN</t>
        </is>
      </c>
      <c r="G374" t="inlineStr">
        <is>
          <t>FINSPÅNG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46270</v>
      </c>
      <c r="F375" t="inlineStr">
        <is>
          <t>ÖSTERGÖTLANDS LÄN</t>
        </is>
      </c>
      <c r="G375" t="inlineStr">
        <is>
          <t>FINSPÅNG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46270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44732</v>
      </c>
      <c r="E377" s="1" t="n">
        <v>46270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46270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46270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46270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61012-2022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44914</v>
      </c>
      <c r="E381" s="1" t="n">
        <v>46270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50395-2025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45944</v>
      </c>
      <c r="E382" s="1" t="n">
        <v>46270</v>
      </c>
      <c r="F382" t="inlineStr">
        <is>
          <t>ÖSTERGÖTLANDS LÄN</t>
        </is>
      </c>
      <c r="G382" t="inlineStr">
        <is>
          <t>FINSPÅNG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46040</v>
      </c>
      <c r="E383" s="1" t="n">
        <v>46270</v>
      </c>
      <c r="F383" t="inlineStr">
        <is>
          <t>ÖSTERGÖTLANDS LÄN</t>
        </is>
      </c>
      <c r="G383" t="inlineStr">
        <is>
          <t>FINSPÅNG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45870</v>
      </c>
      <c r="E384" s="1" t="n">
        <v>46270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70505-2021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44536</v>
      </c>
      <c r="E385" s="1" t="n">
        <v>46270</v>
      </c>
      <c r="F385" t="inlineStr">
        <is>
          <t>ÖSTERGÖTLANDS LÄN</t>
        </is>
      </c>
      <c r="G385" t="inlineStr">
        <is>
          <t>FINSPÅNG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44734</v>
      </c>
      <c r="E386" s="1" t="n">
        <v>46270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46040</v>
      </c>
      <c r="E387" s="1" t="n">
        <v>46270</v>
      </c>
      <c r="F387" t="inlineStr">
        <is>
          <t>ÖSTERGÖTLANDS LÄN</t>
        </is>
      </c>
      <c r="G387" t="inlineStr">
        <is>
          <t>FINSPÅNG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45820</v>
      </c>
      <c r="E388" s="1" t="n">
        <v>46270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45442</v>
      </c>
      <c r="E389" s="1" t="n">
        <v>46270</v>
      </c>
      <c r="F389" t="inlineStr">
        <is>
          <t>ÖSTERGÖTLANDS LÄN</t>
        </is>
      </c>
      <c r="G389" t="inlineStr">
        <is>
          <t>FINSPÅNG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46270</v>
      </c>
      <c r="F390" t="inlineStr">
        <is>
          <t>ÖSTERGÖTLANDS LÄN</t>
        </is>
      </c>
      <c r="G390" t="inlineStr">
        <is>
          <t>FINSPÅNG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46270</v>
      </c>
      <c r="F391" t="inlineStr">
        <is>
          <t>ÖSTERGÖTLANDS LÄN</t>
        </is>
      </c>
      <c r="G391" t="inlineStr">
        <is>
          <t>FINSPÅNG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46270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46270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46270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44614</v>
      </c>
      <c r="E395" s="1" t="n">
        <v>46270</v>
      </c>
      <c r="F395" t="inlineStr">
        <is>
          <t>ÖSTERGÖTLANDS LÄN</t>
        </is>
      </c>
      <c r="G395" t="inlineStr">
        <is>
          <t>FINSPÅNG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46270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46270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46270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46270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46270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Naturvårdsverket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44833</v>
      </c>
      <c r="E401" s="1" t="n">
        <v>46270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Övriga Aktiebolag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45719</v>
      </c>
      <c r="E402" s="1" t="n">
        <v>46270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46270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46270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46270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46270</v>
      </c>
      <c r="F407" t="inlineStr">
        <is>
          <t>ÖSTERGÖTLANDS LÄN</t>
        </is>
      </c>
      <c r="G407" t="inlineStr">
        <is>
          <t>FINSPÅNG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46270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46270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46270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39356-2022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46270</v>
      </c>
      <c r="F411" t="inlineStr">
        <is>
          <t>ÖSTERGÖTLANDS LÄN</t>
        </is>
      </c>
      <c r="G411" t="inlineStr">
        <is>
          <t>FINSPÅNG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46270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46270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46270</v>
      </c>
      <c r="F414" t="inlineStr">
        <is>
          <t>ÖSTERGÖTLANDS LÄN</t>
        </is>
      </c>
      <c r="G414" t="inlineStr">
        <is>
          <t>FINSPÅNG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46270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44980</v>
      </c>
      <c r="E416" s="1" t="n">
        <v>46270</v>
      </c>
      <c r="F416" t="inlineStr">
        <is>
          <t>ÖSTERGÖTLANDS LÄN</t>
        </is>
      </c>
      <c r="G416" t="inlineStr">
        <is>
          <t>FINSPÅNG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45118</v>
      </c>
      <c r="E417" s="1" t="n">
        <v>46270</v>
      </c>
      <c r="F417" t="inlineStr">
        <is>
          <t>ÖSTERGÖTLANDS LÄN</t>
        </is>
      </c>
      <c r="G417" t="inlineStr">
        <is>
          <t>FINSPÅNG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46270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Övriga Aktiebolag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45467</v>
      </c>
      <c r="E419" s="1" t="n">
        <v>46270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44735</v>
      </c>
      <c r="E420" s="1" t="n">
        <v>46270</v>
      </c>
      <c r="F420" t="inlineStr">
        <is>
          <t>ÖSTERGÖTLANDS LÄN</t>
        </is>
      </c>
      <c r="G420" t="inlineStr">
        <is>
          <t>FINSPÅNG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73260-2021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46270</v>
      </c>
      <c r="F421" t="inlineStr">
        <is>
          <t>ÖSTERGÖTLANDS LÄN</t>
        </is>
      </c>
      <c r="G421" t="inlineStr">
        <is>
          <t>FINSPÅNG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45600</v>
      </c>
      <c r="E422" s="1" t="n">
        <v>46270</v>
      </c>
      <c r="F422" t="inlineStr">
        <is>
          <t>ÖSTERGÖTLANDS LÄN</t>
        </is>
      </c>
      <c r="G422" t="inlineStr">
        <is>
          <t>FINSPÅNG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46270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46270</v>
      </c>
      <c r="F424" t="inlineStr">
        <is>
          <t>ÖSTERGÖTLANDS LÄN</t>
        </is>
      </c>
      <c r="G424" t="inlineStr">
        <is>
          <t>FINSPÅNG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46270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46270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46270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58142-2022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46270</v>
      </c>
      <c r="F428" t="inlineStr">
        <is>
          <t>ÖSTERGÖTLANDS LÄN</t>
        </is>
      </c>
      <c r="G428" t="inlineStr">
        <is>
          <t>FINSPÅNG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46270</v>
      </c>
      <c r="F429" t="inlineStr">
        <is>
          <t>ÖSTERGÖTLANDS LÄN</t>
        </is>
      </c>
      <c r="G429" t="inlineStr">
        <is>
          <t>FINSPÅNG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46270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45343</v>
      </c>
      <c r="E431" s="1" t="n">
        <v>46270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46060</v>
      </c>
      <c r="E432" s="1" t="n">
        <v>46270</v>
      </c>
      <c r="F432" t="inlineStr">
        <is>
          <t>ÖSTERGÖTLANDS LÄN</t>
        </is>
      </c>
      <c r="G432" t="inlineStr">
        <is>
          <t>FINSPÅNG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46270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46270</v>
      </c>
      <c r="F434" t="inlineStr">
        <is>
          <t>ÖSTERGÖTLANDS LÄN</t>
        </is>
      </c>
      <c r="G434" t="inlineStr">
        <is>
          <t>FINSPÅNG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46270</v>
      </c>
      <c r="F435" t="inlineStr">
        <is>
          <t>ÖSTERGÖTLANDS LÄN</t>
        </is>
      </c>
      <c r="G435" t="inlineStr">
        <is>
          <t>FINSPÅNG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45969</v>
      </c>
      <c r="E436" s="1" t="n">
        <v>46270</v>
      </c>
      <c r="F436" t="inlineStr">
        <is>
          <t>ÖSTERGÖTLANDS LÄN</t>
        </is>
      </c>
      <c r="G436" t="inlineStr">
        <is>
          <t>FINSPÅNG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46270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46270</v>
      </c>
      <c r="F438" t="inlineStr">
        <is>
          <t>ÖSTERGÖTLANDS LÄN</t>
        </is>
      </c>
      <c r="G438" t="inlineStr">
        <is>
          <t>FINSPÅNG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46270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46270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46270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46270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46270</v>
      </c>
      <c r="F443" t="inlineStr">
        <is>
          <t>ÖSTERGÖTLANDS LÄN</t>
        </is>
      </c>
      <c r="G443" t="inlineStr">
        <is>
          <t>FINSPÅNG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46270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46270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46270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46270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46270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46270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46270</v>
      </c>
      <c r="F450" t="inlineStr">
        <is>
          <t>ÖSTERGÖTLANDS LÄN</t>
        </is>
      </c>
      <c r="G450" t="inlineStr">
        <is>
          <t>FINSPÅNG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9084-2026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46270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46270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45617</v>
      </c>
      <c r="E453" s="1" t="n">
        <v>46270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44725</v>
      </c>
      <c r="E454" s="1" t="n">
        <v>46270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46270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45055</v>
      </c>
      <c r="E456" s="1" t="n">
        <v>46270</v>
      </c>
      <c r="F456" t="inlineStr">
        <is>
          <t>ÖSTERGÖTLANDS LÄN</t>
        </is>
      </c>
      <c r="G456" t="inlineStr">
        <is>
          <t>FINSPÅNG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46270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46270</v>
      </c>
      <c r="F459" t="inlineStr">
        <is>
          <t>ÖSTERGÖTLANDS LÄN</t>
        </is>
      </c>
      <c r="G459" t="inlineStr">
        <is>
          <t>FINSPÅNG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46270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46270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46270</v>
      </c>
      <c r="F462" t="inlineStr">
        <is>
          <t>ÖSTERGÖTLANDS LÄN</t>
        </is>
      </c>
      <c r="G462" t="inlineStr">
        <is>
          <t>FINSPÅNG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45133</v>
      </c>
      <c r="E463" s="1" t="n">
        <v>46270</v>
      </c>
      <c r="F463" t="inlineStr">
        <is>
          <t>ÖSTERGÖTLANDS LÄN</t>
        </is>
      </c>
      <c r="G463" t="inlineStr">
        <is>
          <t>FINSPÅNG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46270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46073</v>
      </c>
      <c r="E465" s="1" t="n">
        <v>46270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45548</v>
      </c>
      <c r="E466" s="1" t="n">
        <v>46270</v>
      </c>
      <c r="F466" t="inlineStr">
        <is>
          <t>ÖSTERGÖTLANDS LÄN</t>
        </is>
      </c>
      <c r="G466" t="inlineStr">
        <is>
          <t>FINSPÅNG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46270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45983</v>
      </c>
      <c r="E468" s="1" t="n">
        <v>46270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46270</v>
      </c>
      <c r="F469" t="inlineStr">
        <is>
          <t>ÖSTERGÖTLANDS LÄN</t>
        </is>
      </c>
      <c r="G469" t="inlineStr">
        <is>
          <t>FINSPÅNG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46270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46270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46270</v>
      </c>
      <c r="F472" t="inlineStr">
        <is>
          <t>ÖSTERGÖTLANDS LÄN</t>
        </is>
      </c>
      <c r="G472" t="inlineStr">
        <is>
          <t>FINSPÅNG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54609-2021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44473</v>
      </c>
      <c r="E473" s="1" t="n">
        <v>46270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46270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46270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46270</v>
      </c>
      <c r="F476" t="inlineStr">
        <is>
          <t>ÖSTERGÖTLANDS LÄN</t>
        </is>
      </c>
      <c r="G476" t="inlineStr">
        <is>
          <t>FINSPÅNG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7269-2024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45344</v>
      </c>
      <c r="E477" s="1" t="n">
        <v>46270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45362</v>
      </c>
      <c r="E478" s="1" t="n">
        <v>46270</v>
      </c>
      <c r="F478" t="inlineStr">
        <is>
          <t>ÖSTERGÖTLANDS LÄN</t>
        </is>
      </c>
      <c r="G478" t="inlineStr">
        <is>
          <t>FINSPÅNG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44634</v>
      </c>
      <c r="E479" s="1" t="n">
        <v>46270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45252</v>
      </c>
      <c r="E480" s="1" t="n">
        <v>46270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46270</v>
      </c>
      <c r="F481" t="inlineStr">
        <is>
          <t>ÖSTERGÖTLANDS LÄN</t>
        </is>
      </c>
      <c r="G481" t="inlineStr">
        <is>
          <t>FINSPÅNG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46270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46270</v>
      </c>
      <c r="F483" t="inlineStr">
        <is>
          <t>ÖSTERGÖTLANDS LÄN</t>
        </is>
      </c>
      <c r="G483" t="inlineStr">
        <is>
          <t>FINSPÅNG</t>
        </is>
      </c>
      <c r="I483" t="n">
        <v>14.6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46270</v>
      </c>
      <c r="F484" t="inlineStr">
        <is>
          <t>ÖSTERGÖTLANDS LÄN</t>
        </is>
      </c>
      <c r="G484" t="inlineStr">
        <is>
          <t>FINSPÅNG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46270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46080</v>
      </c>
      <c r="E486" s="1" t="n">
        <v>46270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46270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44664</v>
      </c>
      <c r="E488" s="1" t="n">
        <v>46270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44946</v>
      </c>
      <c r="E490" s="1" t="n">
        <v>46270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46270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46080</v>
      </c>
      <c r="E493" s="1" t="n">
        <v>46270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46270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46270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46270</v>
      </c>
      <c r="F496" t="inlineStr">
        <is>
          <t>ÖSTERGÖTLANDS LÄN</t>
        </is>
      </c>
      <c r="G496" t="inlineStr">
        <is>
          <t>FINSPÅNG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45095</v>
      </c>
      <c r="E497" s="1" t="n">
        <v>46270</v>
      </c>
      <c r="F497" t="inlineStr">
        <is>
          <t>ÖSTERGÖTLANDS LÄN</t>
        </is>
      </c>
      <c r="G497" t="inlineStr">
        <is>
          <t>FINSPÅNG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46270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45523</v>
      </c>
      <c r="E499" s="1" t="n">
        <v>46270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46002</v>
      </c>
      <c r="E500" s="1" t="n">
        <v>46270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30921-2022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44767</v>
      </c>
      <c r="E501" s="1" t="n">
        <v>46270</v>
      </c>
      <c r="F501" t="inlineStr">
        <is>
          <t>ÖSTERGÖTLANDS LÄN</t>
        </is>
      </c>
      <c r="G501" t="inlineStr">
        <is>
          <t>FINSPÅNG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46270</v>
      </c>
      <c r="F502" t="inlineStr">
        <is>
          <t>ÖSTERGÖTLANDS LÄN</t>
        </is>
      </c>
      <c r="G502" t="inlineStr">
        <is>
          <t>FINSPÅNG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46270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44759</v>
      </c>
      <c r="E504" s="1" t="n">
        <v>46270</v>
      </c>
      <c r="F504" t="inlineStr">
        <is>
          <t>ÖSTERGÖTLANDS LÄN</t>
        </is>
      </c>
      <c r="G504" t="inlineStr">
        <is>
          <t>FINSPÅNG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46270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46270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46270</v>
      </c>
      <c r="F508" t="inlineStr">
        <is>
          <t>ÖSTERGÖTLANDS LÄN</t>
        </is>
      </c>
      <c r="G508" t="inlineStr">
        <is>
          <t>FINSPÅNG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11839-2026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46270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46270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44617</v>
      </c>
      <c r="E511" s="1" t="n">
        <v>46270</v>
      </c>
      <c r="F511" t="inlineStr">
        <is>
          <t>ÖSTERGÖTLANDS LÄN</t>
        </is>
      </c>
      <c r="G511" t="inlineStr">
        <is>
          <t>FINSPÅNG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46270</v>
      </c>
      <c r="F512" t="inlineStr">
        <is>
          <t>ÖSTERGÖTLANDS LÄN</t>
        </is>
      </c>
      <c r="G512" t="inlineStr">
        <is>
          <t>FINSPÅNG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46270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46270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11807-2026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46085</v>
      </c>
      <c r="E516" s="1" t="n">
        <v>46270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45042</v>
      </c>
      <c r="E517" s="1" t="n">
        <v>46270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44937</v>
      </c>
      <c r="E518" s="1" t="n">
        <v>46270</v>
      </c>
      <c r="F518" t="inlineStr">
        <is>
          <t>ÖSTERGÖTLANDS LÄN</t>
        </is>
      </c>
      <c r="G518" t="inlineStr">
        <is>
          <t>FINSPÅNG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46270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44993</v>
      </c>
      <c r="E520" s="1" t="n">
        <v>46270</v>
      </c>
      <c r="F520" t="inlineStr">
        <is>
          <t>ÖSTERGÖTLANDS LÄN</t>
        </is>
      </c>
      <c r="G520" t="inlineStr">
        <is>
          <t>FINSPÅNG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46270</v>
      </c>
      <c r="F521" t="inlineStr">
        <is>
          <t>ÖSTERGÖTLANDS LÄN</t>
        </is>
      </c>
      <c r="G521" t="inlineStr">
        <is>
          <t>FINSPÅNG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46270</v>
      </c>
      <c r="F522" t="inlineStr">
        <is>
          <t>ÖSTERGÖTLANDS LÄN</t>
        </is>
      </c>
      <c r="G522" t="inlineStr">
        <is>
          <t>FINSPÅNG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46270</v>
      </c>
      <c r="F523" t="inlineStr">
        <is>
          <t>ÖSTERGÖTLANDS LÄN</t>
        </is>
      </c>
      <c r="G523" t="inlineStr">
        <is>
          <t>FINSPÅNG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45607</v>
      </c>
      <c r="E524" s="1" t="n">
        <v>46270</v>
      </c>
      <c r="F524" t="inlineStr">
        <is>
          <t>ÖSTERGÖTLANDS LÄN</t>
        </is>
      </c>
      <c r="G524" t="inlineStr">
        <is>
          <t>FINSPÅNG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45609</v>
      </c>
      <c r="E525" s="1" t="n">
        <v>46270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46270</v>
      </c>
      <c r="F526" t="inlineStr">
        <is>
          <t>ÖSTERGÖTLANDS LÄN</t>
        </is>
      </c>
      <c r="G526" t="inlineStr">
        <is>
          <t>FINSPÅNG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46270</v>
      </c>
      <c r="F527" t="inlineStr">
        <is>
          <t>ÖSTERGÖTLANDS LÄN</t>
        </is>
      </c>
      <c r="G527" t="inlineStr">
        <is>
          <t>FINSPÅNG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46270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46270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Naturvårdsverket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45013</v>
      </c>
      <c r="E530" s="1" t="n">
        <v>46270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46270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46270</v>
      </c>
      <c r="F532" t="inlineStr">
        <is>
          <t>ÖSTERGÖTLANDS LÄN</t>
        </is>
      </c>
      <c r="G532" t="inlineStr">
        <is>
          <t>FINSPÅNG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46270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19263-2024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45428</v>
      </c>
      <c r="E534" s="1" t="n">
        <v>46270</v>
      </c>
      <c r="F534" t="inlineStr">
        <is>
          <t>ÖSTERGÖTLANDS LÄN</t>
        </is>
      </c>
      <c r="G534" t="inlineStr">
        <is>
          <t>FINSPÅNG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46270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46270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14078-2026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46270</v>
      </c>
      <c r="F537" t="inlineStr">
        <is>
          <t>ÖSTERGÖTLANDS LÄN</t>
        </is>
      </c>
      <c r="G537" t="inlineStr">
        <is>
          <t>FINSPÅNG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46270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46270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46270</v>
      </c>
      <c r="F540" t="inlineStr">
        <is>
          <t>ÖSTERGÖTLANDS LÄN</t>
        </is>
      </c>
      <c r="G540" t="inlineStr">
        <is>
          <t>FINSPÅNG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23724-2023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46270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45068</v>
      </c>
      <c r="E543" s="1" t="n">
        <v>46270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46270</v>
      </c>
      <c r="F544" t="inlineStr">
        <is>
          <t>ÖSTERGÖTLANDS LÄN</t>
        </is>
      </c>
      <c r="G544" t="inlineStr">
        <is>
          <t>FINSPÅNG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46270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54923-2022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44886</v>
      </c>
      <c r="E546" s="1" t="n">
        <v>46270</v>
      </c>
      <c r="F546" t="inlineStr">
        <is>
          <t>ÖSTERGÖTLANDS LÄN</t>
        </is>
      </c>
      <c r="G546" t="inlineStr">
        <is>
          <t>FINSPÅNG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45636</v>
      </c>
      <c r="E547" s="1" t="n">
        <v>46270</v>
      </c>
      <c r="F547" t="inlineStr">
        <is>
          <t>ÖSTERGÖTLANDS LÄN</t>
        </is>
      </c>
      <c r="G547" t="inlineStr">
        <is>
          <t>FINSPÅNG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46270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46270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52730-2023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45225</v>
      </c>
      <c r="E550" s="1" t="n">
        <v>46270</v>
      </c>
      <c r="F550" t="inlineStr">
        <is>
          <t>ÖSTERGÖTLANDS LÄN</t>
        </is>
      </c>
      <c r="G550" t="inlineStr">
        <is>
          <t>FINSPÅNG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44987</v>
      </c>
      <c r="E551" s="1" t="n">
        <v>46270</v>
      </c>
      <c r="F551" t="inlineStr">
        <is>
          <t>ÖSTERGÖTLANDS LÄN</t>
        </is>
      </c>
      <c r="G551" t="inlineStr">
        <is>
          <t>FINSPÅNG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45082</v>
      </c>
      <c r="E552" s="1" t="n">
        <v>46270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46270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46270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45177</v>
      </c>
      <c r="E555" s="1" t="n">
        <v>46270</v>
      </c>
      <c r="F555" t="inlineStr">
        <is>
          <t>ÖSTERGÖTLANDS LÄN</t>
        </is>
      </c>
      <c r="G555" t="inlineStr">
        <is>
          <t>FINSPÅNG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46270</v>
      </c>
      <c r="F556" t="inlineStr">
        <is>
          <t>ÖSTERGÖTLANDS LÄN</t>
        </is>
      </c>
      <c r="G556" t="inlineStr">
        <is>
          <t>FINSPÅNG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44995</v>
      </c>
      <c r="E557" s="1" t="n">
        <v>46270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46114</v>
      </c>
      <c r="E558" s="1" t="n">
        <v>46270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46270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46270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46270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45147</v>
      </c>
      <c r="E562" s="1" t="n">
        <v>46270</v>
      </c>
      <c r="F562" t="inlineStr">
        <is>
          <t>ÖSTERGÖTLANDS LÄN</t>
        </is>
      </c>
      <c r="G562" t="inlineStr">
        <is>
          <t>FINSPÅNG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46270</v>
      </c>
      <c r="F563" t="inlineStr">
        <is>
          <t>ÖSTERGÖTLANDS LÄN</t>
        </is>
      </c>
      <c r="G563" t="inlineStr">
        <is>
          <t>FINSPÅNG</t>
        </is>
      </c>
      <c r="I563" t="n">
        <v>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46270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46270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Sveaskog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46270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53572-2023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45230</v>
      </c>
      <c r="E567" s="1" t="n">
        <v>46270</v>
      </c>
      <c r="F567" t="inlineStr">
        <is>
          <t>ÖSTERGÖTLANDS LÄN</t>
        </is>
      </c>
      <c r="G567" t="inlineStr">
        <is>
          <t>FINSPÅNG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17994-2023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46270</v>
      </c>
      <c r="F568" t="inlineStr">
        <is>
          <t>ÖSTERGÖTLANDS LÄN</t>
        </is>
      </c>
      <c r="G568" t="inlineStr">
        <is>
          <t>FINSPÅNG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46270</v>
      </c>
      <c r="F569" t="inlineStr">
        <is>
          <t>ÖSTERGÖTLANDS LÄN</t>
        </is>
      </c>
      <c r="G569" t="inlineStr">
        <is>
          <t>FINSPÅNG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53246-2022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44876</v>
      </c>
      <c r="E570" s="1" t="n">
        <v>46270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45179</v>
      </c>
      <c r="E571" s="1" t="n">
        <v>46270</v>
      </c>
      <c r="F571" t="inlineStr">
        <is>
          <t>ÖSTERGÖTLANDS LÄN</t>
        </is>
      </c>
      <c r="G571" t="inlineStr">
        <is>
          <t>FINSPÅNG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45179</v>
      </c>
      <c r="E572" s="1" t="n">
        <v>46270</v>
      </c>
      <c r="F572" t="inlineStr">
        <is>
          <t>ÖSTERGÖTLANDS LÄN</t>
        </is>
      </c>
      <c r="G572" t="inlineStr">
        <is>
          <t>FINSPÅNG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46270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46270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46270</v>
      </c>
      <c r="F575" t="inlineStr">
        <is>
          <t>ÖSTERGÖTLANDS LÄN</t>
        </is>
      </c>
      <c r="G575" t="inlineStr">
        <is>
          <t>FINSPÅNG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45309</v>
      </c>
      <c r="E576" s="1" t="n">
        <v>46270</v>
      </c>
      <c r="F576" t="inlineStr">
        <is>
          <t>ÖSTERGÖTLANDS LÄN</t>
        </is>
      </c>
      <c r="G576" t="inlineStr">
        <is>
          <t>FINSPÅNG</t>
        </is>
      </c>
      <c r="I576" t="n">
        <v>15.1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46270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46270</v>
      </c>
      <c r="F578" t="inlineStr">
        <is>
          <t>ÖSTERGÖTLANDS LÄN</t>
        </is>
      </c>
      <c r="G578" t="inlineStr">
        <is>
          <t>FINSPÅNG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46270</v>
      </c>
      <c r="F579" t="inlineStr">
        <is>
          <t>ÖSTERGÖTLANDS LÄN</t>
        </is>
      </c>
      <c r="G579" t="inlineStr">
        <is>
          <t>FINSPÅNG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45323</v>
      </c>
      <c r="E580" s="1" t="n">
        <v>46270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14565-2023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46270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46270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44930</v>
      </c>
      <c r="E583" s="1" t="n">
        <v>46270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46270</v>
      </c>
      <c r="F584" t="inlineStr">
        <is>
          <t>ÖSTERGÖTLANDS LÄN</t>
        </is>
      </c>
      <c r="G584" t="inlineStr">
        <is>
          <t>FINSPÅNG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46270</v>
      </c>
      <c r="F585" t="inlineStr">
        <is>
          <t>ÖSTERGÖTLANDS LÄN</t>
        </is>
      </c>
      <c r="G585" t="inlineStr">
        <is>
          <t>FINSPÅNG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45042</v>
      </c>
      <c r="E586" s="1" t="n">
        <v>46270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45042</v>
      </c>
      <c r="E587" s="1" t="n">
        <v>46270</v>
      </c>
      <c r="F587" t="inlineStr">
        <is>
          <t>ÖSTERGÖTLANDS LÄN</t>
        </is>
      </c>
      <c r="G587" t="inlineStr">
        <is>
          <t>FINSPÅNG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44939</v>
      </c>
      <c r="E588" s="1" t="n">
        <v>46270</v>
      </c>
      <c r="F588" t="inlineStr">
        <is>
          <t>ÖSTERGÖTLANDS LÄN</t>
        </is>
      </c>
      <c r="G588" t="inlineStr">
        <is>
          <t>FINSPÅNG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45607</v>
      </c>
      <c r="E589" s="1" t="n">
        <v>46270</v>
      </c>
      <c r="F589" t="inlineStr">
        <is>
          <t>ÖSTERGÖTLANDS LÄN</t>
        </is>
      </c>
      <c r="G589" t="inlineStr">
        <is>
          <t>FINSPÅNG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25420-2022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44732</v>
      </c>
      <c r="E590" s="1" t="n">
        <v>46270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46270</v>
      </c>
      <c r="F591" t="inlineStr">
        <is>
          <t>ÖSTERGÖTLANDS LÄN</t>
        </is>
      </c>
      <c r="G591" t="inlineStr">
        <is>
          <t>FINSPÅNG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45177</v>
      </c>
      <c r="E592" s="1" t="n">
        <v>46270</v>
      </c>
      <c r="F592" t="inlineStr">
        <is>
          <t>ÖSTERGÖTLANDS LÄN</t>
        </is>
      </c>
      <c r="G592" t="inlineStr">
        <is>
          <t>FINSPÅNG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46270</v>
      </c>
      <c r="F593" t="inlineStr">
        <is>
          <t>ÖSTERGÖTLANDS LÄN</t>
        </is>
      </c>
      <c r="G593" t="inlineStr">
        <is>
          <t>FINSPÅNG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45302</v>
      </c>
      <c r="E594" s="1" t="n">
        <v>46270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46270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46270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45086</v>
      </c>
      <c r="E597" s="1" t="n">
        <v>46270</v>
      </c>
      <c r="F597" t="inlineStr">
        <is>
          <t>ÖSTERGÖTLANDS LÄN</t>
        </is>
      </c>
      <c r="G597" t="inlineStr">
        <is>
          <t>FINSPÅNG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46270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46270</v>
      </c>
      <c r="F599" t="inlineStr">
        <is>
          <t>ÖSTERGÖTLANDS LÄN</t>
        </is>
      </c>
      <c r="G599" t="inlineStr">
        <is>
          <t>FINSPÅNG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21722-2025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46270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46270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55052-2023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45237</v>
      </c>
      <c r="E602" s="1" t="n">
        <v>46270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46270</v>
      </c>
      <c r="F603" t="inlineStr">
        <is>
          <t>ÖSTERGÖTLANDS LÄN</t>
        </is>
      </c>
      <c r="G603" t="inlineStr">
        <is>
          <t>FINSPÅNG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46270</v>
      </c>
      <c r="F604" t="inlineStr">
        <is>
          <t>ÖSTERGÖTLANDS LÄN</t>
        </is>
      </c>
      <c r="G604" t="inlineStr">
        <is>
          <t>FINSPÅNG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46270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29078-2022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44749</v>
      </c>
      <c r="E606" s="1" t="n">
        <v>46270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46270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45082</v>
      </c>
      <c r="E608" s="1" t="n">
        <v>46270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45167</v>
      </c>
      <c r="E609" s="1" t="n">
        <v>46270</v>
      </c>
      <c r="F609" t="inlineStr">
        <is>
          <t>ÖSTERGÖTLANDS LÄN</t>
        </is>
      </c>
      <c r="G609" t="inlineStr">
        <is>
          <t>FINSPÅNG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44930</v>
      </c>
      <c r="E610" s="1" t="n">
        <v>46270</v>
      </c>
      <c r="F610" t="inlineStr">
        <is>
          <t>ÖSTERGÖTLANDS LÄN</t>
        </is>
      </c>
      <c r="G610" t="inlineStr">
        <is>
          <t>FINSPÅNG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45832</v>
      </c>
      <c r="E611" s="1" t="n">
        <v>46270</v>
      </c>
      <c r="F611" t="inlineStr">
        <is>
          <t>ÖSTERGÖTLANDS LÄN</t>
        </is>
      </c>
      <c r="G611" t="inlineStr">
        <is>
          <t>FINSPÅNG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44782</v>
      </c>
      <c r="E612" s="1" t="n">
        <v>46270</v>
      </c>
      <c r="F612" t="inlineStr">
        <is>
          <t>ÖSTERGÖTLANDS LÄN</t>
        </is>
      </c>
      <c r="G612" t="inlineStr">
        <is>
          <t>FINSPÅNG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45646</v>
      </c>
      <c r="E613" s="1" t="n">
        <v>46270</v>
      </c>
      <c r="F613" t="inlineStr">
        <is>
          <t>ÖSTERGÖTLANDS LÄN</t>
        </is>
      </c>
      <c r="G613" t="inlineStr">
        <is>
          <t>FINSPÅNG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45516</v>
      </c>
      <c r="E614" s="1" t="n">
        <v>46270</v>
      </c>
      <c r="F614" t="inlineStr">
        <is>
          <t>ÖSTERGÖTLANDS LÄN</t>
        </is>
      </c>
      <c r="G614" t="inlineStr">
        <is>
          <t>FINSPÅNG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42779-2023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46270</v>
      </c>
      <c r="F615" t="inlineStr">
        <is>
          <t>ÖSTERGÖTLANDS LÄN</t>
        </is>
      </c>
      <c r="G615" t="inlineStr">
        <is>
          <t>FINSPÅNG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52731-2023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46270</v>
      </c>
      <c r="F616" t="inlineStr">
        <is>
          <t>ÖSTERGÖTLANDS LÄN</t>
        </is>
      </c>
      <c r="G616" t="inlineStr">
        <is>
          <t>FINSPÅNG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45915</v>
      </c>
      <c r="E617" s="1" t="n">
        <v>46270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44754</v>
      </c>
      <c r="E618" s="1" t="n">
        <v>46270</v>
      </c>
      <c r="F618" t="inlineStr">
        <is>
          <t>ÖSTERGÖTLANDS LÄN</t>
        </is>
      </c>
      <c r="G618" t="inlineStr">
        <is>
          <t>FINSPÅNG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45421</v>
      </c>
      <c r="E619" s="1" t="n">
        <v>46270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6635-2025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46270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39467-2024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45551</v>
      </c>
      <c r="E621" s="1" t="n">
        <v>46270</v>
      </c>
      <c r="F621" t="inlineStr">
        <is>
          <t>ÖSTERGÖTLANDS LÄN</t>
        </is>
      </c>
      <c r="G621" t="inlineStr">
        <is>
          <t>FINSPÅNG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45530</v>
      </c>
      <c r="E622" s="1" t="n">
        <v>46270</v>
      </c>
      <c r="F622" t="inlineStr">
        <is>
          <t>ÖSTERGÖTLANDS LÄN</t>
        </is>
      </c>
      <c r="G622" t="inlineStr">
        <is>
          <t>FINSPÅNG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41513-2024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45560</v>
      </c>
      <c r="E623" s="1" t="n">
        <v>46270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46270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46270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46270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45692</v>
      </c>
      <c r="E627" s="1" t="n">
        <v>46270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46270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46270</v>
      </c>
      <c r="F629" t="inlineStr">
        <is>
          <t>ÖSTERGÖTLANDS LÄN</t>
        </is>
      </c>
      <c r="G629" t="inlineStr">
        <is>
          <t>FINSPÅNG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45712</v>
      </c>
      <c r="E630" s="1" t="n">
        <v>46270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35278-2025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45853</v>
      </c>
      <c r="E631" s="1" t="n">
        <v>46270</v>
      </c>
      <c r="F631" t="inlineStr">
        <is>
          <t>ÖSTERGÖTLANDS LÄN</t>
        </is>
      </c>
      <c r="G631" t="inlineStr">
        <is>
          <t>FINSPÅNG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44678</v>
      </c>
      <c r="E632" s="1" t="n">
        <v>46270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46270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12216-2022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44637</v>
      </c>
      <c r="E634" s="1" t="n">
        <v>46270</v>
      </c>
      <c r="F634" t="inlineStr">
        <is>
          <t>ÖSTERGÖTLANDS LÄN</t>
        </is>
      </c>
      <c r="G634" t="inlineStr">
        <is>
          <t>FINSPÅNG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46270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46270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45070</v>
      </c>
      <c r="E637" s="1" t="n">
        <v>46270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7743-2023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44973</v>
      </c>
      <c r="E638" s="1" t="n">
        <v>46270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56425-2022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44891</v>
      </c>
      <c r="E639" s="1" t="n">
        <v>46270</v>
      </c>
      <c r="F639" t="inlineStr">
        <is>
          <t>ÖSTERGÖTLANDS LÄN</t>
        </is>
      </c>
      <c r="G639" t="inlineStr">
        <is>
          <t>FINSPÅNG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46270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46270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46270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46270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46270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46270</v>
      </c>
      <c r="F645" t="inlineStr">
        <is>
          <t>ÖSTERGÖTLANDS LÄN</t>
        </is>
      </c>
      <c r="G645" t="inlineStr">
        <is>
          <t>FINSPÅNG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40319-2022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44823</v>
      </c>
      <c r="E646" s="1" t="n">
        <v>46270</v>
      </c>
      <c r="F646" t="inlineStr">
        <is>
          <t>ÖSTERGÖTLANDS LÄN</t>
        </is>
      </c>
      <c r="G646" t="inlineStr">
        <is>
          <t>FINSPÅNG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46270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46270</v>
      </c>
      <c r="F648" t="inlineStr">
        <is>
          <t>ÖSTERGÖTLANDS LÄN</t>
        </is>
      </c>
      <c r="G648" t="inlineStr">
        <is>
          <t>FINSPÅNG</t>
        </is>
      </c>
      <c r="I648" t="n">
        <v>11.9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19160-2024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45428</v>
      </c>
      <c r="E649" s="1" t="n">
        <v>46270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46270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Kyrkan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46270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46270</v>
      </c>
      <c r="F652" t="inlineStr">
        <is>
          <t>ÖSTERGÖTLANDS LÄN</t>
        </is>
      </c>
      <c r="G652" t="inlineStr">
        <is>
          <t>FINSPÅNG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57678-2025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45980</v>
      </c>
      <c r="E653" s="1" t="n">
        <v>46270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45236</v>
      </c>
      <c r="E654" s="1" t="n">
        <v>46270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46270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45357</v>
      </c>
      <c r="E656" s="1" t="n">
        <v>46270</v>
      </c>
      <c r="F656" t="inlineStr">
        <is>
          <t>ÖSTERGÖTLANDS LÄN</t>
        </is>
      </c>
      <c r="G656" t="inlineStr">
        <is>
          <t>FINSPÅNG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46270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15952-2023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45022</v>
      </c>
      <c r="E658" s="1" t="n">
        <v>46270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46270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38964-2022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46270</v>
      </c>
      <c r="F660" t="inlineStr">
        <is>
          <t>ÖSTERGÖTLANDS LÄN</t>
        </is>
      </c>
      <c r="G660" t="inlineStr">
        <is>
          <t>FINSPÅNG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46270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44820</v>
      </c>
      <c r="E662" s="1" t="n">
        <v>46270</v>
      </c>
      <c r="F662" t="inlineStr">
        <is>
          <t>ÖSTERGÖTLANDS LÄN</t>
        </is>
      </c>
      <c r="G662" t="inlineStr">
        <is>
          <t>FINSPÅNG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36406-2024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45535</v>
      </c>
      <c r="E663" s="1" t="n">
        <v>46270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46270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10485-2026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46270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Kyrkan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46270</v>
      </c>
      <c r="F666" t="inlineStr">
        <is>
          <t>ÖSTERGÖTLANDS LÄN</t>
        </is>
      </c>
      <c r="G666" t="inlineStr">
        <is>
          <t>FINSPÅNG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6731-2023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44966</v>
      </c>
      <c r="E667" s="1" t="n">
        <v>46270</v>
      </c>
      <c r="F667" t="inlineStr">
        <is>
          <t>ÖSTERGÖTLANDS LÄN</t>
        </is>
      </c>
      <c r="G667" t="inlineStr">
        <is>
          <t>FINSPÅNG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36994-2022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44806</v>
      </c>
      <c r="E668" s="1" t="n">
        <v>46270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46160</v>
      </c>
      <c r="E669" s="1" t="n">
        <v>46270</v>
      </c>
      <c r="F669" t="inlineStr">
        <is>
          <t>ÖSTERGÖTLANDS LÄN</t>
        </is>
      </c>
      <c r="G669" t="inlineStr">
        <is>
          <t>FINSPÅNG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31130-2023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45113</v>
      </c>
      <c r="E670" s="1" t="n">
        <v>46270</v>
      </c>
      <c r="F670" t="inlineStr">
        <is>
          <t>ÖSTERGÖTLANDS LÄN</t>
        </is>
      </c>
      <c r="G670" t="inlineStr">
        <is>
          <t>FINSPÅNG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44964</v>
      </c>
      <c r="E671" s="1" t="n">
        <v>46270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45420</v>
      </c>
      <c r="E672" s="1" t="n">
        <v>46270</v>
      </c>
      <c r="F672" t="inlineStr">
        <is>
          <t>ÖSTERGÖTLANDS LÄN</t>
        </is>
      </c>
      <c r="G672" t="inlineStr">
        <is>
          <t>FINSPÅNG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43318-2022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44834</v>
      </c>
      <c r="E673" s="1" t="n">
        <v>46270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53944-2024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45616</v>
      </c>
      <c r="E674" s="1" t="n">
        <v>46270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60038-2023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45258</v>
      </c>
      <c r="E675" s="1" t="n">
        <v>46270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50341-2022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44865</v>
      </c>
      <c r="E676" s="1" t="n">
        <v>46270</v>
      </c>
      <c r="F676" t="inlineStr">
        <is>
          <t>ÖSTERGÖTLANDS LÄN</t>
        </is>
      </c>
      <c r="G676" t="inlineStr">
        <is>
          <t>FINSPÅNG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44953</v>
      </c>
      <c r="E677" s="1" t="n">
        <v>46270</v>
      </c>
      <c r="F677" t="inlineStr">
        <is>
          <t>ÖSTERGÖTLANDS LÄN</t>
        </is>
      </c>
      <c r="G677" t="inlineStr">
        <is>
          <t>FINSPÅNG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54505-2024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45617</v>
      </c>
      <c r="E678" s="1" t="n">
        <v>46270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44879</v>
      </c>
      <c r="E679" s="1" t="n">
        <v>46270</v>
      </c>
      <c r="F679" t="inlineStr">
        <is>
          <t>ÖSTERGÖTLANDS LÄN</t>
        </is>
      </c>
      <c r="G679" t="inlineStr">
        <is>
          <t>FINSPÅNG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45713</v>
      </c>
      <c r="E680" s="1" t="n">
        <v>46270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13378-2025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46270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49677-2022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44862</v>
      </c>
      <c r="E682" s="1" t="n">
        <v>46270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9.6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56309-2022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44887</v>
      </c>
      <c r="E683" s="1" t="n">
        <v>46270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56264-2022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44887</v>
      </c>
      <c r="E684" s="1" t="n">
        <v>46270</v>
      </c>
      <c r="F684" t="inlineStr">
        <is>
          <t>ÖSTERGÖTLANDS LÄN</t>
        </is>
      </c>
      <c r="G684" t="inlineStr">
        <is>
          <t>FINSPÅNG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18657-2024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45426</v>
      </c>
      <c r="E685" s="1" t="n">
        <v>46270</v>
      </c>
      <c r="F685" t="inlineStr">
        <is>
          <t>ÖSTERGÖTLANDS LÄN</t>
        </is>
      </c>
      <c r="G685" t="inlineStr">
        <is>
          <t>FINSPÅNG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46270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24835-2026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46270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44616</v>
      </c>
      <c r="E688" s="1" t="n">
        <v>46270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46270</v>
      </c>
      <c r="F689" t="inlineStr">
        <is>
          <t>ÖSTERGÖTLANDS LÄN</t>
        </is>
      </c>
      <c r="G689" t="inlineStr">
        <is>
          <t>FINSPÅNG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44995</v>
      </c>
      <c r="E690" s="1" t="n">
        <v>46270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44813</v>
      </c>
      <c r="E691" s="1" t="n">
        <v>46270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46270</v>
      </c>
      <c r="F692" t="inlineStr">
        <is>
          <t>ÖSTERGÖTLANDS LÄN</t>
        </is>
      </c>
      <c r="G692" t="inlineStr">
        <is>
          <t>FINSPÅNG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46176</v>
      </c>
      <c r="E693" s="1" t="n">
        <v>46270</v>
      </c>
      <c r="F693" t="inlineStr">
        <is>
          <t>ÖSTERGÖTLANDS LÄN</t>
        </is>
      </c>
      <c r="G693" t="inlineStr">
        <is>
          <t>FINSPÅNG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46270</v>
      </c>
      <c r="F694" t="inlineStr">
        <is>
          <t>ÖSTERGÖTLANDS LÄN</t>
        </is>
      </c>
      <c r="G694" t="inlineStr">
        <is>
          <t>FINSPÅNG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45142</v>
      </c>
      <c r="E695" s="1" t="n">
        <v>46270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45715</v>
      </c>
      <c r="E696" s="1" t="n">
        <v>46270</v>
      </c>
      <c r="F696" t="inlineStr">
        <is>
          <t>ÖSTERGÖTLANDS LÄN</t>
        </is>
      </c>
      <c r="G696" t="inlineStr">
        <is>
          <t>FINSPÅNG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14454-2022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44653</v>
      </c>
      <c r="E697" s="1" t="n">
        <v>46270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46270</v>
      </c>
      <c r="F698" t="inlineStr">
        <is>
          <t>ÖSTERGÖTLANDS LÄN</t>
        </is>
      </c>
      <c r="G698" t="inlineStr">
        <is>
          <t>FINSPÅNG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46270</v>
      </c>
      <c r="F699" t="inlineStr">
        <is>
          <t>ÖSTERGÖTLANDS LÄN</t>
        </is>
      </c>
      <c r="G699" t="inlineStr">
        <is>
          <t>FINSPÅNG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46270</v>
      </c>
      <c r="F700" t="inlineStr">
        <is>
          <t>ÖSTERGÖTLANDS LÄN</t>
        </is>
      </c>
      <c r="G700" t="inlineStr">
        <is>
          <t>FINSPÅNG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46270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25760-2026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46270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45593</v>
      </c>
      <c r="E703" s="1" t="n">
        <v>46270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44987</v>
      </c>
      <c r="E704" s="1" t="n">
        <v>46270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40410-2024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46270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45639</v>
      </c>
      <c r="E706" s="1" t="n">
        <v>46270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45314</v>
      </c>
      <c r="E707" s="1" t="n">
        <v>46270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45447</v>
      </c>
      <c r="E708" s="1" t="n">
        <v>46270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25195-2022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44729</v>
      </c>
      <c r="E709" s="1" t="n">
        <v>46270</v>
      </c>
      <c r="F709" t="inlineStr">
        <is>
          <t>ÖSTERGÖTLANDS LÄN</t>
        </is>
      </c>
      <c r="G709" t="inlineStr">
        <is>
          <t>FINSPÅNG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25943-2026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46270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45410-2022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44844</v>
      </c>
      <c r="E711" s="1" t="n">
        <v>46270</v>
      </c>
      <c r="F711" t="inlineStr">
        <is>
          <t>ÖSTERGÖTLANDS LÄN</t>
        </is>
      </c>
      <c r="G711" t="inlineStr">
        <is>
          <t>FINSPÅNG</t>
        </is>
      </c>
      <c r="I711" t="n">
        <v>16.6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7788-2023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44973</v>
      </c>
      <c r="E712" s="1" t="n">
        <v>46270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23350-2023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46270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45095</v>
      </c>
      <c r="E714" s="1" t="n">
        <v>46270</v>
      </c>
      <c r="F714" t="inlineStr">
        <is>
          <t>ÖSTERGÖTLANDS LÄN</t>
        </is>
      </c>
      <c r="G714" t="inlineStr">
        <is>
          <t>FINSPÅNG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59672-2024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46270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68122-2021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44526</v>
      </c>
      <c r="E716" s="1" t="n">
        <v>46270</v>
      </c>
      <c r="F716" t="inlineStr">
        <is>
          <t>ÖSTERGÖTLANDS LÄN</t>
        </is>
      </c>
      <c r="G716" t="inlineStr">
        <is>
          <t>FINSPÅNG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46270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46270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26905-2026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46185</v>
      </c>
      <c r="E719" s="1" t="n">
        <v>46270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46270</v>
      </c>
      <c r="F720" t="inlineStr">
        <is>
          <t>ÖSTERGÖTLANDS LÄN</t>
        </is>
      </c>
      <c r="G720" t="inlineStr">
        <is>
          <t>FINSPÅNG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46270</v>
      </c>
      <c r="F721" t="inlineStr">
        <is>
          <t>ÖSTERGÖTLANDS LÄN</t>
        </is>
      </c>
      <c r="G721" t="inlineStr">
        <is>
          <t>FINSPÅNG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59468-2021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44491</v>
      </c>
      <c r="E722" s="1" t="n">
        <v>46270</v>
      </c>
      <c r="F722" t="inlineStr">
        <is>
          <t>ÖSTERGÖTLANDS LÄN</t>
        </is>
      </c>
      <c r="G722" t="inlineStr">
        <is>
          <t>FINSPÅNG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27369-2026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46188</v>
      </c>
      <c r="E723" s="1" t="n">
        <v>46270</v>
      </c>
      <c r="F723" t="inlineStr">
        <is>
          <t>ÖSTERGÖTLANDS LÄN</t>
        </is>
      </c>
      <c r="G723" t="inlineStr">
        <is>
          <t>FINSPÅNG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18306-2023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45041</v>
      </c>
      <c r="E724" s="1" t="n">
        <v>46270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Naturvårdsverket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45257</v>
      </c>
      <c r="E725" s="1" t="n">
        <v>46270</v>
      </c>
      <c r="F725" t="inlineStr">
        <is>
          <t>ÖSTERGÖTLANDS LÄN</t>
        </is>
      </c>
      <c r="G725" t="inlineStr">
        <is>
          <t>FINSPÅNG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44871</v>
      </c>
      <c r="E726" s="1" t="n">
        <v>46270</v>
      </c>
      <c r="F726" t="inlineStr">
        <is>
          <t>ÖSTERGÖTLANDS LÄN</t>
        </is>
      </c>
      <c r="G726" t="inlineStr">
        <is>
          <t>FINSPÅNG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13826-2024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45391</v>
      </c>
      <c r="E727" s="1" t="n">
        <v>46270</v>
      </c>
      <c r="F727" t="inlineStr">
        <is>
          <t>ÖSTERGÖTLANDS LÄN</t>
        </is>
      </c>
      <c r="G727" t="inlineStr">
        <is>
          <t>FINSPÅNG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45692</v>
      </c>
      <c r="E728" s="1" t="n">
        <v>46270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22354-2023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46270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46270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46270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46232</v>
      </c>
      <c r="E732" s="1" t="n">
        <v>46270</v>
      </c>
      <c r="F732" t="inlineStr">
        <is>
          <t>ÖSTERGÖTLANDS LÄN</t>
        </is>
      </c>
      <c r="G732" t="inlineStr">
        <is>
          <t>FINSPÅNG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46270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46270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73260-2021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44550</v>
      </c>
      <c r="E735" s="1" t="n">
        <v>46270</v>
      </c>
      <c r="F735" t="inlineStr">
        <is>
          <t>ÖSTERGÖTLANDS LÄN</t>
        </is>
      </c>
      <c r="G735" t="inlineStr">
        <is>
          <t>FINSPÅNG</t>
        </is>
      </c>
      <c r="I735" t="n">
        <v>10.3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45566</v>
      </c>
      <c r="E736" s="1" t="n">
        <v>46270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46270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55612-2021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44476</v>
      </c>
      <c r="E738" s="1" t="n">
        <v>46270</v>
      </c>
      <c r="F738" t="inlineStr">
        <is>
          <t>ÖSTERGÖTLANDS LÄN</t>
        </is>
      </c>
      <c r="G738" t="inlineStr">
        <is>
          <t>FINSPÅNG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46270</v>
      </c>
      <c r="F739" t="inlineStr">
        <is>
          <t>ÖSTERGÖTLANDS LÄN</t>
        </is>
      </c>
      <c r="G739" t="inlineStr">
        <is>
          <t>FINSPÅNG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46270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11785-2024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45374</v>
      </c>
      <c r="E741" s="1" t="n">
        <v>46270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46270</v>
      </c>
      <c r="F742" t="inlineStr">
        <is>
          <t>ÖSTERGÖTLANDS LÄN</t>
        </is>
      </c>
      <c r="G742" t="inlineStr">
        <is>
          <t>FINSPÅNG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46270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46270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17557-2022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44679</v>
      </c>
      <c r="E745" s="1" t="n">
        <v>46270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45293</v>
      </c>
      <c r="E746" s="1" t="n">
        <v>46270</v>
      </c>
      <c r="F746" t="inlineStr">
        <is>
          <t>ÖSTERGÖTLANDS LÄN</t>
        </is>
      </c>
      <c r="G746" t="inlineStr">
        <is>
          <t>FINSPÅNG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40296-2024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45554</v>
      </c>
      <c r="E747" s="1" t="n">
        <v>46270</v>
      </c>
      <c r="F747" t="inlineStr">
        <is>
          <t>ÖSTERGÖTLANDS LÄN</t>
        </is>
      </c>
      <c r="G747" t="inlineStr">
        <is>
          <t>FINSPÅNG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45214</v>
      </c>
      <c r="E748" s="1" t="n">
        <v>46270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32431-2023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46270</v>
      </c>
      <c r="F749" t="inlineStr">
        <is>
          <t>ÖSTERGÖTLANDS LÄN</t>
        </is>
      </c>
      <c r="G749" t="inlineStr">
        <is>
          <t>FINSPÅNG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45660</v>
      </c>
      <c r="E750" s="1" t="n">
        <v>46270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13375-2025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45735</v>
      </c>
      <c r="E751" s="1" t="n">
        <v>46270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45516</v>
      </c>
      <c r="E752" s="1" t="n">
        <v>46270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Kommuner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6628-2023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44966</v>
      </c>
      <c r="E753" s="1" t="n">
        <v>46270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23821-2023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45078</v>
      </c>
      <c r="E754" s="1" t="n">
        <v>46270</v>
      </c>
      <c r="F754" t="inlineStr">
        <is>
          <t>ÖSTERGÖTLANDS LÄN</t>
        </is>
      </c>
      <c r="G754" t="inlineStr">
        <is>
          <t>FINSPÅNG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46270</v>
      </c>
      <c r="F755" t="inlineStr">
        <is>
          <t>ÖSTERGÖTLANDS LÄN</t>
        </is>
      </c>
      <c r="G755" t="inlineStr">
        <is>
          <t>FINSPÅNG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45311-2023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45191</v>
      </c>
      <c r="E756" s="1" t="n">
        <v>46270</v>
      </c>
      <c r="F756" t="inlineStr">
        <is>
          <t>ÖSTERGÖTLANDS LÄN</t>
        </is>
      </c>
      <c r="G756" t="inlineStr">
        <is>
          <t>FINSPÅNG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46270</v>
      </c>
      <c r="F757" t="inlineStr">
        <is>
          <t>ÖSTERGÖTLANDS LÄN</t>
        </is>
      </c>
      <c r="G757" t="inlineStr">
        <is>
          <t>FINSPÅNG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18488-2025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45763</v>
      </c>
      <c r="E758" s="1" t="n">
        <v>46270</v>
      </c>
      <c r="F758" t="inlineStr">
        <is>
          <t>ÖSTERGÖTLANDS LÄN</t>
        </is>
      </c>
      <c r="G758" t="inlineStr">
        <is>
          <t>FINSPÅNG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73655-2021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44551</v>
      </c>
      <c r="E759" s="1" t="n">
        <v>46270</v>
      </c>
      <c r="F759" t="inlineStr">
        <is>
          <t>ÖSTERGÖTLANDS LÄN</t>
        </is>
      </c>
      <c r="G759" t="inlineStr">
        <is>
          <t>FINSPÅNG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45846</v>
      </c>
      <c r="E760" s="1" t="n">
        <v>46270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46270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28558-2023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46270</v>
      </c>
      <c r="F762" t="inlineStr">
        <is>
          <t>ÖSTERGÖTLANDS LÄN</t>
        </is>
      </c>
      <c r="G762" t="inlineStr">
        <is>
          <t>FINSPÅNG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54916-2024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46270</v>
      </c>
      <c r="F763" t="inlineStr">
        <is>
          <t>ÖSTERGÖTLANDS LÄN</t>
        </is>
      </c>
      <c r="G763" t="inlineStr">
        <is>
          <t>FINSPÅNG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59702-2024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46270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46270</v>
      </c>
      <c r="F765" t="inlineStr">
        <is>
          <t>ÖSTERGÖTLANDS LÄN</t>
        </is>
      </c>
      <c r="G765" t="inlineStr">
        <is>
          <t>FINSPÅNG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45301</v>
      </c>
      <c r="E766" s="1" t="n">
        <v>46270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44714</v>
      </c>
      <c r="E767" s="1" t="n">
        <v>46270</v>
      </c>
      <c r="F767" t="inlineStr">
        <is>
          <t>ÖSTERGÖTLANDS LÄN</t>
        </is>
      </c>
      <c r="G767" t="inlineStr">
        <is>
          <t>FINSPÅNG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46270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54299-2023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45232</v>
      </c>
      <c r="E769" s="1" t="n">
        <v>46270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46270</v>
      </c>
      <c r="F770" t="inlineStr">
        <is>
          <t>ÖSTERGÖTLANDS LÄN</t>
        </is>
      </c>
      <c r="G770" t="inlineStr">
        <is>
          <t>FINSPÅNG</t>
        </is>
      </c>
      <c r="I770" t="n">
        <v>18.6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56288-2022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44887</v>
      </c>
      <c r="E771" s="1" t="n">
        <v>46270</v>
      </c>
      <c r="F771" t="inlineStr">
        <is>
          <t>ÖSTERGÖTLANDS LÄN</t>
        </is>
      </c>
      <c r="G771" t="inlineStr">
        <is>
          <t>FINSPÅNG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46270</v>
      </c>
      <c r="F772" t="inlineStr">
        <is>
          <t>ÖSTERGÖTLANDS LÄN</t>
        </is>
      </c>
      <c r="G772" t="inlineStr">
        <is>
          <t>FINSPÅNG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18356-2024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45422</v>
      </c>
      <c r="E773" s="1" t="n">
        <v>46270</v>
      </c>
      <c r="F773" t="inlineStr">
        <is>
          <t>ÖSTERGÖTLANDS LÄN</t>
        </is>
      </c>
      <c r="G773" t="inlineStr">
        <is>
          <t>FINSPÅNG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44622</v>
      </c>
      <c r="E774" s="1" t="n">
        <v>46270</v>
      </c>
      <c r="F774" t="inlineStr">
        <is>
          <t>ÖSTERGÖTLANDS LÄN</t>
        </is>
      </c>
      <c r="G774" t="inlineStr">
        <is>
          <t>FINSPÅNG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45314-2023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46270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44595</v>
      </c>
      <c r="E776" s="1" t="n">
        <v>46270</v>
      </c>
      <c r="F776" t="inlineStr">
        <is>
          <t>ÖSTERGÖTLANDS LÄN</t>
        </is>
      </c>
      <c r="G776" t="inlineStr">
        <is>
          <t>FINSPÅNG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44589</v>
      </c>
      <c r="E777" s="1" t="n">
        <v>46270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46270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2047-2024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45308</v>
      </c>
      <c r="E779" s="1" t="n">
        <v>46270</v>
      </c>
      <c r="F779" t="inlineStr">
        <is>
          <t>ÖSTERGÖTLANDS LÄN</t>
        </is>
      </c>
      <c r="G779" t="inlineStr">
        <is>
          <t>FINSPÅNG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62168-2022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46270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46270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45149</v>
      </c>
      <c r="E782" s="1" t="n">
        <v>46270</v>
      </c>
      <c r="F782" t="inlineStr">
        <is>
          <t>ÖSTERGÖTLANDS LÄN</t>
        </is>
      </c>
      <c r="G782" t="inlineStr">
        <is>
          <t>FINSPÅNG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46270</v>
      </c>
      <c r="F783" t="inlineStr">
        <is>
          <t>ÖSTERGÖTLANDS LÄN</t>
        </is>
      </c>
      <c r="G783" t="inlineStr">
        <is>
          <t>FINSPÅNG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46270</v>
      </c>
      <c r="F784" t="inlineStr">
        <is>
          <t>ÖSTERGÖTLANDS LÄN</t>
        </is>
      </c>
      <c r="G784" t="inlineStr">
        <is>
          <t>FINSPÅNG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45762</v>
      </c>
      <c r="E785" s="1" t="n">
        <v>46270</v>
      </c>
      <c r="F785" t="inlineStr">
        <is>
          <t>ÖSTERGÖTLANDS LÄN</t>
        </is>
      </c>
      <c r="G785" t="inlineStr">
        <is>
          <t>FINSPÅNG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39358-2022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44817</v>
      </c>
      <c r="E786" s="1" t="n">
        <v>46270</v>
      </c>
      <c r="F786" t="inlineStr">
        <is>
          <t>ÖSTERGÖTLANDS LÄN</t>
        </is>
      </c>
      <c r="G786" t="inlineStr">
        <is>
          <t>FINSPÅNG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36191-2023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45149</v>
      </c>
      <c r="E787" s="1" t="n">
        <v>46270</v>
      </c>
      <c r="F787" t="inlineStr">
        <is>
          <t>ÖSTERGÖTLANDS LÄN</t>
        </is>
      </c>
      <c r="G787" t="inlineStr">
        <is>
          <t>FINSPÅNG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55457-2024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45622</v>
      </c>
      <c r="E788" s="1" t="n">
        <v>46270</v>
      </c>
      <c r="F788" t="inlineStr">
        <is>
          <t>ÖSTERGÖTLANDS LÄN</t>
        </is>
      </c>
      <c r="G788" t="inlineStr">
        <is>
          <t>FINSPÅNG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40065-2024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45554</v>
      </c>
      <c r="E789" s="1" t="n">
        <v>46270</v>
      </c>
      <c r="F789" t="inlineStr">
        <is>
          <t>ÖSTERGÖTLANDS LÄN</t>
        </is>
      </c>
      <c r="G789" t="inlineStr">
        <is>
          <t>FINSPÅNG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45095</v>
      </c>
      <c r="E790" s="1" t="n">
        <v>46270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48691-2024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46270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46270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44564</v>
      </c>
      <c r="E793" s="1" t="n">
        <v>46270</v>
      </c>
      <c r="F793" t="inlineStr">
        <is>
          <t>ÖSTERGÖTLANDS LÄN</t>
        </is>
      </c>
      <c r="G793" t="inlineStr">
        <is>
          <t>FINSPÅNG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45744</v>
      </c>
      <c r="E794" s="1" t="n">
        <v>46270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16229-2024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45407</v>
      </c>
      <c r="E795" s="1" t="n">
        <v>46270</v>
      </c>
      <c r="F795" t="inlineStr">
        <is>
          <t>ÖSTERGÖTLANDS LÄN</t>
        </is>
      </c>
      <c r="G795" t="inlineStr">
        <is>
          <t>FINSPÅNG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22586-2023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46270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47836-2021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44448</v>
      </c>
      <c r="E797" s="1" t="n">
        <v>46270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59777-2023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46270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59827-2023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46270</v>
      </c>
      <c r="F799" t="inlineStr">
        <is>
          <t>ÖSTERGÖTLANDS LÄN</t>
        </is>
      </c>
      <c r="G799" t="inlineStr">
        <is>
          <t>FINSPÅNG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46270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46270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46270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13392-2025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45735</v>
      </c>
      <c r="E804" s="1" t="n">
        <v>46270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13457-2025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45736</v>
      </c>
      <c r="E805" s="1" t="n">
        <v>46270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30864-2026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46212</v>
      </c>
      <c r="E806" s="1" t="n">
        <v>46270</v>
      </c>
      <c r="F806" t="inlineStr">
        <is>
          <t>ÖSTERGÖTLANDS LÄN</t>
        </is>
      </c>
      <c r="G806" t="inlineStr">
        <is>
          <t>FINSPÅNG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46270</v>
      </c>
      <c r="F807" t="inlineStr">
        <is>
          <t>ÖSTERGÖTLANDS LÄN</t>
        </is>
      </c>
      <c r="G807" t="inlineStr">
        <is>
          <t>FINSPÅNG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46270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45530</v>
      </c>
      <c r="E809" s="1" t="n">
        <v>46270</v>
      </c>
      <c r="F809" t="inlineStr">
        <is>
          <t>ÖSTERGÖTLANDS LÄN</t>
        </is>
      </c>
      <c r="G809" t="inlineStr">
        <is>
          <t>FINSPÅNG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46270</v>
      </c>
      <c r="F810" t="inlineStr">
        <is>
          <t>ÖSTERGÖTLANDS LÄN</t>
        </is>
      </c>
      <c r="G810" t="inlineStr">
        <is>
          <t>FINSPÅNG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45371</v>
      </c>
      <c r="E811" s="1" t="n">
        <v>46270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Kyrkan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46270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46270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46270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46270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31301-2026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46270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46218</v>
      </c>
      <c r="E817" s="1" t="n">
        <v>46270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9.5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24328-2025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45797</v>
      </c>
      <c r="E818" s="1" t="n">
        <v>46270</v>
      </c>
      <c r="F818" t="inlineStr">
        <is>
          <t>ÖSTERGÖTLANDS LÄN</t>
        </is>
      </c>
      <c r="G818" t="inlineStr">
        <is>
          <t>FINSPÅNG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45797</v>
      </c>
      <c r="E819" s="1" t="n">
        <v>46270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46270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31307-2026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46219</v>
      </c>
      <c r="E821" s="1" t="n">
        <v>46270</v>
      </c>
      <c r="F821" t="inlineStr">
        <is>
          <t>ÖSTERGÖTLANDS LÄN</t>
        </is>
      </c>
      <c r="G821" t="inlineStr">
        <is>
          <t>FINSPÅNG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36505-2026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46270</v>
      </c>
      <c r="F822" t="inlineStr">
        <is>
          <t>ÖSTERGÖTLANDS LÄN</t>
        </is>
      </c>
      <c r="G822" t="inlineStr">
        <is>
          <t>FINSPÅNG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36479-2026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46269</v>
      </c>
      <c r="E823" s="1" t="n">
        <v>46270</v>
      </c>
      <c r="F823" t="inlineStr">
        <is>
          <t>ÖSTERGÖTLANDS LÄN</t>
        </is>
      </c>
      <c r="G823" t="inlineStr">
        <is>
          <t>FINSPÅNG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36267-2026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46270</v>
      </c>
      <c r="F824" t="inlineStr">
        <is>
          <t>ÖSTERGÖTLANDS LÄN</t>
        </is>
      </c>
      <c r="G824" t="inlineStr">
        <is>
          <t>FINSPÅNG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46225</v>
      </c>
      <c r="E825" s="1" t="n">
        <v>46270</v>
      </c>
      <c r="F825" t="inlineStr">
        <is>
          <t>ÖSTERGÖTLANDS LÄN</t>
        </is>
      </c>
      <c r="G825" t="inlineStr">
        <is>
          <t>FINSPÅNG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31669-2026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46225</v>
      </c>
      <c r="E826" s="1" t="n">
        <v>46270</v>
      </c>
      <c r="F826" t="inlineStr">
        <is>
          <t>ÖSTERGÖTLANDS LÄN</t>
        </is>
      </c>
      <c r="G826" t="inlineStr">
        <is>
          <t>FINSPÅNG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46270</v>
      </c>
      <c r="F827" t="inlineStr">
        <is>
          <t>ÖSTERGÖTLANDS LÄN</t>
        </is>
      </c>
      <c r="G827" t="inlineStr">
        <is>
          <t>FINSPÅNG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46270</v>
      </c>
      <c r="F828" t="inlineStr">
        <is>
          <t>ÖSTERGÖTLANDS LÄN</t>
        </is>
      </c>
      <c r="G828" t="inlineStr">
        <is>
          <t>FINSPÅNG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46270</v>
      </c>
      <c r="F829" t="inlineStr">
        <is>
          <t>ÖSTERGÖTLANDS LÄN</t>
        </is>
      </c>
      <c r="G829" t="inlineStr">
        <is>
          <t>FINSPÅNG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31682-2026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46226</v>
      </c>
      <c r="E830" s="1" t="n">
        <v>46270</v>
      </c>
      <c r="F830" t="inlineStr">
        <is>
          <t>ÖSTERGÖTLANDS LÄN</t>
        </is>
      </c>
      <c r="G830" t="inlineStr">
        <is>
          <t>FINSPÅNG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36486-2026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46269</v>
      </c>
      <c r="E831" s="1" t="n">
        <v>46270</v>
      </c>
      <c r="F831" t="inlineStr">
        <is>
          <t>ÖSTERGÖTLANDS LÄN</t>
        </is>
      </c>
      <c r="G831" t="inlineStr">
        <is>
          <t>FINSPÅNG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5129-2024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45644</v>
      </c>
      <c r="E832" s="1" t="n">
        <v>46270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1605-2024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45428</v>
      </c>
      <c r="E833" s="1" t="n">
        <v>46270</v>
      </c>
      <c r="F833" t="inlineStr">
        <is>
          <t>ÖSTERGÖTLANDS LÄN</t>
        </is>
      </c>
      <c r="G833" t="inlineStr">
        <is>
          <t>FINSPÅNG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1637-2024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45429</v>
      </c>
      <c r="E834" s="1" t="n">
        <v>46270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4163-2023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45250</v>
      </c>
      <c r="E835" s="1" t="n">
        <v>46270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Sveaskog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1759-2026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46188</v>
      </c>
      <c r="E836" s="1" t="n">
        <v>46270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Övriga Aktiebolag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2208-2026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46258</v>
      </c>
      <c r="E837" s="1" t="n">
        <v>46270</v>
      </c>
      <c r="F837" t="inlineStr">
        <is>
          <t>ÖSTERGÖTLANDS LÄN</t>
        </is>
      </c>
      <c r="G837" t="inlineStr">
        <is>
          <t>FINSPÅNG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2026-09-05T02:09:08Z</dcterms:created>
  <dcterms:modified xmlns:dcterms="http://purl.org/dc/terms/" xmlns:xsi="http://www.w3.org/2001/XMLSchema-instance" xsi:type="dcterms:W3CDTF">2026-09-05T02:09:09Z</dcterms:modified>
</cp:coreProperties>
</file>