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54954-2022</t>
        </is>
      </c>
      <c r="B29" s="1" t="n">
        <v>44881</v>
      </c>
      <c r="C29" s="1" t="n">
        <v>45586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5.4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Tallticka</t>
        </is>
      </c>
      <c r="S29">
        <f>HYPERLINK("https://klasma.github.io/Logging_0562/artfynd/A 54954-2022 artfynd.xlsx", "A 54954-2022")</f>
        <v/>
      </c>
      <c r="T29">
        <f>HYPERLINK("https://klasma.github.io/Logging_0562/kartor/A 54954-2022 karta.png", "A 54954-2022")</f>
        <v/>
      </c>
      <c r="V29">
        <f>HYPERLINK("https://klasma.github.io/Logging_0562/klagomål/A 54954-2022 FSC-klagomål.docx", "A 54954-2022")</f>
        <v/>
      </c>
      <c r="W29">
        <f>HYPERLINK("https://klasma.github.io/Logging_0562/klagomålsmail/A 54954-2022 FSC-klagomål mail.docx", "A 54954-2022")</f>
        <v/>
      </c>
      <c r="X29">
        <f>HYPERLINK("https://klasma.github.io/Logging_0562/tillsyn/A 54954-2022 tillsynsbegäran.docx", "A 54954-2022")</f>
        <v/>
      </c>
      <c r="Y29">
        <f>HYPERLINK("https://klasma.github.io/Logging_0562/tillsynsmail/A 54954-2022 tillsynsbegäran mail.docx", "A 54954-2022")</f>
        <v/>
      </c>
    </row>
    <row r="30" ht="15" customHeight="1">
      <c r="A30" t="inlineStr">
        <is>
          <t>A 18075-2023</t>
        </is>
      </c>
      <c r="B30" s="1" t="n">
        <v>45040</v>
      </c>
      <c r="C30" s="1" t="n">
        <v>45586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Dvärgtufs</t>
        </is>
      </c>
      <c r="S30">
        <f>HYPERLINK("https://klasma.github.io/Logging_0562/artfynd/A 18075-2023 artfynd.xlsx", "A 18075-2023")</f>
        <v/>
      </c>
      <c r="T30">
        <f>HYPERLINK("https://klasma.github.io/Logging_0562/kartor/A 18075-2023 karta.png", "A 18075-2023")</f>
        <v/>
      </c>
      <c r="V30">
        <f>HYPERLINK("https://klasma.github.io/Logging_0562/klagomål/A 18075-2023 FSC-klagomål.docx", "A 18075-2023")</f>
        <v/>
      </c>
      <c r="W30">
        <f>HYPERLINK("https://klasma.github.io/Logging_0562/klagomålsmail/A 18075-2023 FSC-klagomål mail.docx", "A 18075-2023")</f>
        <v/>
      </c>
      <c r="X30">
        <f>HYPERLINK("https://klasma.github.io/Logging_0562/tillsyn/A 18075-2023 tillsynsbegäran.docx", "A 18075-2023")</f>
        <v/>
      </c>
      <c r="Y30">
        <f>HYPERLINK("https://klasma.github.io/Logging_0562/tillsynsmail/A 18075-2023 tillsynsbegäran mail.docx", "A 18075-2023")</f>
        <v/>
      </c>
    </row>
    <row r="31" ht="15" customHeight="1">
      <c r="A31" t="inlineStr">
        <is>
          <t>A 26888-2023</t>
        </is>
      </c>
      <c r="B31" s="1" t="n">
        <v>45093</v>
      </c>
      <c r="C31" s="1" t="n">
        <v>45586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Motaggsvamp
Ärtsångare</t>
        </is>
      </c>
      <c r="S31">
        <f>HYPERLINK("https://klasma.github.io/Logging_0562/artfynd/A 26888-2023 artfynd.xlsx", "A 26888-2023")</f>
        <v/>
      </c>
      <c r="T31">
        <f>HYPERLINK("https://klasma.github.io/Logging_0562/kartor/A 26888-2023 karta.png", "A 26888-2023")</f>
        <v/>
      </c>
      <c r="V31">
        <f>HYPERLINK("https://klasma.github.io/Logging_0562/klagomål/A 26888-2023 FSC-klagomål.docx", "A 26888-2023")</f>
        <v/>
      </c>
      <c r="W31">
        <f>HYPERLINK("https://klasma.github.io/Logging_0562/klagomålsmail/A 26888-2023 FSC-klagomål mail.docx", "A 26888-2023")</f>
        <v/>
      </c>
      <c r="X31">
        <f>HYPERLINK("https://klasma.github.io/Logging_0562/tillsyn/A 26888-2023 tillsynsbegäran.docx", "A 26888-2023")</f>
        <v/>
      </c>
      <c r="Y31">
        <f>HYPERLINK("https://klasma.github.io/Logging_0562/tillsynsmail/A 26888-2023 tillsynsbegäran mail.docx", "A 26888-2023")</f>
        <v/>
      </c>
      <c r="Z31">
        <f>HYPERLINK("https://klasma.github.io/Logging_0562/fåglar/A 26888-2023 prioriterade fågelarter.docx", "A 26888-2023")</f>
        <v/>
      </c>
    </row>
    <row r="32" ht="15" customHeight="1">
      <c r="A32" t="inlineStr">
        <is>
          <t>A 3596-2024</t>
        </is>
      </c>
      <c r="B32" s="1" t="n">
        <v>45320</v>
      </c>
      <c r="C32" s="1" t="n">
        <v>45586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6.9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Kungsörn</t>
        </is>
      </c>
      <c r="S32">
        <f>HYPERLINK("https://klasma.github.io/Logging_0562/artfynd/A 3596-2024 artfynd.xlsx", "A 3596-2024")</f>
        <v/>
      </c>
      <c r="T32">
        <f>HYPERLINK("https://klasma.github.io/Logging_0562/kartor/A 3596-2024 karta.png", "A 3596-2024")</f>
        <v/>
      </c>
      <c r="V32">
        <f>HYPERLINK("https://klasma.github.io/Logging_0562/klagomål/A 3596-2024 FSC-klagomål.docx", "A 3596-2024")</f>
        <v/>
      </c>
      <c r="W32">
        <f>HYPERLINK("https://klasma.github.io/Logging_0562/klagomålsmail/A 3596-2024 FSC-klagomål mail.docx", "A 3596-2024")</f>
        <v/>
      </c>
      <c r="X32">
        <f>HYPERLINK("https://klasma.github.io/Logging_0562/tillsyn/A 3596-2024 tillsynsbegäran.docx", "A 3596-2024")</f>
        <v/>
      </c>
      <c r="Y32">
        <f>HYPERLINK("https://klasma.github.io/Logging_0562/tillsynsmail/A 3596-2024 tillsynsbegäran mail.docx", "A 3596-2024")</f>
        <v/>
      </c>
      <c r="Z32">
        <f>HYPERLINK("https://klasma.github.io/Logging_0562/fåglar/A 3596-2024 prioriterade fågelarter.docx", "A 3596-2024")</f>
        <v/>
      </c>
    </row>
    <row r="33" ht="15" customHeight="1">
      <c r="A33" t="inlineStr">
        <is>
          <t>A 10257-2024</t>
        </is>
      </c>
      <c r="B33" s="1" t="n">
        <v>45365</v>
      </c>
      <c r="C33" s="1" t="n">
        <v>45586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HYPERLINK("https://klasma.github.io/Logging_0562/artfynd/A 10257-2024 artfynd.xlsx", "A 10257-2024")</f>
        <v/>
      </c>
      <c r="T33">
        <f>HYPERLINK("https://klasma.github.io/Logging_0562/kartor/A 10257-2024 karta.png", "A 10257-2024")</f>
        <v/>
      </c>
      <c r="U33">
        <f>HYPERLINK("https://klasma.github.io/Logging_0562/knärot/A 10257-2024 karta knärot.png", "A 10257-2024")</f>
        <v/>
      </c>
      <c r="V33">
        <f>HYPERLINK("https://klasma.github.io/Logging_0562/klagomål/A 10257-2024 FSC-klagomål.docx", "A 10257-2024")</f>
        <v/>
      </c>
      <c r="W33">
        <f>HYPERLINK("https://klasma.github.io/Logging_0562/klagomålsmail/A 10257-2024 FSC-klagomål mail.docx", "A 10257-2024")</f>
        <v/>
      </c>
      <c r="X33">
        <f>HYPERLINK("https://klasma.github.io/Logging_0562/tillsyn/A 10257-2024 tillsynsbegäran.docx", "A 10257-2024")</f>
        <v/>
      </c>
      <c r="Y33">
        <f>HYPERLINK("https://klasma.github.io/Logging_0562/tillsynsmail/A 10257-2024 tillsynsbegäran mail.docx", "A 10257-2024")</f>
        <v/>
      </c>
    </row>
    <row r="34" ht="15" customHeight="1">
      <c r="A34" t="inlineStr">
        <is>
          <t>A 14213-2024</t>
        </is>
      </c>
      <c r="B34" s="1" t="n">
        <v>45393</v>
      </c>
      <c r="C34" s="1" t="n">
        <v>45586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Grön sköldmossa</t>
        </is>
      </c>
      <c r="S34">
        <f>HYPERLINK("https://klasma.github.io/Logging_0562/artfynd/A 14213-2024 artfynd.xlsx", "A 14213-2024")</f>
        <v/>
      </c>
      <c r="T34">
        <f>HYPERLINK("https://klasma.github.io/Logging_0562/kartor/A 14213-2024 karta.png", "A 14213-2024")</f>
        <v/>
      </c>
      <c r="V34">
        <f>HYPERLINK("https://klasma.github.io/Logging_0562/klagomål/A 14213-2024 FSC-klagomål.docx", "A 14213-2024")</f>
        <v/>
      </c>
      <c r="W34">
        <f>HYPERLINK("https://klasma.github.io/Logging_0562/klagomålsmail/A 14213-2024 FSC-klagomål mail.docx", "A 14213-2024")</f>
        <v/>
      </c>
      <c r="X34">
        <f>HYPERLINK("https://klasma.github.io/Logging_0562/tillsyn/A 14213-2024 tillsynsbegäran.docx", "A 14213-2024")</f>
        <v/>
      </c>
      <c r="Y34">
        <f>HYPERLINK("https://klasma.github.io/Logging_0562/tillsynsmail/A 14213-2024 tillsynsbegäran mail.docx", "A 14213-2024")</f>
        <v/>
      </c>
    </row>
    <row r="35" ht="15" customHeight="1">
      <c r="A35" t="inlineStr">
        <is>
          <t>A 21566-2024</t>
        </is>
      </c>
      <c r="B35" s="1" t="n">
        <v>45441</v>
      </c>
      <c r="C35" s="1" t="n">
        <v>45586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Blompraktbagge</t>
        </is>
      </c>
      <c r="S35">
        <f>HYPERLINK("https://klasma.github.io/Logging_0562/artfynd/A 21566-2024 artfynd.xlsx", "A 21566-2024")</f>
        <v/>
      </c>
      <c r="T35">
        <f>HYPERLINK("https://klasma.github.io/Logging_0562/kartor/A 21566-2024 karta.png", "A 21566-2024")</f>
        <v/>
      </c>
      <c r="V35">
        <f>HYPERLINK("https://klasma.github.io/Logging_0562/klagomål/A 21566-2024 FSC-klagomål.docx", "A 21566-2024")</f>
        <v/>
      </c>
      <c r="W35">
        <f>HYPERLINK("https://klasma.github.io/Logging_0562/klagomålsmail/A 21566-2024 FSC-klagomål mail.docx", "A 21566-2024")</f>
        <v/>
      </c>
      <c r="X35">
        <f>HYPERLINK("https://klasma.github.io/Logging_0562/tillsyn/A 21566-2024 tillsynsbegäran.docx", "A 21566-2024")</f>
        <v/>
      </c>
      <c r="Y35">
        <f>HYPERLINK("https://klasma.github.io/Logging_0562/tillsynsmail/A 21566-2024 tillsynsbegäran mail.docx", "A 21566-2024")</f>
        <v/>
      </c>
    </row>
    <row r="36" ht="15" customHeight="1">
      <c r="A36" t="inlineStr">
        <is>
          <t>A 22603-2024</t>
        </is>
      </c>
      <c r="B36" s="1" t="n">
        <v>45447</v>
      </c>
      <c r="C36" s="1" t="n">
        <v>45586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Scharlakansskål</t>
        </is>
      </c>
      <c r="S36">
        <f>HYPERLINK("https://klasma.github.io/Logging_0562/artfynd/A 22603-2024 artfynd.xlsx", "A 22603-2024")</f>
        <v/>
      </c>
      <c r="T36">
        <f>HYPERLINK("https://klasma.github.io/Logging_0562/kartor/A 22603-2024 karta.png", "A 22603-2024")</f>
        <v/>
      </c>
      <c r="V36">
        <f>HYPERLINK("https://klasma.github.io/Logging_0562/klagomål/A 22603-2024 FSC-klagomål.docx", "A 22603-2024")</f>
        <v/>
      </c>
      <c r="W36">
        <f>HYPERLINK("https://klasma.github.io/Logging_0562/klagomålsmail/A 22603-2024 FSC-klagomål mail.docx", "A 22603-2024")</f>
        <v/>
      </c>
      <c r="X36">
        <f>HYPERLINK("https://klasma.github.io/Logging_0562/tillsyn/A 22603-2024 tillsynsbegäran.docx", "A 22603-2024")</f>
        <v/>
      </c>
      <c r="Y36">
        <f>HYPERLINK("https://klasma.github.io/Logging_0562/tillsynsmail/A 22603-2024 tillsynsbegäran mail.docx", "A 22603-2024")</f>
        <v/>
      </c>
    </row>
    <row r="37" ht="15" customHeight="1">
      <c r="A37" t="inlineStr">
        <is>
          <t>A 28395-2024</t>
        </is>
      </c>
      <c r="B37" s="1" t="n">
        <v>45477</v>
      </c>
      <c r="C37" s="1" t="n">
        <v>45586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0.6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HYPERLINK("https://klasma.github.io/Logging_0562/artfynd/A 28395-2024 artfynd.xlsx", "A 28395-2024")</f>
        <v/>
      </c>
      <c r="T37">
        <f>HYPERLINK("https://klasma.github.io/Logging_0562/kartor/A 28395-2024 karta.png", "A 28395-2024")</f>
        <v/>
      </c>
      <c r="V37">
        <f>HYPERLINK("https://klasma.github.io/Logging_0562/klagomål/A 28395-2024 FSC-klagomål.docx", "A 28395-2024")</f>
        <v/>
      </c>
      <c r="W37">
        <f>HYPERLINK("https://klasma.github.io/Logging_0562/klagomålsmail/A 28395-2024 FSC-klagomål mail.docx", "A 28395-2024")</f>
        <v/>
      </c>
      <c r="X37">
        <f>HYPERLINK("https://klasma.github.io/Logging_0562/tillsyn/A 28395-2024 tillsynsbegäran.docx", "A 28395-2024")</f>
        <v/>
      </c>
      <c r="Y37">
        <f>HYPERLINK("https://klasma.github.io/Logging_0562/tillsynsmail/A 28395-2024 tillsynsbegäran mail.docx", "A 28395-2024")</f>
        <v/>
      </c>
      <c r="Z37">
        <f>HYPERLINK("https://klasma.github.io/Logging_0562/fåglar/A 28395-2024 prioriterade fågelarter.docx", "A 28395-2024")</f>
        <v/>
      </c>
    </row>
    <row r="38" ht="15" customHeight="1">
      <c r="A38" t="inlineStr">
        <is>
          <t>A 19407-2019</t>
        </is>
      </c>
      <c r="B38" s="1" t="n">
        <v>43565</v>
      </c>
      <c r="C38" s="1" t="n">
        <v>45586</v>
      </c>
      <c r="D38" t="inlineStr">
        <is>
          <t>ÖSTERGÖTLANDS LÄN</t>
        </is>
      </c>
      <c r="E38" t="inlineStr">
        <is>
          <t>FINSPÅNG</t>
        </is>
      </c>
      <c r="G38" t="n">
        <v>10.5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19407-2019 artfynd.xlsx", "A 19407-2019")</f>
        <v/>
      </c>
      <c r="T38">
        <f>HYPERLINK("https://klasma.github.io/Logging_0562/kartor/A 19407-2019 karta.png", "A 19407-2019")</f>
        <v/>
      </c>
      <c r="V38">
        <f>HYPERLINK("https://klasma.github.io/Logging_0562/klagomål/A 19407-2019 FSC-klagomål.docx", "A 19407-2019")</f>
        <v/>
      </c>
      <c r="W38">
        <f>HYPERLINK("https://klasma.github.io/Logging_0562/klagomålsmail/A 19407-2019 FSC-klagomål mail.docx", "A 19407-2019")</f>
        <v/>
      </c>
      <c r="X38">
        <f>HYPERLINK("https://klasma.github.io/Logging_0562/tillsyn/A 19407-2019 tillsynsbegäran.docx", "A 19407-2019")</f>
        <v/>
      </c>
      <c r="Y38">
        <f>HYPERLINK("https://klasma.github.io/Logging_0562/tillsynsmail/A 19407-2019 tillsynsbegäran mail.docx", "A 19407-2019")</f>
        <v/>
      </c>
    </row>
    <row r="39" ht="15" customHeight="1">
      <c r="A39" t="inlineStr">
        <is>
          <t>A 24547-2019</t>
        </is>
      </c>
      <c r="B39" s="1" t="n">
        <v>43600</v>
      </c>
      <c r="C39" s="1" t="n">
        <v>45586</v>
      </c>
      <c r="D39" t="inlineStr">
        <is>
          <t>ÖSTERGÖTLANDS LÄN</t>
        </is>
      </c>
      <c r="E39" t="inlineStr">
        <is>
          <t>FINSPÅNG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24547-2019 artfynd.xlsx", "A 24547-2019")</f>
        <v/>
      </c>
      <c r="T39">
        <f>HYPERLINK("https://klasma.github.io/Logging_0562/kartor/A 24547-2019 karta.png", "A 24547-2019")</f>
        <v/>
      </c>
      <c r="V39">
        <f>HYPERLINK("https://klasma.github.io/Logging_0562/klagomål/A 24547-2019 FSC-klagomål.docx", "A 24547-2019")</f>
        <v/>
      </c>
      <c r="W39">
        <f>HYPERLINK("https://klasma.github.io/Logging_0562/klagomålsmail/A 24547-2019 FSC-klagomål mail.docx", "A 24547-2019")</f>
        <v/>
      </c>
      <c r="X39">
        <f>HYPERLINK("https://klasma.github.io/Logging_0562/tillsyn/A 24547-2019 tillsynsbegäran.docx", "A 24547-2019")</f>
        <v/>
      </c>
      <c r="Y39">
        <f>HYPERLINK("https://klasma.github.io/Logging_0562/tillsynsmail/A 24547-2019 tillsynsbegäran mail.docx", "A 24547-2019")</f>
        <v/>
      </c>
    </row>
    <row r="40" ht="15" customHeight="1">
      <c r="A40" t="inlineStr">
        <is>
          <t>A 26223-2019</t>
        </is>
      </c>
      <c r="B40" s="1" t="n">
        <v>43609</v>
      </c>
      <c r="C40" s="1" t="n">
        <v>45586</v>
      </c>
      <c r="D40" t="inlineStr">
        <is>
          <t>ÖSTERGÖTLANDS LÄN</t>
        </is>
      </c>
      <c r="E40" t="inlineStr">
        <is>
          <t>FINSPÅNG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26223-2019 artfynd.xlsx", "A 26223-2019")</f>
        <v/>
      </c>
      <c r="T40">
        <f>HYPERLINK("https://klasma.github.io/Logging_0562/kartor/A 26223-2019 karta.png", "A 26223-2019")</f>
        <v/>
      </c>
      <c r="V40">
        <f>HYPERLINK("https://klasma.github.io/Logging_0562/klagomål/A 26223-2019 FSC-klagomål.docx", "A 26223-2019")</f>
        <v/>
      </c>
      <c r="W40">
        <f>HYPERLINK("https://klasma.github.io/Logging_0562/klagomålsmail/A 26223-2019 FSC-klagomål mail.docx", "A 26223-2019")</f>
        <v/>
      </c>
      <c r="X40">
        <f>HYPERLINK("https://klasma.github.io/Logging_0562/tillsyn/A 26223-2019 tillsynsbegäran.docx", "A 26223-2019")</f>
        <v/>
      </c>
      <c r="Y40">
        <f>HYPERLINK("https://klasma.github.io/Logging_0562/tillsynsmail/A 26223-2019 tillsynsbegäran mail.docx", "A 26223-2019")</f>
        <v/>
      </c>
    </row>
    <row r="41" ht="15" customHeight="1">
      <c r="A41" t="inlineStr">
        <is>
          <t>A 26227-2019</t>
        </is>
      </c>
      <c r="B41" s="1" t="n">
        <v>43609</v>
      </c>
      <c r="C41" s="1" t="n">
        <v>45586</v>
      </c>
      <c r="D41" t="inlineStr">
        <is>
          <t>ÖSTERGÖTLANDS LÄN</t>
        </is>
      </c>
      <c r="E41" t="inlineStr">
        <is>
          <t>FINSPÅNG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26227-2019 artfynd.xlsx", "A 26227-2019")</f>
        <v/>
      </c>
      <c r="T41">
        <f>HYPERLINK("https://klasma.github.io/Logging_0562/kartor/A 26227-2019 karta.png", "A 26227-2019")</f>
        <v/>
      </c>
      <c r="V41">
        <f>HYPERLINK("https://klasma.github.io/Logging_0562/klagomål/A 26227-2019 FSC-klagomål.docx", "A 26227-2019")</f>
        <v/>
      </c>
      <c r="W41">
        <f>HYPERLINK("https://klasma.github.io/Logging_0562/klagomålsmail/A 26227-2019 FSC-klagomål mail.docx", "A 26227-2019")</f>
        <v/>
      </c>
      <c r="X41">
        <f>HYPERLINK("https://klasma.github.io/Logging_0562/tillsyn/A 26227-2019 tillsynsbegäran.docx", "A 26227-2019")</f>
        <v/>
      </c>
      <c r="Y41">
        <f>HYPERLINK("https://klasma.github.io/Logging_0562/tillsynsmail/A 26227-2019 tillsynsbegäran mail.docx", "A 26227-2019")</f>
        <v/>
      </c>
    </row>
    <row r="42" ht="15" customHeight="1">
      <c r="A42" t="inlineStr">
        <is>
          <t>A 30229-2019</t>
        </is>
      </c>
      <c r="B42" s="1" t="n">
        <v>43633</v>
      </c>
      <c r="C42" s="1" t="n">
        <v>45586</v>
      </c>
      <c r="D42" t="inlineStr">
        <is>
          <t>ÖSTERGÖTLANDS LÄN</t>
        </is>
      </c>
      <c r="E42" t="inlineStr">
        <is>
          <t>FINSPÅNG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HYPERLINK("https://klasma.github.io/Logging_0562/artfynd/A 30229-2019 artfynd.xlsx", "A 30229-2019")</f>
        <v/>
      </c>
      <c r="T42">
        <f>HYPERLINK("https://klasma.github.io/Logging_0562/kartor/A 30229-2019 karta.png", "A 30229-2019")</f>
        <v/>
      </c>
      <c r="V42">
        <f>HYPERLINK("https://klasma.github.io/Logging_0562/klagomål/A 30229-2019 FSC-klagomål.docx", "A 30229-2019")</f>
        <v/>
      </c>
      <c r="W42">
        <f>HYPERLINK("https://klasma.github.io/Logging_0562/klagomålsmail/A 30229-2019 FSC-klagomål mail.docx", "A 30229-2019")</f>
        <v/>
      </c>
      <c r="X42">
        <f>HYPERLINK("https://klasma.github.io/Logging_0562/tillsyn/A 30229-2019 tillsynsbegäran.docx", "A 30229-2019")</f>
        <v/>
      </c>
      <c r="Y42">
        <f>HYPERLINK("https://klasma.github.io/Logging_0562/tillsynsmail/A 30229-2019 tillsynsbegäran mail.docx", "A 30229-2019")</f>
        <v/>
      </c>
    </row>
    <row r="43" ht="15" customHeight="1">
      <c r="A43" t="inlineStr">
        <is>
          <t>A 34632-2019</t>
        </is>
      </c>
      <c r="B43" s="1" t="n">
        <v>43657</v>
      </c>
      <c r="C43" s="1" t="n">
        <v>45586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HYPERLINK("https://klasma.github.io/Logging_0562/artfynd/A 34632-2019 artfynd.xlsx", "A 34632-2019")</f>
        <v/>
      </c>
      <c r="T43">
        <f>HYPERLINK("https://klasma.github.io/Logging_0562/kartor/A 34632-2019 karta.png", "A 34632-2019")</f>
        <v/>
      </c>
      <c r="V43">
        <f>HYPERLINK("https://klasma.github.io/Logging_0562/klagomål/A 34632-2019 FSC-klagomål.docx", "A 34632-2019")</f>
        <v/>
      </c>
      <c r="W43">
        <f>HYPERLINK("https://klasma.github.io/Logging_0562/klagomålsmail/A 34632-2019 FSC-klagomål mail.docx", "A 34632-2019")</f>
        <v/>
      </c>
      <c r="X43">
        <f>HYPERLINK("https://klasma.github.io/Logging_0562/tillsyn/A 34632-2019 tillsynsbegäran.docx", "A 34632-2019")</f>
        <v/>
      </c>
      <c r="Y43">
        <f>HYPERLINK("https://klasma.github.io/Logging_0562/tillsynsmail/A 34632-2019 tillsynsbegäran mail.docx", "A 34632-2019")</f>
        <v/>
      </c>
    </row>
    <row r="44" ht="15" customHeight="1">
      <c r="A44" t="inlineStr">
        <is>
          <t>A 55658-2019</t>
        </is>
      </c>
      <c r="B44" s="1" t="n">
        <v>43760</v>
      </c>
      <c r="C44" s="1" t="n">
        <v>45586</v>
      </c>
      <c r="D44" t="inlineStr">
        <is>
          <t>ÖSTERGÖTLANDS LÄN</t>
        </is>
      </c>
      <c r="E44" t="inlineStr">
        <is>
          <t>FINSPÅNG</t>
        </is>
      </c>
      <c r="G44" t="n">
        <v>8.4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Raggbock</t>
        </is>
      </c>
      <c r="S44">
        <f>HYPERLINK("https://klasma.github.io/Logging_0562/artfynd/A 55658-2019 artfynd.xlsx", "A 55658-2019")</f>
        <v/>
      </c>
      <c r="T44">
        <f>HYPERLINK("https://klasma.github.io/Logging_0562/kartor/A 55658-2019 karta.png", "A 55658-2019")</f>
        <v/>
      </c>
      <c r="V44">
        <f>HYPERLINK("https://klasma.github.io/Logging_0562/klagomål/A 55658-2019 FSC-klagomål.docx", "A 55658-2019")</f>
        <v/>
      </c>
      <c r="W44">
        <f>HYPERLINK("https://klasma.github.io/Logging_0562/klagomålsmail/A 55658-2019 FSC-klagomål mail.docx", "A 55658-2019")</f>
        <v/>
      </c>
      <c r="X44">
        <f>HYPERLINK("https://klasma.github.io/Logging_0562/tillsyn/A 55658-2019 tillsynsbegäran.docx", "A 55658-2019")</f>
        <v/>
      </c>
      <c r="Y44">
        <f>HYPERLINK("https://klasma.github.io/Logging_0562/tillsynsmail/A 55658-2019 tillsynsbegäran mail.docx", "A 55658-2019")</f>
        <v/>
      </c>
    </row>
    <row r="45" ht="15" customHeight="1">
      <c r="A45" t="inlineStr">
        <is>
          <t>A 2350-2020</t>
        </is>
      </c>
      <c r="B45" s="1" t="n">
        <v>43846</v>
      </c>
      <c r="C45" s="1" t="n">
        <v>45586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HYPERLINK("https://klasma.github.io/Logging_0562/artfynd/A 2350-2020 artfynd.xlsx", "A 2350-2020")</f>
        <v/>
      </c>
      <c r="T45">
        <f>HYPERLINK("https://klasma.github.io/Logging_0562/kartor/A 2350-2020 karta.png", "A 2350-2020")</f>
        <v/>
      </c>
      <c r="V45">
        <f>HYPERLINK("https://klasma.github.io/Logging_0562/klagomål/A 2350-2020 FSC-klagomål.docx", "A 2350-2020")</f>
        <v/>
      </c>
      <c r="W45">
        <f>HYPERLINK("https://klasma.github.io/Logging_0562/klagomålsmail/A 2350-2020 FSC-klagomål mail.docx", "A 2350-2020")</f>
        <v/>
      </c>
      <c r="X45">
        <f>HYPERLINK("https://klasma.github.io/Logging_0562/tillsyn/A 2350-2020 tillsynsbegäran.docx", "A 2350-2020")</f>
        <v/>
      </c>
      <c r="Y45">
        <f>HYPERLINK("https://klasma.github.io/Logging_0562/tillsynsmail/A 2350-2020 tillsynsbegäran mail.docx", "A 2350-2020")</f>
        <v/>
      </c>
    </row>
    <row r="46" ht="15" customHeight="1">
      <c r="A46" t="inlineStr">
        <is>
          <t>A 3021-2020</t>
        </is>
      </c>
      <c r="B46" s="1" t="n">
        <v>43851</v>
      </c>
      <c r="C46" s="1" t="n">
        <v>45586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HYPERLINK("https://klasma.github.io/Logging_0562/artfynd/A 3021-2020 artfynd.xlsx", "A 3021-2020")</f>
        <v/>
      </c>
      <c r="T46">
        <f>HYPERLINK("https://klasma.github.io/Logging_0562/kartor/A 3021-2020 karta.png", "A 3021-2020")</f>
        <v/>
      </c>
      <c r="V46">
        <f>HYPERLINK("https://klasma.github.io/Logging_0562/klagomål/A 3021-2020 FSC-klagomål.docx", "A 3021-2020")</f>
        <v/>
      </c>
      <c r="W46">
        <f>HYPERLINK("https://klasma.github.io/Logging_0562/klagomålsmail/A 3021-2020 FSC-klagomål mail.docx", "A 3021-2020")</f>
        <v/>
      </c>
      <c r="X46">
        <f>HYPERLINK("https://klasma.github.io/Logging_0562/tillsyn/A 3021-2020 tillsynsbegäran.docx", "A 3021-2020")</f>
        <v/>
      </c>
      <c r="Y46">
        <f>HYPERLINK("https://klasma.github.io/Logging_0562/tillsynsmail/A 3021-2020 tillsynsbegäran mail.docx", "A 3021-2020")</f>
        <v/>
      </c>
    </row>
    <row r="47" ht="15" customHeight="1">
      <c r="A47" t="inlineStr">
        <is>
          <t>A 14835-2020</t>
        </is>
      </c>
      <c r="B47" s="1" t="n">
        <v>43909</v>
      </c>
      <c r="C47" s="1" t="n">
        <v>45586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9.9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HYPERLINK("https://klasma.github.io/Logging_0562/artfynd/A 14835-2020 artfynd.xlsx", "A 14835-2020")</f>
        <v/>
      </c>
      <c r="T47">
        <f>HYPERLINK("https://klasma.github.io/Logging_0562/kartor/A 14835-2020 karta.png", "A 14835-2020")</f>
        <v/>
      </c>
      <c r="V47">
        <f>HYPERLINK("https://klasma.github.io/Logging_0562/klagomål/A 14835-2020 FSC-klagomål.docx", "A 14835-2020")</f>
        <v/>
      </c>
      <c r="W47">
        <f>HYPERLINK("https://klasma.github.io/Logging_0562/klagomålsmail/A 14835-2020 FSC-klagomål mail.docx", "A 14835-2020")</f>
        <v/>
      </c>
      <c r="X47">
        <f>HYPERLINK("https://klasma.github.io/Logging_0562/tillsyn/A 14835-2020 tillsynsbegäran.docx", "A 14835-2020")</f>
        <v/>
      </c>
      <c r="Y47">
        <f>HYPERLINK("https://klasma.github.io/Logging_0562/tillsynsmail/A 14835-2020 tillsynsbegäran mail.docx", "A 14835-2020")</f>
        <v/>
      </c>
    </row>
    <row r="48" ht="15" customHeight="1">
      <c r="A48" t="inlineStr">
        <is>
          <t>A 54832-2020</t>
        </is>
      </c>
      <c r="B48" s="1" t="n">
        <v>44127</v>
      </c>
      <c r="C48" s="1" t="n">
        <v>45586</v>
      </c>
      <c r="D48" t="inlineStr">
        <is>
          <t>ÖSTERGÖTLANDS LÄN</t>
        </is>
      </c>
      <c r="E48" t="inlineStr">
        <is>
          <t>FINSPÅNG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 aspvedbock</t>
        </is>
      </c>
      <c r="S48">
        <f>HYPERLINK("https://klasma.github.io/Logging_0562/artfynd/A 54832-2020 artfynd.xlsx", "A 54832-2020")</f>
        <v/>
      </c>
      <c r="T48">
        <f>HYPERLINK("https://klasma.github.io/Logging_0562/kartor/A 54832-2020 karta.png", "A 54832-2020")</f>
        <v/>
      </c>
      <c r="V48">
        <f>HYPERLINK("https://klasma.github.io/Logging_0562/klagomål/A 54832-2020 FSC-klagomål.docx", "A 54832-2020")</f>
        <v/>
      </c>
      <c r="W48">
        <f>HYPERLINK("https://klasma.github.io/Logging_0562/klagomålsmail/A 54832-2020 FSC-klagomål mail.docx", "A 54832-2020")</f>
        <v/>
      </c>
      <c r="X48">
        <f>HYPERLINK("https://klasma.github.io/Logging_0562/tillsyn/A 54832-2020 tillsynsbegäran.docx", "A 54832-2020")</f>
        <v/>
      </c>
      <c r="Y48">
        <f>HYPERLINK("https://klasma.github.io/Logging_0562/tillsynsmail/A 54832-2020 tillsynsbegäran mail.docx", "A 54832-2020")</f>
        <v/>
      </c>
    </row>
    <row r="49" ht="15" customHeight="1">
      <c r="A49" t="inlineStr">
        <is>
          <t>A 5534-2021</t>
        </is>
      </c>
      <c r="B49" s="1" t="n">
        <v>44230</v>
      </c>
      <c r="C49" s="1" t="n">
        <v>45586</v>
      </c>
      <c r="D49" t="inlineStr">
        <is>
          <t>ÖSTERGÖTLANDS LÄN</t>
        </is>
      </c>
      <c r="E49" t="inlineStr">
        <is>
          <t>FINSPÅNG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HYPERLINK("https://klasma.github.io/Logging_0562/artfynd/A 5534-2021 artfynd.xlsx", "A 5534-2021")</f>
        <v/>
      </c>
      <c r="T49">
        <f>HYPERLINK("https://klasma.github.io/Logging_0562/kartor/A 5534-2021 karta.png", "A 5534-2021")</f>
        <v/>
      </c>
      <c r="V49">
        <f>HYPERLINK("https://klasma.github.io/Logging_0562/klagomål/A 5534-2021 FSC-klagomål.docx", "A 5534-2021")</f>
        <v/>
      </c>
      <c r="W49">
        <f>HYPERLINK("https://klasma.github.io/Logging_0562/klagomålsmail/A 5534-2021 FSC-klagomål mail.docx", "A 5534-2021")</f>
        <v/>
      </c>
      <c r="X49">
        <f>HYPERLINK("https://klasma.github.io/Logging_0562/tillsyn/A 5534-2021 tillsynsbegäran.docx", "A 5534-2021")</f>
        <v/>
      </c>
      <c r="Y49">
        <f>HYPERLINK("https://klasma.github.io/Logging_0562/tillsynsmail/A 5534-2021 tillsynsbegäran mail.docx", "A 5534-2021")</f>
        <v/>
      </c>
      <c r="Z49">
        <f>HYPERLINK("https://klasma.github.io/Logging_0562/fåglar/A 5534-2021 prioriterade fågelarter.docx", "A 5534-2021")</f>
        <v/>
      </c>
    </row>
    <row r="50" ht="15" customHeight="1">
      <c r="A50" t="inlineStr">
        <is>
          <t>A 12446-2021</t>
        </is>
      </c>
      <c r="B50" s="1" t="n">
        <v>44267</v>
      </c>
      <c r="C50" s="1" t="n">
        <v>45586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HYPERLINK("https://klasma.github.io/Logging_0562/artfynd/A 12446-2021 artfynd.xlsx", "A 12446-2021")</f>
        <v/>
      </c>
      <c r="T50">
        <f>HYPERLINK("https://klasma.github.io/Logging_0562/kartor/A 12446-2021 karta.png", "A 12446-2021")</f>
        <v/>
      </c>
      <c r="V50">
        <f>HYPERLINK("https://klasma.github.io/Logging_0562/klagomål/A 12446-2021 FSC-klagomål.docx", "A 12446-2021")</f>
        <v/>
      </c>
      <c r="W50">
        <f>HYPERLINK("https://klasma.github.io/Logging_0562/klagomålsmail/A 12446-2021 FSC-klagomål mail.docx", "A 12446-2021")</f>
        <v/>
      </c>
      <c r="X50">
        <f>HYPERLINK("https://klasma.github.io/Logging_0562/tillsyn/A 12446-2021 tillsynsbegäran.docx", "A 12446-2021")</f>
        <v/>
      </c>
      <c r="Y50">
        <f>HYPERLINK("https://klasma.github.io/Logging_0562/tillsynsmail/A 12446-2021 tillsynsbegäran mail.docx", "A 12446-2021")</f>
        <v/>
      </c>
    </row>
    <row r="51" ht="15" customHeight="1">
      <c r="A51" t="inlineStr">
        <is>
          <t>A 16747-2021</t>
        </is>
      </c>
      <c r="B51" s="1" t="n">
        <v>44294</v>
      </c>
      <c r="C51" s="1" t="n">
        <v>45586</v>
      </c>
      <c r="D51" t="inlineStr">
        <is>
          <t>ÖSTERGÖTLANDS LÄN</t>
        </is>
      </c>
      <c r="E51" t="inlineStr">
        <is>
          <t>FINSPÅNG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HYPERLINK("https://klasma.github.io/Logging_0562/artfynd/A 16747-2021 artfynd.xlsx", "A 16747-2021")</f>
        <v/>
      </c>
      <c r="T51">
        <f>HYPERLINK("https://klasma.github.io/Logging_0562/kartor/A 16747-2021 karta.png", "A 16747-2021")</f>
        <v/>
      </c>
      <c r="V51">
        <f>HYPERLINK("https://klasma.github.io/Logging_0562/klagomål/A 16747-2021 FSC-klagomål.docx", "A 16747-2021")</f>
        <v/>
      </c>
      <c r="W51">
        <f>HYPERLINK("https://klasma.github.io/Logging_0562/klagomålsmail/A 16747-2021 FSC-klagomål mail.docx", "A 16747-2021")</f>
        <v/>
      </c>
      <c r="X51">
        <f>HYPERLINK("https://klasma.github.io/Logging_0562/tillsyn/A 16747-2021 tillsynsbegäran.docx", "A 16747-2021")</f>
        <v/>
      </c>
      <c r="Y51">
        <f>HYPERLINK("https://klasma.github.io/Logging_0562/tillsynsmail/A 16747-2021 tillsynsbegäran mail.docx", "A 16747-2021")</f>
        <v/>
      </c>
    </row>
    <row r="52" ht="15" customHeight="1">
      <c r="A52" t="inlineStr">
        <is>
          <t>A 38056-2021</t>
        </is>
      </c>
      <c r="B52" s="1" t="n">
        <v>44404</v>
      </c>
      <c r="C52" s="1" t="n">
        <v>45586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HYPERLINK("https://klasma.github.io/Logging_0562/artfynd/A 38056-2021 artfynd.xlsx", "A 38056-2021")</f>
        <v/>
      </c>
      <c r="T52">
        <f>HYPERLINK("https://klasma.github.io/Logging_0562/kartor/A 38056-2021 karta.png", "A 38056-2021")</f>
        <v/>
      </c>
      <c r="V52">
        <f>HYPERLINK("https://klasma.github.io/Logging_0562/klagomål/A 38056-2021 FSC-klagomål.docx", "A 38056-2021")</f>
        <v/>
      </c>
      <c r="W52">
        <f>HYPERLINK("https://klasma.github.io/Logging_0562/klagomålsmail/A 38056-2021 FSC-klagomål mail.docx", "A 38056-2021")</f>
        <v/>
      </c>
      <c r="X52">
        <f>HYPERLINK("https://klasma.github.io/Logging_0562/tillsyn/A 38056-2021 tillsynsbegäran.docx", "A 38056-2021")</f>
        <v/>
      </c>
      <c r="Y52">
        <f>HYPERLINK("https://klasma.github.io/Logging_0562/tillsynsmail/A 38056-2021 tillsynsbegäran mail.docx", "A 38056-2021")</f>
        <v/>
      </c>
    </row>
    <row r="53" ht="15" customHeight="1">
      <c r="A53" t="inlineStr">
        <is>
          <t>A 68414-2021</t>
        </is>
      </c>
      <c r="B53" s="1" t="n">
        <v>44529</v>
      </c>
      <c r="C53" s="1" t="n">
        <v>45586</v>
      </c>
      <c r="D53" t="inlineStr">
        <is>
          <t>ÖSTERGÖTLANDS LÄN</t>
        </is>
      </c>
      <c r="E53" t="inlineStr">
        <is>
          <t>FINSPÅNG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HYPERLINK("https://klasma.github.io/Logging_0562/artfynd/A 68414-2021 artfynd.xlsx", "A 68414-2021")</f>
        <v/>
      </c>
      <c r="T53">
        <f>HYPERLINK("https://klasma.github.io/Logging_0562/kartor/A 68414-2021 karta.png", "A 68414-2021")</f>
        <v/>
      </c>
      <c r="V53">
        <f>HYPERLINK("https://klasma.github.io/Logging_0562/klagomål/A 68414-2021 FSC-klagomål.docx", "A 68414-2021")</f>
        <v/>
      </c>
      <c r="W53">
        <f>HYPERLINK("https://klasma.github.io/Logging_0562/klagomålsmail/A 68414-2021 FSC-klagomål mail.docx", "A 68414-2021")</f>
        <v/>
      </c>
      <c r="X53">
        <f>HYPERLINK("https://klasma.github.io/Logging_0562/tillsyn/A 68414-2021 tillsynsbegäran.docx", "A 68414-2021")</f>
        <v/>
      </c>
      <c r="Y53">
        <f>HYPERLINK("https://klasma.github.io/Logging_0562/tillsynsmail/A 68414-2021 tillsynsbegäran mail.docx", "A 68414-2021")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45586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10203-2022</t>
        </is>
      </c>
      <c r="B55" s="1" t="n">
        <v>44622</v>
      </c>
      <c r="C55" s="1" t="n">
        <v>45586</v>
      </c>
      <c r="D55" t="inlineStr">
        <is>
          <t>ÖSTERGÖTLANDS LÄN</t>
        </is>
      </c>
      <c r="E55" t="inlineStr">
        <is>
          <t>FINSPÅNG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HYPERLINK("https://klasma.github.io/Logging_0562/artfynd/A 10203-2022 artfynd.xlsx", "A 10203-2022")</f>
        <v/>
      </c>
      <c r="T55">
        <f>HYPERLINK("https://klasma.github.io/Logging_0562/kartor/A 10203-2022 karta.png", "A 10203-2022")</f>
        <v/>
      </c>
      <c r="V55">
        <f>HYPERLINK("https://klasma.github.io/Logging_0562/klagomål/A 10203-2022 FSC-klagomål.docx", "A 10203-2022")</f>
        <v/>
      </c>
      <c r="W55">
        <f>HYPERLINK("https://klasma.github.io/Logging_0562/klagomålsmail/A 10203-2022 FSC-klagomål mail.docx", "A 10203-2022")</f>
        <v/>
      </c>
      <c r="X55">
        <f>HYPERLINK("https://klasma.github.io/Logging_0562/tillsyn/A 10203-2022 tillsynsbegäran.docx", "A 10203-2022")</f>
        <v/>
      </c>
      <c r="Y55">
        <f>HYPERLINK("https://klasma.github.io/Logging_0562/tillsynsmail/A 10203-2022 tillsynsbegäran mail.docx", "A 10203-2022")</f>
        <v/>
      </c>
    </row>
    <row r="56" ht="15" customHeight="1">
      <c r="A56" t="inlineStr">
        <is>
          <t>A 17960-2022</t>
        </is>
      </c>
      <c r="B56" s="1" t="n">
        <v>44683</v>
      </c>
      <c r="C56" s="1" t="n">
        <v>45586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HYPERLINK("https://klasma.github.io/Logging_0562/artfynd/A 17960-2022 artfynd.xlsx", "A 17960-2022")</f>
        <v/>
      </c>
      <c r="T56">
        <f>HYPERLINK("https://klasma.github.io/Logging_0562/kartor/A 17960-2022 karta.png", "A 17960-2022")</f>
        <v/>
      </c>
      <c r="V56">
        <f>HYPERLINK("https://klasma.github.io/Logging_0562/klagomål/A 17960-2022 FSC-klagomål.docx", "A 17960-2022")</f>
        <v/>
      </c>
      <c r="W56">
        <f>HYPERLINK("https://klasma.github.io/Logging_0562/klagomålsmail/A 17960-2022 FSC-klagomål mail.docx", "A 17960-2022")</f>
        <v/>
      </c>
      <c r="X56">
        <f>HYPERLINK("https://klasma.github.io/Logging_0562/tillsyn/A 17960-2022 tillsynsbegäran.docx", "A 17960-2022")</f>
        <v/>
      </c>
      <c r="Y56">
        <f>HYPERLINK("https://klasma.github.io/Logging_0562/tillsynsmail/A 17960-2022 tillsynsbegäran mail.docx", "A 17960-2022")</f>
        <v/>
      </c>
    </row>
    <row r="57" ht="15" customHeight="1">
      <c r="A57" t="inlineStr">
        <is>
          <t>A 29467-2022</t>
        </is>
      </c>
      <c r="B57" s="1" t="n">
        <v>44753</v>
      </c>
      <c r="C57" s="1" t="n">
        <v>45586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29467-2022 artfynd.xlsx", "A 29467-2022")</f>
        <v/>
      </c>
      <c r="T57">
        <f>HYPERLINK("https://klasma.github.io/Logging_0562/kartor/A 29467-2022 karta.png", "A 29467-2022")</f>
        <v/>
      </c>
      <c r="V57">
        <f>HYPERLINK("https://klasma.github.io/Logging_0562/klagomål/A 29467-2022 FSC-klagomål.docx", "A 29467-2022")</f>
        <v/>
      </c>
      <c r="W57">
        <f>HYPERLINK("https://klasma.github.io/Logging_0562/klagomålsmail/A 29467-2022 FSC-klagomål mail.docx", "A 29467-2022")</f>
        <v/>
      </c>
      <c r="X57">
        <f>HYPERLINK("https://klasma.github.io/Logging_0562/tillsyn/A 29467-2022 tillsynsbegäran.docx", "A 29467-2022")</f>
        <v/>
      </c>
      <c r="Y57">
        <f>HYPERLINK("https://klasma.github.io/Logging_0562/tillsynsmail/A 29467-2022 tillsynsbegäran mail.docx", "A 29467-2022")</f>
        <v/>
      </c>
    </row>
    <row r="58" ht="15" customHeight="1">
      <c r="A58" t="inlineStr">
        <is>
          <t>A 31750-2022</t>
        </is>
      </c>
      <c r="B58" s="1" t="n">
        <v>44776</v>
      </c>
      <c r="C58" s="1" t="n">
        <v>45586</v>
      </c>
      <c r="D58" t="inlineStr">
        <is>
          <t>ÖSTERGÖTLANDS LÄN</t>
        </is>
      </c>
      <c r="E58" t="inlineStr">
        <is>
          <t>FINSPÅNG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31750-2022 artfynd.xlsx", "A 31750-2022")</f>
        <v/>
      </c>
      <c r="T58">
        <f>HYPERLINK("https://klasma.github.io/Logging_0562/kartor/A 31750-2022 karta.png", "A 31750-2022")</f>
        <v/>
      </c>
      <c r="V58">
        <f>HYPERLINK("https://klasma.github.io/Logging_0562/klagomål/A 31750-2022 FSC-klagomål.docx", "A 31750-2022")</f>
        <v/>
      </c>
      <c r="W58">
        <f>HYPERLINK("https://klasma.github.io/Logging_0562/klagomålsmail/A 31750-2022 FSC-klagomål mail.docx", "A 31750-2022")</f>
        <v/>
      </c>
      <c r="X58">
        <f>HYPERLINK("https://klasma.github.io/Logging_0562/tillsyn/A 31750-2022 tillsynsbegäran.docx", "A 31750-2022")</f>
        <v/>
      </c>
      <c r="Y58">
        <f>HYPERLINK("https://klasma.github.io/Logging_0562/tillsynsmail/A 31750-2022 tillsynsbegäran mail.docx", "A 31750-2022")</f>
        <v/>
      </c>
    </row>
    <row r="59" ht="15" customHeight="1">
      <c r="A59" t="inlineStr">
        <is>
          <t>A 34096-2022</t>
        </is>
      </c>
      <c r="B59" s="1" t="n">
        <v>44791</v>
      </c>
      <c r="C59" s="1" t="n">
        <v>45586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34096-2022 artfynd.xlsx", "A 34096-2022")</f>
        <v/>
      </c>
      <c r="T59">
        <f>HYPERLINK("https://klasma.github.io/Logging_0562/kartor/A 34096-2022 karta.png", "A 34096-2022")</f>
        <v/>
      </c>
      <c r="V59">
        <f>HYPERLINK("https://klasma.github.io/Logging_0562/klagomål/A 34096-2022 FSC-klagomål.docx", "A 34096-2022")</f>
        <v/>
      </c>
      <c r="W59">
        <f>HYPERLINK("https://klasma.github.io/Logging_0562/klagomålsmail/A 34096-2022 FSC-klagomål mail.docx", "A 34096-2022")</f>
        <v/>
      </c>
      <c r="X59">
        <f>HYPERLINK("https://klasma.github.io/Logging_0562/tillsyn/A 34096-2022 tillsynsbegäran.docx", "A 34096-2022")</f>
        <v/>
      </c>
      <c r="Y59">
        <f>HYPERLINK("https://klasma.github.io/Logging_0562/tillsynsmail/A 34096-2022 tillsynsbegäran mail.docx", "A 34096-2022")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45586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45586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45586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45586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45586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45586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45586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45586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45586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45586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45586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45586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45586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45586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45586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45586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45586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45586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45586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45586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45586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45586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45586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45586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45586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45586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45586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45586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45586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45586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45586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45586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45586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45586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45586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45586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45586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45586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45586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45586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45586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45586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45586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45586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45586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45586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45586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45586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45586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45586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45586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45586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45586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45586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45586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45586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45586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45586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45586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45586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45586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45586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45586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45586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45586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45586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45586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45586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45586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45586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45586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45586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45586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45586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45586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45586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45586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45586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45586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45586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45586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45586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45586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45586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45586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45586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45586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45586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45586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45586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45586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45586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45586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45586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45586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45586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45586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45586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45586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45586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45586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45586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45586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45586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45586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45586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45586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45586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45586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45586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45586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45586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45586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45586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45586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45586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45586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45586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45586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45586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45586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45586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45586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45586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45586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45586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45586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45586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45586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45586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45586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45586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45586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45586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45586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45586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45586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45586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45586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45586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45586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45586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45586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45586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45586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45586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45586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45586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45586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45586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45586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45586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45586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45586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45586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45586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45586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45586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45586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45586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45586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45586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45586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45586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45586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45586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45586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45586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45586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45586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45586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45586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45586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45586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45586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45586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45586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45586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45586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45586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45586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45586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45586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45586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45586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45586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45586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45586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45586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45586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45586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45586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45586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45586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45586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45586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45586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45586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45586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45586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45586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45586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45586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45586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45586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45586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45586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45586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45586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45586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45586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45586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45586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45586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45586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45586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45586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45586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45586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45586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45586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45586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45586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45586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45586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45586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45586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45586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45586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45586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45586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45586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45586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45586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45586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45586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45586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45586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45586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45586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45586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45586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45586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45586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45586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45586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45586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45586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45586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45586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45586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45586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45586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45586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45586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45586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45586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45586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45586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45586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45586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45586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45586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45586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45586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45586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45586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45586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45586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45586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45586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45586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45586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45586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45586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45586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45586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45586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45586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45586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45586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45586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45586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45586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45586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45586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45586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45586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45586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45586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45586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45586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45586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45586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45586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45586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45586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45586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45586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45586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45586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45586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45586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45586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45586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45586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45586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45586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45586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45586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45586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45586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45586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45586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45586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45586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45586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45586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45586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45586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45586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45586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45586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45586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45586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45586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45586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45586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45586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45586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45586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45586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45586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45586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45586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45586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45586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45586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45586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45586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45586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45586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45586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45586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45586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45586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45586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45586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45586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45586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45586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45586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45586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45586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45586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45586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45586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45586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45586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45586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45586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45586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45586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45586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45586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45586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45586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45586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45586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45586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45586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45586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45586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45586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45586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45586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45586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45586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45586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45586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45586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45586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45586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45586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45586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45586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45586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45586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45586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45586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45586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45586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45586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45586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45586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45586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45586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45586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45586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45586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45586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45586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45586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45586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45586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45586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45586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45586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45586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45586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45586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45586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45586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45586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45586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45586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45586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45586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45586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45586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45586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45586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45586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45586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45586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45586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45586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45586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45586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45586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45586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45586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45586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45586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45586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45586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45586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45586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45586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45586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45586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45586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45586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45586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45586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45586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45586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45586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45586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45586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45586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45586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45586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45586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45586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45586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45586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45586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45586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45586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45586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45586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45586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45586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45586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45586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45586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45586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45586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45586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45586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45586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45586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45586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45586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45586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45586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45586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45586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45586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45586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45586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45586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45586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45586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45586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45586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45586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45586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45586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45586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45586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45586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45586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45586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45586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45586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45586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45586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45586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45586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45586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45586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45586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45586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45586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45586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45586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45586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45586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45586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45586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45586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45586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45586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45586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45586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45586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45586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45586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45586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45586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45586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45586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45586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45586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45586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45586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45586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45586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45586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45586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45586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45586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45586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45586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45586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45586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45586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45586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45586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45586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45586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45586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45586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45586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45586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45586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45586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45586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45586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45586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45586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45586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45586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45586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45586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45586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45586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45586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45586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45586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45586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45586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45586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45586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45586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45586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45586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45586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45586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45586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45586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45586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45586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45586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45586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45586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45586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45586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45586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45586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45586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45586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45586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45586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45586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45586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45586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45586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45586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45586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45586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45586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45586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45586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45586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45586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45586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45586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45586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45586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45586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45586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45586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45586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45586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45586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45586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45586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45586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45586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45586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45586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45586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45586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45586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45586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45586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45586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45586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45586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45586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45586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45586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45586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45586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45586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45586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45586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45586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45586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45586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45586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45586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45586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45586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45586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45586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45586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45586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45586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45586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45586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45586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45586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45586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45586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45586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45586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45586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45586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45586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45586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45586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45586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45586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45586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45586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45586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45586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45586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45586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45586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45586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45586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45586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45586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45586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45586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45586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45586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45586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45586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45586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45586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45586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45586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45586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45586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45586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45586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45586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45586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45586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45586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45586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45586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45586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45586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45586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45586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45586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45586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45586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45586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45586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45586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45586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45586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45586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45586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45586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45586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45586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45586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45586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45586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45586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45586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45586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45586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45586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45586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45586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45586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45586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45586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45586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45586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45586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45586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45586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45586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45586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45586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45586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45586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45586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45586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45586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45586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45586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45586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45586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45586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45586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45586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45586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45586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45586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45586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45586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45586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45586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45586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45586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45586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45586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45586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45586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45586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45586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45586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45586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45586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45586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45586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45586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45586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45586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45586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45586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45586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45586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45586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45586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45586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45586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45586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45586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45586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45586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45586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45586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45586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45586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45586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45586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45586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45586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45586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45586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45586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45586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45586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45586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45586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45586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45586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45586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45586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45586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45586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45586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45586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45586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45586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45586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45586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45586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45586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45586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45586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45586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45586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45586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45586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45586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45586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45586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45586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45586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45586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45586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45586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45586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45586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45586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45586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45586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45586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45586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45586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45586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45586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45586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45586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45586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45586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45586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45586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45586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45586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45586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45586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45586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45586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45586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40063-2024</t>
        </is>
      </c>
      <c r="B1483" s="1" t="n">
        <v>45554</v>
      </c>
      <c r="C1483" s="1" t="n">
        <v>45586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45586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40537-2024</t>
        </is>
      </c>
      <c r="B1486" s="1" t="n">
        <v>45555</v>
      </c>
      <c r="C1486" s="1" t="n">
        <v>45586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45586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45586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45586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41513-2024</t>
        </is>
      </c>
      <c r="B1490" s="1" t="n">
        <v>45560</v>
      </c>
      <c r="C1490" s="1" t="n">
        <v>45586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41533-2024</t>
        </is>
      </c>
      <c r="B1491" s="1" t="n">
        <v>45560</v>
      </c>
      <c r="C1491" s="1" t="n">
        <v>45586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41537-2024</t>
        </is>
      </c>
      <c r="B1492" s="1" t="n">
        <v>45560</v>
      </c>
      <c r="C1492" s="1" t="n">
        <v>45586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41570-2024</t>
        </is>
      </c>
      <c r="B1493" s="1" t="n">
        <v>45560</v>
      </c>
      <c r="C1493" s="1" t="n">
        <v>45586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41527-2024</t>
        </is>
      </c>
      <c r="B1494" s="1" t="n">
        <v>45560</v>
      </c>
      <c r="C1494" s="1" t="n">
        <v>45586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41561-2024</t>
        </is>
      </c>
      <c r="B1495" s="1" t="n">
        <v>45560</v>
      </c>
      <c r="C1495" s="1" t="n">
        <v>45586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41625-2024</t>
        </is>
      </c>
      <c r="B1496" s="1" t="n">
        <v>45560</v>
      </c>
      <c r="C1496" s="1" t="n">
        <v>45586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45586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45586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42646-2024</t>
        </is>
      </c>
      <c r="B1501" s="1" t="n">
        <v>45566</v>
      </c>
      <c r="C1501" s="1" t="n">
        <v>45586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42650-2024</t>
        </is>
      </c>
      <c r="B1502" s="1" t="n">
        <v>45566</v>
      </c>
      <c r="C1502" s="1" t="n">
        <v>45586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42699-2024</t>
        </is>
      </c>
      <c r="B1503" s="1" t="n">
        <v>45566</v>
      </c>
      <c r="C1503" s="1" t="n">
        <v>45586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42648-2024</t>
        </is>
      </c>
      <c r="B1504" s="1" t="n">
        <v>45566</v>
      </c>
      <c r="C1504" s="1" t="n">
        <v>45586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42665-2024</t>
        </is>
      </c>
      <c r="B1505" s="1" t="n">
        <v>45566</v>
      </c>
      <c r="C1505" s="1" t="n">
        <v>45586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42678-2024</t>
        </is>
      </c>
      <c r="B1506" s="1" t="n">
        <v>45566</v>
      </c>
      <c r="C1506" s="1" t="n">
        <v>45586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42682-2024</t>
        </is>
      </c>
      <c r="B1507" s="1" t="n">
        <v>45566</v>
      </c>
      <c r="C1507" s="1" t="n">
        <v>45586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42694-2024</t>
        </is>
      </c>
      <c r="B1508" s="1" t="n">
        <v>45566</v>
      </c>
      <c r="C1508" s="1" t="n">
        <v>45586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42711-2024</t>
        </is>
      </c>
      <c r="B1509" s="1" t="n">
        <v>45566</v>
      </c>
      <c r="C1509" s="1" t="n">
        <v>45586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42707-2024</t>
        </is>
      </c>
      <c r="B1510" s="1" t="n">
        <v>45566</v>
      </c>
      <c r="C1510" s="1" t="n">
        <v>45586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42785-2024</t>
        </is>
      </c>
      <c r="B1511" s="1" t="n">
        <v>45566</v>
      </c>
      <c r="C1511" s="1" t="n">
        <v>45586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42705-2024</t>
        </is>
      </c>
      <c r="B1512" s="1" t="n">
        <v>45566</v>
      </c>
      <c r="C1512" s="1" t="n">
        <v>45586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45586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42779-2024</t>
        </is>
      </c>
      <c r="B1514" s="1" t="n">
        <v>45566</v>
      </c>
      <c r="C1514" s="1" t="n">
        <v>45586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42840-2024</t>
        </is>
      </c>
      <c r="B1515" s="1" t="n">
        <v>45566</v>
      </c>
      <c r="C1515" s="1" t="n">
        <v>45586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42837-2024</t>
        </is>
      </c>
      <c r="B1516" s="1" t="n">
        <v>45566</v>
      </c>
      <c r="C1516" s="1" t="n">
        <v>45586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45586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42908-2024</t>
        </is>
      </c>
      <c r="B1518" s="1" t="n">
        <v>45567</v>
      </c>
      <c r="C1518" s="1" t="n">
        <v>45586</v>
      </c>
      <c r="D1518" t="inlineStr">
        <is>
          <t>ÖSTERGÖTLANDS LÄN</t>
        </is>
      </c>
      <c r="E1518" t="inlineStr">
        <is>
          <t>FINSPÅNG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42913-2024</t>
        </is>
      </c>
      <c r="B1519" s="1" t="n">
        <v>45567</v>
      </c>
      <c r="C1519" s="1" t="n">
        <v>45586</v>
      </c>
      <c r="D1519" t="inlineStr">
        <is>
          <t>ÖSTERGÖTLANDS LÄN</t>
        </is>
      </c>
      <c r="E1519" t="inlineStr">
        <is>
          <t>FINSPÅNG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42647-2024</t>
        </is>
      </c>
      <c r="B1520" s="1" t="n">
        <v>45566</v>
      </c>
      <c r="C1520" s="1" t="n">
        <v>45586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42651-2024</t>
        </is>
      </c>
      <c r="B1521" s="1" t="n">
        <v>45566</v>
      </c>
      <c r="C1521" s="1" t="n">
        <v>45586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45586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42744-2024</t>
        </is>
      </c>
      <c r="B1523" s="1" t="n">
        <v>45566</v>
      </c>
      <c r="C1523" s="1" t="n">
        <v>45586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42782-2024</t>
        </is>
      </c>
      <c r="B1524" s="1" t="n">
        <v>45566</v>
      </c>
      <c r="C1524" s="1" t="n">
        <v>45586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45586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42907-2024</t>
        </is>
      </c>
      <c r="B1526" s="1" t="n">
        <v>45567</v>
      </c>
      <c r="C1526" s="1" t="n">
        <v>45586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45586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42947-2024</t>
        </is>
      </c>
      <c r="B1528" s="1" t="n">
        <v>45567</v>
      </c>
      <c r="C1528" s="1" t="n">
        <v>45586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44148-2024</t>
        </is>
      </c>
      <c r="B1529" s="1" t="n">
        <v>45572</v>
      </c>
      <c r="C1529" s="1" t="n">
        <v>45586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43965-2024</t>
        </is>
      </c>
      <c r="B1530" s="1" t="n">
        <v>45572</v>
      </c>
      <c r="C1530" s="1" t="n">
        <v>45586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46583-2024</t>
        </is>
      </c>
      <c r="B1535" s="1" t="n">
        <v>45582</v>
      </c>
      <c r="C1535" s="1" t="n">
        <v>45586</v>
      </c>
      <c r="D1535" t="inlineStr">
        <is>
          <t>ÖSTERGÖTLANDS LÄN</t>
        </is>
      </c>
      <c r="E1535" t="inlineStr">
        <is>
          <t>FINSPÅNG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46386-2024</t>
        </is>
      </c>
      <c r="B1536" s="1" t="n">
        <v>45582</v>
      </c>
      <c r="C1536" s="1" t="n">
        <v>45586</v>
      </c>
      <c r="D1536" t="inlineStr">
        <is>
          <t>ÖSTERGÖTLANDS LÄN</t>
        </is>
      </c>
      <c r="E1536" t="inlineStr">
        <is>
          <t>FINSPÅNG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2024-10-21T12:55:34Z</dcterms:created>
  <dcterms:modified xmlns:dcterms="http://purl.org/dc/terms/" xmlns:xsi="http://www.w3.org/2001/XMLSchema-instance" xsi:type="dcterms:W3CDTF">2024-10-21T12:55:36Z</dcterms:modified>
</cp:coreProperties>
</file>