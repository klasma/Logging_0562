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46298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46298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46298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46298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46298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46298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46298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46298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46298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46298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46298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46298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46298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46298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46298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46298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46298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46298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46298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46298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46298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46298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46298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46298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46298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46298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46298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46298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46298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46298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46298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46298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46298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46298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46298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46298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46298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46298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46298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46298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46298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46298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46298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46298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46298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46298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46298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46298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46298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46298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46298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46298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46298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36128-2023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46298</v>
      </c>
      <c r="F55" t="inlineStr">
        <is>
          <t>ÖSTERGÖTLANDS LÄN</t>
        </is>
      </c>
      <c r="G55" t="inlineStr">
        <is>
          <t>FINSPÅNG</t>
        </is>
      </c>
      <c r="I55" t="n">
        <v>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HYPERLINK("https://klasma.github.io/Logging_0562/artfynd/A 36128-2023 artfynd.xlsx", "A 36128-2023")</f>
        <v/>
      </c>
      <c r="X55">
        <f>HYPERLINK("https://klasma.github.io/Logging_0562/kartor/A 36128-2023 karta.png", "A 36128-2023")</f>
        <v/>
      </c>
      <c r="Y55">
        <f>HYPERLINK("https://klasma.github.io/Logging_0562/kartor_geotiff/A 36128-2023 georefererad karta.tif", "A 36128-2023")</f>
        <v/>
      </c>
      <c r="AA55">
        <f>HYPERLINK("https://klasma.github.io/Logging_0562/klagomål/A 36128-2023 FSC-klagomål.docx", "A 36128-2023")</f>
        <v/>
      </c>
      <c r="AB55">
        <f>HYPERLINK("https://klasma.github.io/Logging_0562/klagomålsmail/A 36128-2023 FSC-klagomål mail.docx", "A 36128-2023")</f>
        <v/>
      </c>
      <c r="AC55">
        <f>HYPERLINK("https://klasma.github.io/Logging_0562/tillsyn/A 36128-2023 tillsynsbegäran.docx", "A 36128-2023")</f>
        <v/>
      </c>
      <c r="AD55">
        <f>HYPERLINK("https://klasma.github.io/Logging_0562/tillsynsmail/A 36128-2023 tillsynsbegäran mail.docx", "A 36128-2023")</f>
        <v/>
      </c>
      <c r="AE55">
        <f>HYPERLINK("https://klasma.github.io/Logging_0562/fåglar/A 36128-2023 prioriterade fågelarter.docx", "A 36128-2023")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46298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7265-2026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46298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HYPERLINK("https://klasma.github.io/Logging_0562/artfynd/A 7265-2026 artfynd.xlsx", "A 7265-2026")</f>
        <v/>
      </c>
      <c r="X57">
        <f>HYPERLINK("https://klasma.github.io/Logging_0562/kartor/A 7265-2026 karta.png", "A 7265-2026")</f>
        <v/>
      </c>
      <c r="Y57">
        <f>HYPERLINK("https://klasma.github.io/Logging_0562/kartor_geotiff/A 7265-2026 georefererad karta.tif", "A 7265-2026")</f>
        <v/>
      </c>
      <c r="AA57">
        <f>HYPERLINK("https://klasma.github.io/Logging_0562/klagomål/A 7265-2026 FSC-klagomål.docx", "A 7265-2026")</f>
        <v/>
      </c>
      <c r="AB57">
        <f>HYPERLINK("https://klasma.github.io/Logging_0562/klagomålsmail/A 7265-2026 FSC-klagomål mail.docx", "A 7265-2026")</f>
        <v/>
      </c>
      <c r="AC57">
        <f>HYPERLINK("https://klasma.github.io/Logging_0562/tillsyn/A 7265-2026 tillsynsbegäran.docx", "A 7265-2026")</f>
        <v/>
      </c>
      <c r="AD57">
        <f>HYPERLINK("https://klasma.github.io/Logging_0562/tillsynsmail/A 7265-2026 tillsynsbegäran mail.docx", "A 7265-2026")</f>
        <v/>
      </c>
      <c r="AE57">
        <f>HYPERLINK("https://klasma.github.io/Logging_0562/fåglar/A 7265-2026 prioriterade fågelarter.docx", "A 7265-2026")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46298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46298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46298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46298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46298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46298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46298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18915-2026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46129</v>
      </c>
      <c r="E65" s="1" t="n">
        <v>46298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6.1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HYPERLINK("https://klasma.github.io/Logging_0562/artfynd/A 18915-2026 artfynd.xlsx", "A 18915-2026")</f>
        <v/>
      </c>
      <c r="X65">
        <f>HYPERLINK("https://klasma.github.io/Logging_0562/kartor/A 18915-2026 karta.png", "A 18915-2026")</f>
        <v/>
      </c>
      <c r="Y65">
        <f>HYPERLINK("https://klasma.github.io/Logging_0562/kartor_geotiff/A 18915-2026 georefererad karta.tif", "A 18915-2026")</f>
        <v/>
      </c>
      <c r="AA65">
        <f>HYPERLINK("https://klasma.github.io/Logging_0562/klagomål/A 18915-2026 FSC-klagomål.docx", "A 18915-2026")</f>
        <v/>
      </c>
      <c r="AB65">
        <f>HYPERLINK("https://klasma.github.io/Logging_0562/klagomålsmail/A 18915-2026 FSC-klagomål mail.docx", "A 18915-2026")</f>
        <v/>
      </c>
      <c r="AC65">
        <f>HYPERLINK("https://klasma.github.io/Logging_0562/tillsyn/A 18915-2026 tillsynsbegäran.docx", "A 18915-2026")</f>
        <v/>
      </c>
      <c r="AD65">
        <f>HYPERLINK("https://klasma.github.io/Logging_0562/tillsynsmail/A 18915-2026 tillsynsbegäran mail.docx", "A 18915-2026")</f>
        <v/>
      </c>
      <c r="AE65">
        <f>HYPERLINK("https://klasma.github.io/Logging_0562/fåglar/A 18915-2026 prioriterade fågelarter.docx", "A 18915-2026")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46298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22259-2024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46298</v>
      </c>
      <c r="F67" t="inlineStr">
        <is>
          <t>ÖSTERGÖTLANDS LÄN</t>
        </is>
      </c>
      <c r="G67" t="inlineStr">
        <is>
          <t>FINSPÅNG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HYPERLINK("https://klasma.github.io/Logging_0562/artfynd/A 22259-2024 artfynd.xlsx", "A 22259-2024")</f>
        <v/>
      </c>
      <c r="X67">
        <f>HYPERLINK("https://klasma.github.io/Logging_0562/kartor/A 22259-2024 karta.png", "A 22259-2024")</f>
        <v/>
      </c>
      <c r="Y67">
        <f>HYPERLINK("https://klasma.github.io/Logging_0562/kartor_geotiff/A 22259-2024 georefererad karta.tif", "A 22259-2024")</f>
        <v/>
      </c>
      <c r="AA67">
        <f>HYPERLINK("https://klasma.github.io/Logging_0562/klagomål/A 22259-2024 FSC-klagomål.docx", "A 22259-2024")</f>
        <v/>
      </c>
      <c r="AB67">
        <f>HYPERLINK("https://klasma.github.io/Logging_0562/klagomålsmail/A 22259-2024 FSC-klagomål mail.docx", "A 22259-2024")</f>
        <v/>
      </c>
      <c r="AC67">
        <f>HYPERLINK("https://klasma.github.io/Logging_0562/tillsyn/A 22259-2024 tillsynsbegäran.docx", "A 22259-2024")</f>
        <v/>
      </c>
      <c r="AD67">
        <f>HYPERLINK("https://klasma.github.io/Logging_0562/tillsynsmail/A 22259-2024 tillsynsbegäran mail.docx", "A 22259-2024")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46298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46298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HYPERLINK("https://klasma.github.io/Logging_0562/artfynd/A 34310-2025 artfynd.xlsx", "A 34310-2025")</f>
        <v/>
      </c>
      <c r="X69">
        <f>HYPERLINK("https://klasma.github.io/Logging_0562/kartor/A 34310-2025 karta.png", "A 34310-2025")</f>
        <v/>
      </c>
      <c r="Y69">
        <f>HYPERLINK("https://klasma.github.io/Logging_0562/kartor_geotiff/A 34310-2025 georefererad karta.tif", "A 34310-2025")</f>
        <v/>
      </c>
      <c r="AA69">
        <f>HYPERLINK("https://klasma.github.io/Logging_0562/klagomål/A 34310-2025 FSC-klagomål.docx", "A 34310-2025")</f>
        <v/>
      </c>
      <c r="AB69">
        <f>HYPERLINK("https://klasma.github.io/Logging_0562/klagomålsmail/A 34310-2025 FSC-klagomål mail.docx", "A 34310-2025")</f>
        <v/>
      </c>
      <c r="AC69">
        <f>HYPERLINK("https://klasma.github.io/Logging_0562/tillsyn/A 34310-2025 tillsynsbegäran.docx", "A 34310-2025")</f>
        <v/>
      </c>
      <c r="AD69">
        <f>HYPERLINK("https://klasma.github.io/Logging_0562/tillsynsmail/A 34310-2025 tillsynsbegäran mail.docx", "A 34310-2025")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46298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46298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46298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46298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42837-2024 artfynd.xlsx", "A 42837-2024")</f>
        <v/>
      </c>
      <c r="X73">
        <f>HYPERLINK("https://klasma.github.io/Logging_0562/kartor/A 42837-2024 karta.png", "A 42837-2024")</f>
        <v/>
      </c>
      <c r="Y73">
        <f>HYPERLINK("https://klasma.github.io/Logging_0562/kartor_geotiff/A 42837-2024 georefererad karta.tif", "A 42837-2024")</f>
        <v/>
      </c>
      <c r="Z73">
        <f>HYPERLINK("https://klasma.github.io/Logging_0562/knärot/A 42837-2024 karta knärot.png", "A 42837-2024")</f>
        <v/>
      </c>
      <c r="AA73">
        <f>HYPERLINK("https://klasma.github.io/Logging_0562/klagomål/A 42837-2024 FSC-klagomål.docx", "A 42837-2024")</f>
        <v/>
      </c>
      <c r="AB73">
        <f>HYPERLINK("https://klasma.github.io/Logging_0562/klagomålsmail/A 42837-2024 FSC-klagomål mail.docx", "A 42837-2024")</f>
        <v/>
      </c>
      <c r="AC73">
        <f>HYPERLINK("https://klasma.github.io/Logging_0562/tillsyn/A 42837-2024 tillsynsbegäran.docx", "A 42837-2024")</f>
        <v/>
      </c>
      <c r="AD73">
        <f>HYPERLINK("https://klasma.github.io/Logging_0562/tillsynsmail/A 42837-2024 tillsynsbegäran mail.docx", "A 42837-2024")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46298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46298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37748-2025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46298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37748-2025 artfynd.xlsx", "A 37748-2025")</f>
        <v/>
      </c>
      <c r="X76">
        <f>HYPERLINK("https://klasma.github.io/Logging_0562/kartor/A 37748-2025 karta.png", "A 37748-2025")</f>
        <v/>
      </c>
      <c r="Y76">
        <f>HYPERLINK("https://klasma.github.io/Logging_0562/kartor_geotiff/A 37748-2025 georefererad karta.tif", "A 37748-2025")</f>
        <v/>
      </c>
      <c r="AA76">
        <f>HYPERLINK("https://klasma.github.io/Logging_0562/klagomål/A 37748-2025 FSC-klagomål.docx", "A 37748-2025")</f>
        <v/>
      </c>
      <c r="AB76">
        <f>HYPERLINK("https://klasma.github.io/Logging_0562/klagomålsmail/A 37748-2025 FSC-klagomål mail.docx", "A 37748-2025")</f>
        <v/>
      </c>
      <c r="AC76">
        <f>HYPERLINK("https://klasma.github.io/Logging_0562/tillsyn/A 37748-2025 tillsynsbegäran.docx", "A 37748-2025")</f>
        <v/>
      </c>
      <c r="AD76">
        <f>HYPERLINK("https://klasma.github.io/Logging_0562/tillsynsmail/A 37748-2025 tillsynsbegäran mail.docx", "A 37748-2025")</f>
        <v/>
      </c>
    </row>
    <row r="77" ht="15" customHeight="1">
      <c r="A77" t="inlineStr">
        <is>
          <t>A 61254-2022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46298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HYPERLINK("https://klasma.github.io/Logging_0562/artfynd/A 61254-2022 artfynd.xlsx", "A 61254-2022")</f>
        <v/>
      </c>
      <c r="X77">
        <f>HYPERLINK("https://klasma.github.io/Logging_0562/kartor/A 61254-2022 karta.png", "A 61254-2022")</f>
        <v/>
      </c>
      <c r="Y77">
        <f>HYPERLINK("https://klasma.github.io/Logging_0562/kartor_geotiff/A 61254-2022 georefererad karta.tif", "A 61254-2022")</f>
        <v/>
      </c>
      <c r="AA77">
        <f>HYPERLINK("https://klasma.github.io/Logging_0562/klagomål/A 61254-2022 FSC-klagomål.docx", "A 61254-2022")</f>
        <v/>
      </c>
      <c r="AB77">
        <f>HYPERLINK("https://klasma.github.io/Logging_0562/klagomålsmail/A 61254-2022 FSC-klagomål mail.docx", "A 61254-2022")</f>
        <v/>
      </c>
      <c r="AC77">
        <f>HYPERLINK("https://klasma.github.io/Logging_0562/tillsyn/A 61254-2022 tillsynsbegäran.docx", "A 61254-2022")</f>
        <v/>
      </c>
      <c r="AD77">
        <f>HYPERLINK("https://klasma.github.io/Logging_0562/tillsynsmail/A 61254-2022 tillsynsbegäran mail.docx", "A 61254-2022")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46298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46298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46298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46298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46298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46298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39078-2022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46298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Skogsklocka</t>
        </is>
      </c>
      <c r="W84">
        <f>HYPERLINK("https://klasma.github.io/Logging_0562/artfynd/A 39078-2022 artfynd.xlsx", "A 39078-2022")</f>
        <v/>
      </c>
      <c r="X84">
        <f>HYPERLINK("https://klasma.github.io/Logging_0562/kartor/A 39078-2022 karta.png", "A 39078-2022")</f>
        <v/>
      </c>
      <c r="Y84">
        <f>HYPERLINK("https://klasma.github.io/Logging_0562/kartor_geotiff/A 39078-2022 georefererad karta.tif", "A 39078-2022")</f>
        <v/>
      </c>
      <c r="AA84">
        <f>HYPERLINK("https://klasma.github.io/Logging_0562/klagomål/A 39078-2022 FSC-klagomål.docx", "A 39078-2022")</f>
        <v/>
      </c>
      <c r="AB84">
        <f>HYPERLINK("https://klasma.github.io/Logging_0562/klagomålsmail/A 39078-2022 FSC-klagomål mail.docx", "A 39078-2022")</f>
        <v/>
      </c>
      <c r="AC84">
        <f>HYPERLINK("https://klasma.github.io/Logging_0562/tillsyn/A 39078-2022 tillsynsbegäran.docx", "A 39078-2022")</f>
        <v/>
      </c>
      <c r="AD84">
        <f>HYPERLINK("https://klasma.github.io/Logging_0562/tillsynsmail/A 39078-2022 tillsynsbegäran mail.docx", "A 39078-2022")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46298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61104-2022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46298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3.4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HYPERLINK("https://klasma.github.io/Logging_0562/artfynd/A 61104-2022 artfynd.xlsx", "A 61104-2022")</f>
        <v/>
      </c>
      <c r="X86">
        <f>HYPERLINK("https://klasma.github.io/Logging_0562/kartor/A 61104-2022 karta.png", "A 61104-2022")</f>
        <v/>
      </c>
      <c r="Y86">
        <f>HYPERLINK("https://klasma.github.io/Logging_0562/kartor_geotiff/A 61104-2022 georefererad karta.tif", "A 61104-2022")</f>
        <v/>
      </c>
      <c r="AA86">
        <f>HYPERLINK("https://klasma.github.io/Logging_0562/klagomål/A 61104-2022 FSC-klagomål.docx", "A 61104-2022")</f>
        <v/>
      </c>
      <c r="AB86">
        <f>HYPERLINK("https://klasma.github.io/Logging_0562/klagomålsmail/A 61104-2022 FSC-klagomål mail.docx", "A 61104-2022")</f>
        <v/>
      </c>
      <c r="AC86">
        <f>HYPERLINK("https://klasma.github.io/Logging_0562/tillsyn/A 61104-2022 tillsynsbegäran.docx", "A 61104-2022")</f>
        <v/>
      </c>
      <c r="AD86">
        <f>HYPERLINK("https://klasma.github.io/Logging_0562/tillsynsmail/A 61104-2022 tillsynsbegäran mail.docx", "A 61104-2022")</f>
        <v/>
      </c>
    </row>
    <row r="87" ht="15" customHeight="1">
      <c r="A87" t="inlineStr">
        <is>
          <t>A 22439-2023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45070</v>
      </c>
      <c r="E87" s="1" t="n">
        <v>46298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HYPERLINK("https://klasma.github.io/Logging_0562/artfynd/A 22439-2023 artfynd.xlsx", "A 22439-2023")</f>
        <v/>
      </c>
      <c r="X87">
        <f>HYPERLINK("https://klasma.github.io/Logging_0562/kartor/A 22439-2023 karta.png", "A 22439-2023")</f>
        <v/>
      </c>
      <c r="Y87">
        <f>HYPERLINK("https://klasma.github.io/Logging_0562/kartor_geotiff/A 22439-2023 georefererad karta.tif", "A 22439-2023")</f>
        <v/>
      </c>
      <c r="AA87">
        <f>HYPERLINK("https://klasma.github.io/Logging_0562/klagomål/A 22439-2023 FSC-klagomål.docx", "A 22439-2023")</f>
        <v/>
      </c>
      <c r="AB87">
        <f>HYPERLINK("https://klasma.github.io/Logging_0562/klagomålsmail/A 22439-2023 FSC-klagomål mail.docx", "A 22439-2023")</f>
        <v/>
      </c>
      <c r="AC87">
        <f>HYPERLINK("https://klasma.github.io/Logging_0562/tillsyn/A 22439-2023 tillsynsbegäran.docx", "A 22439-2023")</f>
        <v/>
      </c>
      <c r="AD87">
        <f>HYPERLINK("https://klasma.github.io/Logging_0562/tillsynsmail/A 22439-2023 tillsynsbegäran mail.docx", "A 22439-2023")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46298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46298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46298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46298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46298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46298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46298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46298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46298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46298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46298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46298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46298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46298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46298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46298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46298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46298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46298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46298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46298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46298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46298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46298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46298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46298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46298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46298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46298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46298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46298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44503</v>
      </c>
      <c r="E119" s="1" t="n">
        <v>46298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46298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46298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46298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46298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46298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46298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46298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46298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46298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46298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46298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46298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46298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46298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46298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46298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46298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46298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46298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46298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46298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46298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46298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46298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46298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46298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46298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46298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46298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46298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46298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46298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46298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46298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46298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46298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46298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46298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46298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46298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46298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46298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46298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46298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46298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46298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46298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46298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46298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46298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46298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46298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46298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46298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46298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46298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46298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46298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46298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46298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46298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46298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46298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46298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44656</v>
      </c>
      <c r="E184" s="1" t="n">
        <v>46298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46298</v>
      </c>
      <c r="F185" t="inlineStr">
        <is>
          <t>ÖSTERGÖTLANDS LÄN</t>
        </is>
      </c>
      <c r="G185" t="inlineStr">
        <is>
          <t>FINSPÅNG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45447</v>
      </c>
      <c r="E186" s="1" t="n">
        <v>46298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45103</v>
      </c>
      <c r="E187" s="1" t="n">
        <v>46298</v>
      </c>
      <c r="F187" t="inlineStr">
        <is>
          <t>ÖSTERGÖTLANDS LÄN</t>
        </is>
      </c>
      <c r="G187" t="inlineStr">
        <is>
          <t>FINSPÅNG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46298</v>
      </c>
      <c r="F188" t="inlineStr">
        <is>
          <t>ÖSTERGÖTLANDS LÄN</t>
        </is>
      </c>
      <c r="G188" t="inlineStr">
        <is>
          <t>FINSPÅNG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44898</v>
      </c>
      <c r="E189" s="1" t="n">
        <v>46298</v>
      </c>
      <c r="F189" t="inlineStr">
        <is>
          <t>ÖSTERGÖTLANDS LÄN</t>
        </is>
      </c>
      <c r="G189" t="inlineStr">
        <is>
          <t>FINSPÅNG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44966</v>
      </c>
      <c r="E190" s="1" t="n">
        <v>46298</v>
      </c>
      <c r="F190" t="inlineStr">
        <is>
          <t>ÖSTERGÖTLANDS LÄN</t>
        </is>
      </c>
      <c r="G190" t="inlineStr">
        <is>
          <t>FINSPÅNG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45293</v>
      </c>
      <c r="E191" s="1" t="n">
        <v>46298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45033</v>
      </c>
      <c r="E192" s="1" t="n">
        <v>46298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Naturvårdsverket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46298</v>
      </c>
      <c r="F193" t="inlineStr">
        <is>
          <t>ÖSTERGÖTLANDS LÄN</t>
        </is>
      </c>
      <c r="G193" t="inlineStr">
        <is>
          <t>FINSPÅNG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55812-2021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46298</v>
      </c>
      <c r="F194" t="inlineStr">
        <is>
          <t>ÖSTERGÖTLANDS LÄN</t>
        </is>
      </c>
      <c r="G194" t="inlineStr">
        <is>
          <t>FINSPÅNG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46298</v>
      </c>
      <c r="F195" t="inlineStr">
        <is>
          <t>ÖSTERGÖTLANDS LÄN</t>
        </is>
      </c>
      <c r="G195" t="inlineStr">
        <is>
          <t>FINSPÅNG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46298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46298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46298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Övriga Aktiebolag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44918</v>
      </c>
      <c r="E199" s="1" t="n">
        <v>46298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46298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46298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46298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44677</v>
      </c>
      <c r="E203" s="1" t="n">
        <v>46298</v>
      </c>
      <c r="F203" t="inlineStr">
        <is>
          <t>ÖSTERGÖTLANDS LÄN</t>
        </is>
      </c>
      <c r="G203" t="inlineStr">
        <is>
          <t>FINSPÅNG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46298</v>
      </c>
      <c r="F204" t="inlineStr">
        <is>
          <t>ÖSTERGÖTLANDS LÄN</t>
        </is>
      </c>
      <c r="G204" t="inlineStr">
        <is>
          <t>FINSPÅNG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46298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46298</v>
      </c>
      <c r="F206" t="inlineStr">
        <is>
          <t>ÖSTERGÖTLANDS LÄN</t>
        </is>
      </c>
      <c r="G206" t="inlineStr">
        <is>
          <t>FINSPÅNG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46298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46298</v>
      </c>
      <c r="F208" t="inlineStr">
        <is>
          <t>ÖSTERGÖTLANDS LÄN</t>
        </is>
      </c>
      <c r="G208" t="inlineStr">
        <is>
          <t>FINSPÅNG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44767</v>
      </c>
      <c r="E209" s="1" t="n">
        <v>46298</v>
      </c>
      <c r="F209" t="inlineStr">
        <is>
          <t>ÖSTERGÖTLANDS LÄN</t>
        </is>
      </c>
      <c r="G209" t="inlineStr">
        <is>
          <t>FINSPÅNG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45293</v>
      </c>
      <c r="E210" s="1" t="n">
        <v>46298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46298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45206</v>
      </c>
      <c r="E212" s="1" t="n">
        <v>46298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46298</v>
      </c>
      <c r="F213" t="inlineStr">
        <is>
          <t>ÖSTERGÖTLANDS LÄN</t>
        </is>
      </c>
      <c r="G213" t="inlineStr">
        <is>
          <t>FINSPÅNG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46298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46298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46298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46298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46298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46298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45095</v>
      </c>
      <c r="E220" s="1" t="n">
        <v>46298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44993</v>
      </c>
      <c r="E221" s="1" t="n">
        <v>46298</v>
      </c>
      <c r="F221" t="inlineStr">
        <is>
          <t>ÖSTERGÖTLANDS LÄN</t>
        </is>
      </c>
      <c r="G221" t="inlineStr">
        <is>
          <t>FINSPÅNG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46298</v>
      </c>
      <c r="F222" t="inlineStr">
        <is>
          <t>ÖSTERGÖTLANDS LÄN</t>
        </is>
      </c>
      <c r="G222" t="inlineStr">
        <is>
          <t>FINSPÅNG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46298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46298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46298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46298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46298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46298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46298</v>
      </c>
      <c r="F229" t="inlineStr">
        <is>
          <t>ÖSTERGÖTLANDS LÄN</t>
        </is>
      </c>
      <c r="G229" t="inlineStr">
        <is>
          <t>FINSPÅNG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46298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46298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44844</v>
      </c>
      <c r="E232" s="1" t="n">
        <v>46298</v>
      </c>
      <c r="F232" t="inlineStr">
        <is>
          <t>ÖSTERGÖTLANDS LÄN</t>
        </is>
      </c>
      <c r="G232" t="inlineStr">
        <is>
          <t>FINSPÅNG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46298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46298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46298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46298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46298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46298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46298</v>
      </c>
      <c r="F239" t="inlineStr">
        <is>
          <t>ÖSTERGÖTLANDS LÄN</t>
        </is>
      </c>
      <c r="G239" t="inlineStr">
        <is>
          <t>FINSPÅNG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63321-2021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44508</v>
      </c>
      <c r="E240" s="1" t="n">
        <v>46298</v>
      </c>
      <c r="F240" t="inlineStr">
        <is>
          <t>ÖSTERGÖTLANDS LÄN</t>
        </is>
      </c>
      <c r="G240" t="inlineStr">
        <is>
          <t>FINSPÅNG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46298</v>
      </c>
      <c r="F241" t="inlineStr">
        <is>
          <t>ÖSTERGÖTLANDS LÄN</t>
        </is>
      </c>
      <c r="G241" t="inlineStr">
        <is>
          <t>FINSPÅNG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46298</v>
      </c>
      <c r="F242" t="inlineStr">
        <is>
          <t>ÖSTERGÖTLANDS LÄN</t>
        </is>
      </c>
      <c r="G242" t="inlineStr">
        <is>
          <t>FINSPÅNG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46298</v>
      </c>
      <c r="F243" t="inlineStr">
        <is>
          <t>ÖSTERGÖTLANDS LÄN</t>
        </is>
      </c>
      <c r="G243" t="inlineStr">
        <is>
          <t>FINSPÅNG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46298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46298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46298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46298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46298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46298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Allmännings- och besparingsskogar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46298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46298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46298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45853</v>
      </c>
      <c r="E253" s="1" t="n">
        <v>46298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46298</v>
      </c>
      <c r="F254" t="inlineStr">
        <is>
          <t>ÖSTERGÖTLANDS LÄN</t>
        </is>
      </c>
      <c r="G254" t="inlineStr">
        <is>
          <t>FINSPÅNG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46298</v>
      </c>
      <c r="F255" t="inlineStr">
        <is>
          <t>ÖSTERGÖTLANDS LÄN</t>
        </is>
      </c>
      <c r="G255" t="inlineStr">
        <is>
          <t>FINSPÅNG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46298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46298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46298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46298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46298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46298</v>
      </c>
      <c r="F261" t="inlineStr">
        <is>
          <t>ÖSTERGÖTLANDS LÄN</t>
        </is>
      </c>
      <c r="G261" t="inlineStr">
        <is>
          <t>FINSPÅNG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46298</v>
      </c>
      <c r="F262" t="inlineStr">
        <is>
          <t>ÖSTERGÖTLANDS LÄN</t>
        </is>
      </c>
      <c r="G262" t="inlineStr">
        <is>
          <t>FINSPÅNG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46298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46298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46298</v>
      </c>
      <c r="F265" t="inlineStr">
        <is>
          <t>ÖSTERGÖTLANDS LÄN</t>
        </is>
      </c>
      <c r="G265" t="inlineStr">
        <is>
          <t>FINSPÅNG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46298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46298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46298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46298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46298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46298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46298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46298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46298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45904</v>
      </c>
      <c r="E275" s="1" t="n">
        <v>46298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46298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46298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46298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46298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46298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46298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46298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46298</v>
      </c>
      <c r="F283" t="inlineStr">
        <is>
          <t>ÖSTERGÖTLANDS LÄN</t>
        </is>
      </c>
      <c r="G283" t="inlineStr">
        <is>
          <t>FINSPÅNG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45259</v>
      </c>
      <c r="E284" s="1" t="n">
        <v>46298</v>
      </c>
      <c r="F284" t="inlineStr">
        <is>
          <t>ÖSTERGÖTLANDS LÄN</t>
        </is>
      </c>
      <c r="G284" t="inlineStr">
        <is>
          <t>FINSPÅNG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24328-2025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45797</v>
      </c>
      <c r="E285" s="1" t="n">
        <v>46298</v>
      </c>
      <c r="F285" t="inlineStr">
        <is>
          <t>ÖSTERGÖTLANDS LÄN</t>
        </is>
      </c>
      <c r="G285" t="inlineStr">
        <is>
          <t>FINSPÅNG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46298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46298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Naturvårdsverket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24310-2025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45797</v>
      </c>
      <c r="E288" s="1" t="n">
        <v>46298</v>
      </c>
      <c r="F288" t="inlineStr">
        <is>
          <t>ÖSTERGÖTLANDS LÄN</t>
        </is>
      </c>
      <c r="G288" t="inlineStr">
        <is>
          <t>FINSPÅNG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46298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46298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Naturvårdsverket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46298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46298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46298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46298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46298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46298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46298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46298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Naturvårdsverket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46298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Naturvårdsverket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46298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46298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45800</v>
      </c>
      <c r="E302" s="1" t="n">
        <v>46298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Naturvårdsverket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46298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53821-2022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44880</v>
      </c>
      <c r="E304" s="1" t="n">
        <v>46298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46298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46298</v>
      </c>
      <c r="F306" t="inlineStr">
        <is>
          <t>ÖSTERGÖTLANDS LÄN</t>
        </is>
      </c>
      <c r="G306" t="inlineStr">
        <is>
          <t>FINSPÅNG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46298</v>
      </c>
      <c r="F307" t="inlineStr">
        <is>
          <t>ÖSTERGÖTLANDS LÄN</t>
        </is>
      </c>
      <c r="G307" t="inlineStr">
        <is>
          <t>FINSPÅNG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46298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46298</v>
      </c>
      <c r="F309" t="inlineStr">
        <is>
          <t>ÖSTERGÖTLANDS LÄN</t>
        </is>
      </c>
      <c r="G309" t="inlineStr">
        <is>
          <t>FINSPÅNG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46298</v>
      </c>
      <c r="F310" t="inlineStr">
        <is>
          <t>ÖSTERGÖTLANDS LÄN</t>
        </is>
      </c>
      <c r="G310" t="inlineStr">
        <is>
          <t>FINSPÅNG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46298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46298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Övriga Aktiebolag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46298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47567-2025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45931</v>
      </c>
      <c r="E314" s="1" t="n">
        <v>46298</v>
      </c>
      <c r="F314" t="inlineStr">
        <is>
          <t>ÖSTERGÖTLANDS LÄN</t>
        </is>
      </c>
      <c r="G314" t="inlineStr">
        <is>
          <t>FINSPÅNG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46298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46298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Övriga Aktiebolag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46060</v>
      </c>
      <c r="E317" s="1" t="n">
        <v>46298</v>
      </c>
      <c r="F317" t="inlineStr">
        <is>
          <t>ÖSTERGÖTLANDS LÄN</t>
        </is>
      </c>
      <c r="G317" t="inlineStr">
        <is>
          <t>FINSPÅNG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46298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Övriga Aktiebolag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46298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46298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46298</v>
      </c>
      <c r="F321" t="inlineStr">
        <is>
          <t>ÖSTERGÖTLANDS LÄN</t>
        </is>
      </c>
      <c r="G321" t="inlineStr">
        <is>
          <t>FINSPÅNG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46298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Sveaskog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46298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46298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18134-2023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45040</v>
      </c>
      <c r="E325" s="1" t="n">
        <v>46298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46298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Sveaskog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46298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46298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46298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Sveaskog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46298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45710</v>
      </c>
      <c r="E331" s="1" t="n">
        <v>46298</v>
      </c>
      <c r="F331" t="inlineStr">
        <is>
          <t>ÖSTERGÖTLANDS LÄN</t>
        </is>
      </c>
      <c r="G331" t="inlineStr">
        <is>
          <t>FINSPÅNG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46298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46298</v>
      </c>
      <c r="F333" t="inlineStr">
        <is>
          <t>ÖSTERGÖTLANDS LÄN</t>
        </is>
      </c>
      <c r="G333" t="inlineStr">
        <is>
          <t>FINSPÅNG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45337</v>
      </c>
      <c r="E334" s="1" t="n">
        <v>46298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46298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45935</v>
      </c>
      <c r="E336" s="1" t="n">
        <v>46298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46298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46298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46298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46298</v>
      </c>
      <c r="F340" t="inlineStr">
        <is>
          <t>ÖSTERGÖTLANDS LÄN</t>
        </is>
      </c>
      <c r="G340" t="inlineStr">
        <is>
          <t>FINSPÅNG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46298</v>
      </c>
      <c r="F341" t="inlineStr">
        <is>
          <t>ÖSTERGÖTLANDS LÄN</t>
        </is>
      </c>
      <c r="G341" t="inlineStr">
        <is>
          <t>FINSPÅNG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50395-2025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45944</v>
      </c>
      <c r="E342" s="1" t="n">
        <v>46298</v>
      </c>
      <c r="F342" t="inlineStr">
        <is>
          <t>ÖSTERGÖTLANDS LÄN</t>
        </is>
      </c>
      <c r="G342" t="inlineStr">
        <is>
          <t>FINSPÅNG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46298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46298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44490</v>
      </c>
      <c r="E345" s="1" t="n">
        <v>46298</v>
      </c>
      <c r="F345" t="inlineStr">
        <is>
          <t>ÖSTERGÖTLANDS LÄN</t>
        </is>
      </c>
      <c r="G345" t="inlineStr">
        <is>
          <t>FINSPÅNG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46298</v>
      </c>
      <c r="F346" t="inlineStr">
        <is>
          <t>ÖSTERGÖTLANDS LÄN</t>
        </is>
      </c>
      <c r="G346" t="inlineStr">
        <is>
          <t>FINSPÅNG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45328</v>
      </c>
      <c r="E347" s="1" t="n">
        <v>46298</v>
      </c>
      <c r="F347" t="inlineStr">
        <is>
          <t>ÖSTERGÖTLANDS LÄN</t>
        </is>
      </c>
      <c r="G347" t="inlineStr">
        <is>
          <t>FINSPÅNG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46298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46298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46298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46298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46298</v>
      </c>
      <c r="F352" t="inlineStr">
        <is>
          <t>ÖSTERGÖTLANDS LÄN</t>
        </is>
      </c>
      <c r="G352" t="inlineStr">
        <is>
          <t>FINSPÅNG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46298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46298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46298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46298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44949</v>
      </c>
      <c r="E357" s="1" t="n">
        <v>46298</v>
      </c>
      <c r="F357" t="inlineStr">
        <is>
          <t>ÖSTERGÖTLANDS LÄN</t>
        </is>
      </c>
      <c r="G357" t="inlineStr">
        <is>
          <t>FINSPÅNG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44860</v>
      </c>
      <c r="E358" s="1" t="n">
        <v>46298</v>
      </c>
      <c r="F358" t="inlineStr">
        <is>
          <t>ÖSTERGÖTLANDS LÄN</t>
        </is>
      </c>
      <c r="G358" t="inlineStr">
        <is>
          <t>FINSPÅNG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46298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45812</v>
      </c>
      <c r="E360" s="1" t="n">
        <v>46298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46298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Naturvårdsverket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46298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45257</v>
      </c>
      <c r="E363" s="1" t="n">
        <v>46298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46298</v>
      </c>
      <c r="F364" t="inlineStr">
        <is>
          <t>ÖSTERGÖTLANDS LÄN</t>
        </is>
      </c>
      <c r="G364" t="inlineStr">
        <is>
          <t>FINSPÅNG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46085</v>
      </c>
      <c r="E365" s="1" t="n">
        <v>46298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46298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46298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46298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46298</v>
      </c>
      <c r="F369" t="inlineStr">
        <is>
          <t>ÖSTERGÖTLANDS LÄN</t>
        </is>
      </c>
      <c r="G369" t="inlineStr">
        <is>
          <t>FINSPÅNG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46298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46298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45178</v>
      </c>
      <c r="E372" s="1" t="n">
        <v>46298</v>
      </c>
      <c r="F372" t="inlineStr">
        <is>
          <t>ÖSTERGÖTLANDS LÄN</t>
        </is>
      </c>
      <c r="G372" t="inlineStr">
        <is>
          <t>FINSPÅNG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46298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62421-2021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44503</v>
      </c>
      <c r="E374" s="1" t="n">
        <v>46298</v>
      </c>
      <c r="F374" t="inlineStr">
        <is>
          <t>ÖSTERGÖTLANDS LÄN</t>
        </is>
      </c>
      <c r="G374" t="inlineStr">
        <is>
          <t>FINSPÅNG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45125</v>
      </c>
      <c r="E375" s="1" t="n">
        <v>46298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45421</v>
      </c>
      <c r="E376" s="1" t="n">
        <v>46298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46298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46298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45206</v>
      </c>
      <c r="E379" s="1" t="n">
        <v>46298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46298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45020</v>
      </c>
      <c r="E381" s="1" t="n">
        <v>46298</v>
      </c>
      <c r="F381" t="inlineStr">
        <is>
          <t>ÖSTERGÖTLANDS LÄN</t>
        </is>
      </c>
      <c r="G381" t="inlineStr">
        <is>
          <t>FINSPÅNG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44840</v>
      </c>
      <c r="E382" s="1" t="n">
        <v>46298</v>
      </c>
      <c r="F382" t="inlineStr">
        <is>
          <t>ÖSTERGÖTLANDS LÄN</t>
        </is>
      </c>
      <c r="G382" t="inlineStr">
        <is>
          <t>FINSPÅNG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46298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65742-2021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44516</v>
      </c>
      <c r="E384" s="1" t="n">
        <v>46298</v>
      </c>
      <c r="F384" t="inlineStr">
        <is>
          <t>ÖSTERGÖTLANDS LÄN</t>
        </is>
      </c>
      <c r="G384" t="inlineStr">
        <is>
          <t>FINSPÅNG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46298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46298</v>
      </c>
      <c r="F386" t="inlineStr">
        <is>
          <t>ÖSTERGÖTLANDS LÄN</t>
        </is>
      </c>
      <c r="G386" t="inlineStr">
        <is>
          <t>FINSPÅNG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44607</v>
      </c>
      <c r="E387" s="1" t="n">
        <v>46298</v>
      </c>
      <c r="F387" t="inlineStr">
        <is>
          <t>ÖSTERGÖTLANDS LÄN</t>
        </is>
      </c>
      <c r="G387" t="inlineStr">
        <is>
          <t>FINSPÅNG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25679-2024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46298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45969</v>
      </c>
      <c r="E389" s="1" t="n">
        <v>46298</v>
      </c>
      <c r="F389" t="inlineStr">
        <is>
          <t>ÖSTERGÖTLANDS LÄN</t>
        </is>
      </c>
      <c r="G389" t="inlineStr">
        <is>
          <t>FINSPÅNG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46298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46298</v>
      </c>
      <c r="F391" t="inlineStr">
        <is>
          <t>ÖSTERGÖTLANDS LÄN</t>
        </is>
      </c>
      <c r="G391" t="inlineStr">
        <is>
          <t>FINSPÅNG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46298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46298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46298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39655-2023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45167</v>
      </c>
      <c r="E395" s="1" t="n">
        <v>46298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Kyrkan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44767</v>
      </c>
      <c r="E396" s="1" t="n">
        <v>46298</v>
      </c>
      <c r="F396" t="inlineStr">
        <is>
          <t>ÖSTERGÖTLANDS LÄN</t>
        </is>
      </c>
      <c r="G396" t="inlineStr">
        <is>
          <t>FINSPÅNG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46298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46298</v>
      </c>
      <c r="F398" t="inlineStr">
        <is>
          <t>ÖSTERGÖTLANDS LÄN</t>
        </is>
      </c>
      <c r="G398" t="inlineStr">
        <is>
          <t>FINSPÅNG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46298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44957</v>
      </c>
      <c r="E400" s="1" t="n">
        <v>46298</v>
      </c>
      <c r="F400" t="inlineStr">
        <is>
          <t>ÖSTERGÖTLANDS LÄN</t>
        </is>
      </c>
      <c r="G400" t="inlineStr">
        <is>
          <t>FINSPÅNG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15473-2022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44662</v>
      </c>
      <c r="E401" s="1" t="n">
        <v>46298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46298</v>
      </c>
      <c r="F402" t="inlineStr">
        <is>
          <t>ÖSTERGÖTLANDS LÄN</t>
        </is>
      </c>
      <c r="G402" t="inlineStr">
        <is>
          <t>FINSPÅNG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46298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46298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46298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46298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45601</v>
      </c>
      <c r="E407" s="1" t="n">
        <v>46298</v>
      </c>
      <c r="F407" t="inlineStr">
        <is>
          <t>ÖSTERGÖTLANDS LÄN</t>
        </is>
      </c>
      <c r="G407" t="inlineStr">
        <is>
          <t>FINSPÅNG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44914</v>
      </c>
      <c r="E408" s="1" t="n">
        <v>46298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46298</v>
      </c>
      <c r="F409" t="inlineStr">
        <is>
          <t>ÖSTERGÖTLANDS LÄN</t>
        </is>
      </c>
      <c r="G409" t="inlineStr">
        <is>
          <t>FINSPÅNG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46298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46298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44536</v>
      </c>
      <c r="E412" s="1" t="n">
        <v>46298</v>
      </c>
      <c r="F412" t="inlineStr">
        <is>
          <t>ÖSTERGÖTLANDS LÄN</t>
        </is>
      </c>
      <c r="G412" t="inlineStr">
        <is>
          <t>FINSPÅNG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46298</v>
      </c>
      <c r="F413" t="inlineStr">
        <is>
          <t>ÖSTERGÖTLANDS LÄN</t>
        </is>
      </c>
      <c r="G413" t="inlineStr">
        <is>
          <t>FINSPÅNG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46298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45983</v>
      </c>
      <c r="E415" s="1" t="n">
        <v>46298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46298</v>
      </c>
      <c r="F416" t="inlineStr">
        <is>
          <t>ÖSTERGÖTLANDS LÄN</t>
        </is>
      </c>
      <c r="G416" t="inlineStr">
        <is>
          <t>FINSPÅNG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46298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46298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46298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46298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46298</v>
      </c>
      <c r="F421" t="inlineStr">
        <is>
          <t>ÖSTERGÖTLANDS LÄN</t>
        </is>
      </c>
      <c r="G421" t="inlineStr">
        <is>
          <t>FINSPÅNG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46298</v>
      </c>
      <c r="F422" t="inlineStr">
        <is>
          <t>ÖSTERGÖTLANDS LÄN</t>
        </is>
      </c>
      <c r="G422" t="inlineStr">
        <is>
          <t>FINSPÅNG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46298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46298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46298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46298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46298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46298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46298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46298</v>
      </c>
      <c r="F430" t="inlineStr">
        <is>
          <t>ÖSTERGÖTLANDS LÄN</t>
        </is>
      </c>
      <c r="G430" t="inlineStr">
        <is>
          <t>FINSPÅNG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46298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46298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45468</v>
      </c>
      <c r="E433" s="1" t="n">
        <v>46298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46298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46298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46298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Sveaskog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46298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43221-2022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44833</v>
      </c>
      <c r="E438" s="1" t="n">
        <v>46298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46298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44817</v>
      </c>
      <c r="E440" s="1" t="n">
        <v>46298</v>
      </c>
      <c r="F440" t="inlineStr">
        <is>
          <t>ÖSTERGÖTLANDS LÄN</t>
        </is>
      </c>
      <c r="G440" t="inlineStr">
        <is>
          <t>FINSPÅNG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46298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46298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46298</v>
      </c>
      <c r="F443" t="inlineStr">
        <is>
          <t>ÖSTERGÖTLANDS LÄN</t>
        </is>
      </c>
      <c r="G443" t="inlineStr">
        <is>
          <t>FINSPÅNG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46298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46298</v>
      </c>
      <c r="F445" t="inlineStr">
        <is>
          <t>ÖSTERGÖTLANDS LÄN</t>
        </is>
      </c>
      <c r="G445" t="inlineStr">
        <is>
          <t>FINSPÅNG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46298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39896-2023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46298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45467</v>
      </c>
      <c r="E448" s="1" t="n">
        <v>46298</v>
      </c>
      <c r="F448" t="inlineStr">
        <is>
          <t>ÖSTERGÖTLANDS LÄN</t>
        </is>
      </c>
      <c r="G448" t="inlineStr">
        <is>
          <t>FINSPÅNG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46298</v>
      </c>
      <c r="F449" t="inlineStr">
        <is>
          <t>ÖSTERGÖTLANDS LÄN</t>
        </is>
      </c>
      <c r="G449" t="inlineStr">
        <is>
          <t>FINSPÅNG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46298</v>
      </c>
      <c r="F450" t="inlineStr">
        <is>
          <t>ÖSTERGÖTLANDS LÄN</t>
        </is>
      </c>
      <c r="G450" t="inlineStr">
        <is>
          <t>FINSPÅNG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45600</v>
      </c>
      <c r="E451" s="1" t="n">
        <v>46298</v>
      </c>
      <c r="F451" t="inlineStr">
        <is>
          <t>ÖSTERGÖTLANDS LÄN</t>
        </is>
      </c>
      <c r="G451" t="inlineStr">
        <is>
          <t>FINSPÅNG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46298</v>
      </c>
      <c r="F452" t="inlineStr">
        <is>
          <t>ÖSTERGÖTLANDS LÄN</t>
        </is>
      </c>
      <c r="G452" t="inlineStr">
        <is>
          <t>FINSPÅNG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46298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46298</v>
      </c>
      <c r="F454" t="inlineStr">
        <is>
          <t>ÖSTERGÖTLANDS LÄN</t>
        </is>
      </c>
      <c r="G454" t="inlineStr">
        <is>
          <t>FINSPÅNG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46298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46298</v>
      </c>
      <c r="F456" t="inlineStr">
        <is>
          <t>ÖSTERGÖTLANDS LÄN</t>
        </is>
      </c>
      <c r="G456" t="inlineStr">
        <is>
          <t>FINSPÅNG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46298</v>
      </c>
      <c r="F457" t="inlineStr">
        <is>
          <t>ÖSTERGÖTLANDS LÄN</t>
        </is>
      </c>
      <c r="G457" t="inlineStr">
        <is>
          <t>FINSPÅNG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46298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46298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46298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46298</v>
      </c>
      <c r="F461" t="inlineStr">
        <is>
          <t>ÖSTERGÖTLANDS LÄN</t>
        </is>
      </c>
      <c r="G461" t="inlineStr">
        <is>
          <t>FINSPÅNG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46298</v>
      </c>
      <c r="F462" t="inlineStr">
        <is>
          <t>ÖSTERGÖTLANDS LÄN</t>
        </is>
      </c>
      <c r="G462" t="inlineStr">
        <is>
          <t>FINSPÅNG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46298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46298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45719</v>
      </c>
      <c r="E465" s="1" t="n">
        <v>46298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45379</v>
      </c>
      <c r="E466" s="1" t="n">
        <v>46298</v>
      </c>
      <c r="F466" t="inlineStr">
        <is>
          <t>ÖSTERGÖTLANDS LÄN</t>
        </is>
      </c>
      <c r="G466" t="inlineStr">
        <is>
          <t>FINSPÅNG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46298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45040</v>
      </c>
      <c r="E468" s="1" t="n">
        <v>46298</v>
      </c>
      <c r="F468" t="inlineStr">
        <is>
          <t>ÖSTERGÖTLANDS LÄN</t>
        </is>
      </c>
      <c r="G468" t="inlineStr">
        <is>
          <t>FINSPÅNG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46298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23249-2023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45075</v>
      </c>
      <c r="E470" s="1" t="n">
        <v>46298</v>
      </c>
      <c r="F470" t="inlineStr">
        <is>
          <t>ÖSTERGÖTLANDS LÄN</t>
        </is>
      </c>
      <c r="G470" t="inlineStr">
        <is>
          <t>FINSPÅNG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46298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44725</v>
      </c>
      <c r="E472" s="1" t="n">
        <v>46298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46298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45055</v>
      </c>
      <c r="E474" s="1" t="n">
        <v>46298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46298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46298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46298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46298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46298</v>
      </c>
      <c r="F479" t="inlineStr">
        <is>
          <t>ÖSTERGÖTLANDS LÄN</t>
        </is>
      </c>
      <c r="G479" t="inlineStr">
        <is>
          <t>FINSPÅNG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45133</v>
      </c>
      <c r="E480" s="1" t="n">
        <v>46298</v>
      </c>
      <c r="F480" t="inlineStr">
        <is>
          <t>ÖSTERGÖTLANDS LÄN</t>
        </is>
      </c>
      <c r="G480" t="inlineStr">
        <is>
          <t>FINSPÅNG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58984-2022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46298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39114-2024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45548</v>
      </c>
      <c r="E482" s="1" t="n">
        <v>46298</v>
      </c>
      <c r="F482" t="inlineStr">
        <is>
          <t>ÖSTERGÖTLANDS LÄN</t>
        </is>
      </c>
      <c r="G482" t="inlineStr">
        <is>
          <t>FINSPÅNG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46298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46298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46298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45008</v>
      </c>
      <c r="E486" s="1" t="n">
        <v>46298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54609-2021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44473</v>
      </c>
      <c r="E487" s="1" t="n">
        <v>46298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45776</v>
      </c>
      <c r="E488" s="1" t="n">
        <v>46298</v>
      </c>
      <c r="F488" t="inlineStr">
        <is>
          <t>ÖSTERGÖTLANDS LÄN</t>
        </is>
      </c>
      <c r="G488" t="inlineStr">
        <is>
          <t>FINSPÅNG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7269-2024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45344</v>
      </c>
      <c r="E489" s="1" t="n">
        <v>46298</v>
      </c>
      <c r="F489" t="inlineStr">
        <is>
          <t>ÖSTERGÖTLANDS LÄN</t>
        </is>
      </c>
      <c r="G489" t="inlineStr">
        <is>
          <t>FINSPÅNG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46298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46298</v>
      </c>
      <c r="F491" t="inlineStr">
        <is>
          <t>ÖSTERGÖTLANDS LÄN</t>
        </is>
      </c>
      <c r="G491" t="inlineStr">
        <is>
          <t>FINSPÅNG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44634</v>
      </c>
      <c r="E492" s="1" t="n">
        <v>46298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46298</v>
      </c>
      <c r="F493" t="inlineStr">
        <is>
          <t>ÖSTERGÖTLANDS LÄN</t>
        </is>
      </c>
      <c r="G493" t="inlineStr">
        <is>
          <t>FINSPÅNG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45854</v>
      </c>
      <c r="E494" s="1" t="n">
        <v>46298</v>
      </c>
      <c r="F494" t="inlineStr">
        <is>
          <t>ÖSTERGÖTLANDS LÄN</t>
        </is>
      </c>
      <c r="G494" t="inlineStr">
        <is>
          <t>FINSPÅNG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46298</v>
      </c>
      <c r="F495" t="inlineStr">
        <is>
          <t>ÖSTERGÖTLANDS LÄN</t>
        </is>
      </c>
      <c r="G495" t="inlineStr">
        <is>
          <t>FINSPÅNG</t>
        </is>
      </c>
      <c r="I495" t="n">
        <v>14.6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45854</v>
      </c>
      <c r="E496" s="1" t="n">
        <v>46298</v>
      </c>
      <c r="F496" t="inlineStr">
        <is>
          <t>ÖSTERGÖTLANDS LÄN</t>
        </is>
      </c>
      <c r="G496" t="inlineStr">
        <is>
          <t>FINSPÅNG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46298</v>
      </c>
      <c r="F497" t="inlineStr">
        <is>
          <t>ÖSTERGÖTLANDS LÄN</t>
        </is>
      </c>
      <c r="G497" t="inlineStr">
        <is>
          <t>FINSPÅNG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46298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45853</v>
      </c>
      <c r="E499" s="1" t="n">
        <v>46298</v>
      </c>
      <c r="F499" t="inlineStr">
        <is>
          <t>ÖSTERGÖTLANDS LÄN</t>
        </is>
      </c>
      <c r="G499" t="inlineStr">
        <is>
          <t>FINSPÅNG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46298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15824-2022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44664</v>
      </c>
      <c r="E501" s="1" t="n">
        <v>46298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46298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46298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44946</v>
      </c>
      <c r="E504" s="1" t="n">
        <v>46298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46298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44944</v>
      </c>
      <c r="E506" s="1" t="n">
        <v>46298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46298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45247</v>
      </c>
      <c r="E508" s="1" t="n">
        <v>46298</v>
      </c>
      <c r="F508" t="inlineStr">
        <is>
          <t>ÖSTERGÖTLANDS LÄN</t>
        </is>
      </c>
      <c r="G508" t="inlineStr">
        <is>
          <t>FINSPÅNG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45095</v>
      </c>
      <c r="E509" s="1" t="n">
        <v>46298</v>
      </c>
      <c r="F509" t="inlineStr">
        <is>
          <t>ÖSTERGÖTLANDS LÄN</t>
        </is>
      </c>
      <c r="G509" t="inlineStr">
        <is>
          <t>FINSPÅNG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45853</v>
      </c>
      <c r="E510" s="1" t="n">
        <v>46298</v>
      </c>
      <c r="F510" t="inlineStr">
        <is>
          <t>ÖSTERGÖTLANDS LÄN</t>
        </is>
      </c>
      <c r="G510" t="inlineStr">
        <is>
          <t>FINSPÅNG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46298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46298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Sveaskog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46298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44767</v>
      </c>
      <c r="E514" s="1" t="n">
        <v>46298</v>
      </c>
      <c r="F514" t="inlineStr">
        <is>
          <t>ÖSTERGÖTLANDS LÄN</t>
        </is>
      </c>
      <c r="G514" t="inlineStr">
        <is>
          <t>FINSPÅNG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44964</v>
      </c>
      <c r="E515" s="1" t="n">
        <v>46298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44759</v>
      </c>
      <c r="E516" s="1" t="n">
        <v>46298</v>
      </c>
      <c r="F516" t="inlineStr">
        <is>
          <t>ÖSTERGÖTLANDS LÄN</t>
        </is>
      </c>
      <c r="G516" t="inlineStr">
        <is>
          <t>FINSPÅNG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46298</v>
      </c>
      <c r="F517" t="inlineStr">
        <is>
          <t>ÖSTERGÖTLANDS LÄN</t>
        </is>
      </c>
      <c r="G517" t="inlineStr">
        <is>
          <t>FINSPÅNG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45831</v>
      </c>
      <c r="E518" s="1" t="n">
        <v>46298</v>
      </c>
      <c r="F518" t="inlineStr">
        <is>
          <t>ÖSTERGÖTLANDS LÄN</t>
        </is>
      </c>
      <c r="G518" t="inlineStr">
        <is>
          <t>FINSPÅNG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44617</v>
      </c>
      <c r="E519" s="1" t="n">
        <v>46298</v>
      </c>
      <c r="F519" t="inlineStr">
        <is>
          <t>ÖSTERGÖTLANDS LÄN</t>
        </is>
      </c>
      <c r="G519" t="inlineStr">
        <is>
          <t>FINSPÅNG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46298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44937</v>
      </c>
      <c r="E521" s="1" t="n">
        <v>46298</v>
      </c>
      <c r="F521" t="inlineStr">
        <is>
          <t>ÖSTERGÖTLANDS LÄN</t>
        </is>
      </c>
      <c r="G521" t="inlineStr">
        <is>
          <t>FINSPÅNG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46298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44993</v>
      </c>
      <c r="E523" s="1" t="n">
        <v>46298</v>
      </c>
      <c r="F523" t="inlineStr">
        <is>
          <t>ÖSTERGÖTLANDS LÄN</t>
        </is>
      </c>
      <c r="G523" t="inlineStr">
        <is>
          <t>FINSPÅNG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45095</v>
      </c>
      <c r="E524" s="1" t="n">
        <v>46298</v>
      </c>
      <c r="F524" t="inlineStr">
        <is>
          <t>ÖSTERGÖTLANDS LÄN</t>
        </is>
      </c>
      <c r="G524" t="inlineStr">
        <is>
          <t>FINSPÅNG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44564</v>
      </c>
      <c r="E525" s="1" t="n">
        <v>46298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46298</v>
      </c>
      <c r="F526" t="inlineStr">
        <is>
          <t>ÖSTERGÖTLANDS LÄN</t>
        </is>
      </c>
      <c r="G526" t="inlineStr">
        <is>
          <t>FINSPÅNG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46298</v>
      </c>
      <c r="F527" t="inlineStr">
        <is>
          <t>ÖSTERGÖTLANDS LÄN</t>
        </is>
      </c>
      <c r="G527" t="inlineStr">
        <is>
          <t>FINSPÅNG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45609</v>
      </c>
      <c r="E528" s="1" t="n">
        <v>46298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46298</v>
      </c>
      <c r="F529" t="inlineStr">
        <is>
          <t>ÖSTERGÖTLANDS LÄN</t>
        </is>
      </c>
      <c r="G529" t="inlineStr">
        <is>
          <t>FINSPÅNG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46298</v>
      </c>
      <c r="F530" t="inlineStr">
        <is>
          <t>ÖSTERGÖTLANDS LÄN</t>
        </is>
      </c>
      <c r="G530" t="inlineStr">
        <is>
          <t>FINSPÅNG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44774</v>
      </c>
      <c r="E531" s="1" t="n">
        <v>46298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45744</v>
      </c>
      <c r="E532" s="1" t="n">
        <v>46298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Naturvårdsverket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46298</v>
      </c>
      <c r="F533" t="inlineStr">
        <is>
          <t>ÖSTERGÖTLANDS LÄN</t>
        </is>
      </c>
      <c r="G533" t="inlineStr">
        <is>
          <t>FINSPÅNG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28880-2025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45820</v>
      </c>
      <c r="E534" s="1" t="n">
        <v>46298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45013</v>
      </c>
      <c r="E535" s="1" t="n">
        <v>46298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45870</v>
      </c>
      <c r="E536" s="1" t="n">
        <v>46298</v>
      </c>
      <c r="F536" t="inlineStr">
        <is>
          <t>ÖSTERGÖTLANDS LÄN</t>
        </is>
      </c>
      <c r="G536" t="inlineStr">
        <is>
          <t>FINSPÅNG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45688</v>
      </c>
      <c r="E537" s="1" t="n">
        <v>46298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45428</v>
      </c>
      <c r="E538" s="1" t="n">
        <v>46298</v>
      </c>
      <c r="F538" t="inlineStr">
        <is>
          <t>ÖSTERGÖTLANDS LÄN</t>
        </is>
      </c>
      <c r="G538" t="inlineStr">
        <is>
          <t>FINSPÅNG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46298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46298</v>
      </c>
      <c r="F540" t="inlineStr">
        <is>
          <t>ÖSTERGÖTLANDS LÄN</t>
        </is>
      </c>
      <c r="G540" t="inlineStr">
        <is>
          <t>FINSPÅNG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46298</v>
      </c>
      <c r="F541" t="inlineStr">
        <is>
          <t>ÖSTERGÖTLANDS LÄN</t>
        </is>
      </c>
      <c r="G541" t="inlineStr">
        <is>
          <t>FINSPÅNG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23724-2023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45077</v>
      </c>
      <c r="E542" s="1" t="n">
        <v>46298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46298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Kyrkan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45068</v>
      </c>
      <c r="E544" s="1" t="n">
        <v>46298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50811-2022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44867</v>
      </c>
      <c r="E545" s="1" t="n">
        <v>46298</v>
      </c>
      <c r="F545" t="inlineStr">
        <is>
          <t>ÖSTERGÖTLANDS LÄN</t>
        </is>
      </c>
      <c r="G545" t="inlineStr">
        <is>
          <t>FINSPÅNG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46298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54923-2022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46298</v>
      </c>
      <c r="F547" t="inlineStr">
        <is>
          <t>ÖSTERGÖTLANDS LÄN</t>
        </is>
      </c>
      <c r="G547" t="inlineStr">
        <is>
          <t>FINSPÅNG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46298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46298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64408-2023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45280</v>
      </c>
      <c r="E550" s="1" t="n">
        <v>46298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Övriga Aktiebolag</t>
        </is>
      </c>
      <c r="I550" t="n">
        <v>13.6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46298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46298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Kyrkan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46298</v>
      </c>
      <c r="F553" t="inlineStr">
        <is>
          <t>ÖSTERGÖTLANDS LÄN</t>
        </is>
      </c>
      <c r="G553" t="inlineStr">
        <is>
          <t>FINSPÅNG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46298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46298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46298</v>
      </c>
      <c r="F556" t="inlineStr">
        <is>
          <t>ÖSTERGÖTLANDS LÄN</t>
        </is>
      </c>
      <c r="G556" t="inlineStr">
        <is>
          <t>FINSPÅNG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45709</v>
      </c>
      <c r="E557" s="1" t="n">
        <v>46298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22938-2026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46298</v>
      </c>
      <c r="F558" t="inlineStr">
        <is>
          <t>ÖSTERGÖTLANDS LÄN</t>
        </is>
      </c>
      <c r="G558" t="inlineStr">
        <is>
          <t>FINSPÅNG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11950-2023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44995</v>
      </c>
      <c r="E559" s="1" t="n">
        <v>46298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46298</v>
      </c>
      <c r="F560" t="inlineStr">
        <is>
          <t>ÖSTERGÖTLANDS LÄN</t>
        </is>
      </c>
      <c r="G560" t="inlineStr">
        <is>
          <t>FINSPÅNG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46298</v>
      </c>
      <c r="F561" t="inlineStr">
        <is>
          <t>ÖSTERGÖTLANDS LÄN</t>
        </is>
      </c>
      <c r="G561" t="inlineStr">
        <is>
          <t>FINSPÅNG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53572-2023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45230</v>
      </c>
      <c r="E562" s="1" t="n">
        <v>46298</v>
      </c>
      <c r="F562" t="inlineStr">
        <is>
          <t>ÖSTERGÖTLANDS LÄN</t>
        </is>
      </c>
      <c r="G562" t="inlineStr">
        <is>
          <t>FINSPÅNG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45040</v>
      </c>
      <c r="E563" s="1" t="n">
        <v>46298</v>
      </c>
      <c r="F563" t="inlineStr">
        <is>
          <t>ÖSTERGÖTLANDS LÄN</t>
        </is>
      </c>
      <c r="G563" t="inlineStr">
        <is>
          <t>FINSPÅNG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46298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46298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53246-2022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44876</v>
      </c>
      <c r="E566" s="1" t="n">
        <v>46298</v>
      </c>
      <c r="F566" t="inlineStr">
        <is>
          <t>ÖSTERGÖTLANDS LÄN</t>
        </is>
      </c>
      <c r="G566" t="inlineStr">
        <is>
          <t>FINSPÅNG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45179</v>
      </c>
      <c r="E567" s="1" t="n">
        <v>46298</v>
      </c>
      <c r="F567" t="inlineStr">
        <is>
          <t>ÖSTERGÖTLANDS LÄN</t>
        </is>
      </c>
      <c r="G567" t="inlineStr">
        <is>
          <t>FINSPÅNG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46298</v>
      </c>
      <c r="F568" t="inlineStr">
        <is>
          <t>ÖSTERGÖTLANDS LÄN</t>
        </is>
      </c>
      <c r="G568" t="inlineStr">
        <is>
          <t>FINSPÅNG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45709</v>
      </c>
      <c r="E569" s="1" t="n">
        <v>46298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46298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46298</v>
      </c>
      <c r="F571" t="inlineStr">
        <is>
          <t>ÖSTERGÖTLANDS LÄN</t>
        </is>
      </c>
      <c r="G571" t="inlineStr">
        <is>
          <t>FINSPÅNG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45309</v>
      </c>
      <c r="E572" s="1" t="n">
        <v>46298</v>
      </c>
      <c r="F572" t="inlineStr">
        <is>
          <t>ÖSTERGÖTLANDS LÄN</t>
        </is>
      </c>
      <c r="G572" t="inlineStr">
        <is>
          <t>FINSPÅNG</t>
        </is>
      </c>
      <c r="I572" t="n">
        <v>15.1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46298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46298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46298</v>
      </c>
      <c r="F575" t="inlineStr">
        <is>
          <t>ÖSTERGÖTLANDS LÄN</t>
        </is>
      </c>
      <c r="G575" t="inlineStr">
        <is>
          <t>FINSPÅNG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45881</v>
      </c>
      <c r="E576" s="1" t="n">
        <v>46298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Naturvårdsverket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46298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45013</v>
      </c>
      <c r="E578" s="1" t="n">
        <v>46298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44981</v>
      </c>
      <c r="E579" s="1" t="n">
        <v>46298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611-2023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44930</v>
      </c>
      <c r="E580" s="1" t="n">
        <v>46298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46298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46298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46298</v>
      </c>
      <c r="F583" t="inlineStr">
        <is>
          <t>ÖSTERGÖTLANDS LÄN</t>
        </is>
      </c>
      <c r="G583" t="inlineStr">
        <is>
          <t>FINSPÅNG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46298</v>
      </c>
      <c r="F584" t="inlineStr">
        <is>
          <t>ÖSTERGÖTLANDS LÄN</t>
        </is>
      </c>
      <c r="G584" t="inlineStr">
        <is>
          <t>FINSPÅNG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46298</v>
      </c>
      <c r="F585" t="inlineStr">
        <is>
          <t>ÖSTERGÖTLANDS LÄN</t>
        </is>
      </c>
      <c r="G585" t="inlineStr">
        <is>
          <t>FINSPÅNG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73260-2021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44550</v>
      </c>
      <c r="E586" s="1" t="n">
        <v>46298</v>
      </c>
      <c r="F586" t="inlineStr">
        <is>
          <t>ÖSTERGÖTLANDS LÄN</t>
        </is>
      </c>
      <c r="G586" t="inlineStr">
        <is>
          <t>FINSPÅNG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45086</v>
      </c>
      <c r="E587" s="1" t="n">
        <v>46298</v>
      </c>
      <c r="F587" t="inlineStr">
        <is>
          <t>ÖSTERGÖTLANDS LÄN</t>
        </is>
      </c>
      <c r="G587" t="inlineStr">
        <is>
          <t>FINSPÅNG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45042</v>
      </c>
      <c r="E588" s="1" t="n">
        <v>46298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18494-2023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45042</v>
      </c>
      <c r="E589" s="1" t="n">
        <v>46298</v>
      </c>
      <c r="F589" t="inlineStr">
        <is>
          <t>ÖSTERGÖTLANDS LÄN</t>
        </is>
      </c>
      <c r="G589" t="inlineStr">
        <is>
          <t>FINSPÅNG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44939</v>
      </c>
      <c r="E590" s="1" t="n">
        <v>46298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46298</v>
      </c>
      <c r="F591" t="inlineStr">
        <is>
          <t>ÖSTERGÖTLANDS LÄN</t>
        </is>
      </c>
      <c r="G591" t="inlineStr">
        <is>
          <t>FINSPÅNG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25420-2022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44732</v>
      </c>
      <c r="E592" s="1" t="n">
        <v>46298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18585-2024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46298</v>
      </c>
      <c r="F593" t="inlineStr">
        <is>
          <t>ÖSTERGÖTLANDS LÄN</t>
        </is>
      </c>
      <c r="G593" t="inlineStr">
        <is>
          <t>FINSPÅNG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45177</v>
      </c>
      <c r="E594" s="1" t="n">
        <v>46298</v>
      </c>
      <c r="F594" t="inlineStr">
        <is>
          <t>ÖSTERGÖTLANDS LÄN</t>
        </is>
      </c>
      <c r="G594" t="inlineStr">
        <is>
          <t>FINSPÅNG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46298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46298</v>
      </c>
      <c r="F596" t="inlineStr">
        <is>
          <t>ÖSTERGÖTLANDS LÄN</t>
        </is>
      </c>
      <c r="G596" t="inlineStr">
        <is>
          <t>FINSPÅNG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45678</v>
      </c>
      <c r="E597" s="1" t="n">
        <v>46298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46298</v>
      </c>
      <c r="F598" t="inlineStr">
        <is>
          <t>ÖSTERGÖTLANDS LÄN</t>
        </is>
      </c>
      <c r="G598" t="inlineStr">
        <is>
          <t>FINSPÅNG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46298</v>
      </c>
      <c r="F599" t="inlineStr">
        <is>
          <t>ÖSTERGÖTLANDS LÄN</t>
        </is>
      </c>
      <c r="G599" t="inlineStr">
        <is>
          <t>FINSPÅNG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46298</v>
      </c>
      <c r="F600" t="inlineStr">
        <is>
          <t>ÖSTERGÖTLANDS LÄN</t>
        </is>
      </c>
      <c r="G600" t="inlineStr">
        <is>
          <t>FINSPÅNG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46298</v>
      </c>
      <c r="F601" t="inlineStr">
        <is>
          <t>ÖSTERGÖTLANDS LÄN</t>
        </is>
      </c>
      <c r="G601" t="inlineStr">
        <is>
          <t>FINSPÅNG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46298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46298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Kyrkan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44642</v>
      </c>
      <c r="E604" s="1" t="n">
        <v>46298</v>
      </c>
      <c r="F604" t="inlineStr">
        <is>
          <t>ÖSTERGÖTLANDS LÄN</t>
        </is>
      </c>
      <c r="G604" t="inlineStr">
        <is>
          <t>FINSPÅNG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26905-2026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46185</v>
      </c>
      <c r="E605" s="1" t="n">
        <v>46298</v>
      </c>
      <c r="F605" t="inlineStr">
        <is>
          <t>ÖSTERGÖTLANDS LÄN</t>
        </is>
      </c>
      <c r="G605" t="inlineStr">
        <is>
          <t>FINSPÅNG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46298</v>
      </c>
      <c r="F606" t="inlineStr">
        <is>
          <t>ÖSTERGÖTLANDS LÄN</t>
        </is>
      </c>
      <c r="G606" t="inlineStr">
        <is>
          <t>FINSPÅNG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27369-2026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46188</v>
      </c>
      <c r="E607" s="1" t="n">
        <v>46298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46298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45456</v>
      </c>
      <c r="E609" s="1" t="n">
        <v>46298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44749</v>
      </c>
      <c r="E610" s="1" t="n">
        <v>46298</v>
      </c>
      <c r="F610" t="inlineStr">
        <is>
          <t>ÖSTERGÖTLANDS LÄN</t>
        </is>
      </c>
      <c r="G610" t="inlineStr">
        <is>
          <t>FINSPÅNG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46298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46298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46298</v>
      </c>
      <c r="F613" t="inlineStr">
        <is>
          <t>ÖSTERGÖTLANDS LÄN</t>
        </is>
      </c>
      <c r="G613" t="inlineStr">
        <is>
          <t>FINSPÅNG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46298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46298</v>
      </c>
      <c r="F615" t="inlineStr">
        <is>
          <t>ÖSTERGÖTLANDS LÄN</t>
        </is>
      </c>
      <c r="G615" t="inlineStr">
        <is>
          <t>FINSPÅNG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46298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42779-2023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46298</v>
      </c>
      <c r="F617" t="inlineStr">
        <is>
          <t>ÖSTERGÖTLANDS LÄN</t>
        </is>
      </c>
      <c r="G617" t="inlineStr">
        <is>
          <t>FINSPÅNG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46298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44754</v>
      </c>
      <c r="E619" s="1" t="n">
        <v>46298</v>
      </c>
      <c r="F619" t="inlineStr">
        <is>
          <t>ÖSTERGÖTLANDS LÄN</t>
        </is>
      </c>
      <c r="G619" t="inlineStr">
        <is>
          <t>FINSPÅNG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45421</v>
      </c>
      <c r="E620" s="1" t="n">
        <v>46298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46298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39467-2024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46298</v>
      </c>
      <c r="F622" t="inlineStr">
        <is>
          <t>ÖSTERGÖTLANDS LÄN</t>
        </is>
      </c>
      <c r="G622" t="inlineStr">
        <is>
          <t>FINSPÅNG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45530</v>
      </c>
      <c r="E623" s="1" t="n">
        <v>46298</v>
      </c>
      <c r="F623" t="inlineStr">
        <is>
          <t>ÖSTERGÖTLANDS LÄN</t>
        </is>
      </c>
      <c r="G623" t="inlineStr">
        <is>
          <t>FINSPÅNG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46298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46298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46298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29018-2026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46298</v>
      </c>
      <c r="F627" t="inlineStr">
        <is>
          <t>ÖSTERGÖTLANDS LÄN</t>
        </is>
      </c>
      <c r="G627" t="inlineStr">
        <is>
          <t>FINSPÅNG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45846</v>
      </c>
      <c r="E628" s="1" t="n">
        <v>46298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46298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46298</v>
      </c>
      <c r="F630" t="inlineStr">
        <is>
          <t>ÖSTERGÖTLANDS LÄN</t>
        </is>
      </c>
      <c r="G630" t="inlineStr">
        <is>
          <t>FINSPÅNG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44678</v>
      </c>
      <c r="E631" s="1" t="n">
        <v>46298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44637</v>
      </c>
      <c r="E632" s="1" t="n">
        <v>46298</v>
      </c>
      <c r="F632" t="inlineStr">
        <is>
          <t>ÖSTERGÖTLANDS LÄN</t>
        </is>
      </c>
      <c r="G632" t="inlineStr">
        <is>
          <t>FINSPÅNG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46298</v>
      </c>
      <c r="F633" t="inlineStr">
        <is>
          <t>ÖSTERGÖTLANDS LÄN</t>
        </is>
      </c>
      <c r="G633" t="inlineStr">
        <is>
          <t>FINSPÅNG</t>
        </is>
      </c>
      <c r="I633" t="n">
        <v>18.6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46298</v>
      </c>
      <c r="F634" t="inlineStr">
        <is>
          <t>ÖSTERGÖTLANDS LÄN</t>
        </is>
      </c>
      <c r="G634" t="inlineStr">
        <is>
          <t>FINSPÅNG</t>
        </is>
      </c>
      <c r="I634" t="n">
        <v>13.3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31147-2026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46298</v>
      </c>
      <c r="F635" t="inlineStr">
        <is>
          <t>ÖSTERGÖTLANDS LÄN</t>
        </is>
      </c>
      <c r="G635" t="inlineStr">
        <is>
          <t>FINSPÅNG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31151-2026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46298</v>
      </c>
      <c r="F636" t="inlineStr">
        <is>
          <t>ÖSTERGÖTLANDS LÄN</t>
        </is>
      </c>
      <c r="G636" t="inlineStr">
        <is>
          <t>FINSPÅNG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46298</v>
      </c>
      <c r="F637" t="inlineStr">
        <is>
          <t>ÖSTERGÖTLANDS LÄN</t>
        </is>
      </c>
      <c r="G637" t="inlineStr">
        <is>
          <t>FINSPÅNG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64103-2023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45279</v>
      </c>
      <c r="E638" s="1" t="n">
        <v>46298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52561-2024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45609</v>
      </c>
      <c r="E639" s="1" t="n">
        <v>46298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22437-2023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45070</v>
      </c>
      <c r="E640" s="1" t="n">
        <v>46298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7743-2023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44973</v>
      </c>
      <c r="E641" s="1" t="n">
        <v>46298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56425-2022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44891</v>
      </c>
      <c r="E642" s="1" t="n">
        <v>46298</v>
      </c>
      <c r="F642" t="inlineStr">
        <is>
          <t>ÖSTERGÖTLANDS LÄN</t>
        </is>
      </c>
      <c r="G642" t="inlineStr">
        <is>
          <t>FINSPÅNG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46298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46298</v>
      </c>
      <c r="F644" t="inlineStr">
        <is>
          <t>ÖSTERGÖTLANDS LÄN</t>
        </is>
      </c>
      <c r="G644" t="inlineStr">
        <is>
          <t>FINSPÅNG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46298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46298</v>
      </c>
      <c r="F646" t="inlineStr">
        <is>
          <t>ÖSTERGÖTLANDS LÄN</t>
        </is>
      </c>
      <c r="G646" t="inlineStr">
        <is>
          <t>FINSPÅNG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46298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Övriga Aktiebolag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46258</v>
      </c>
      <c r="E648" s="1" t="n">
        <v>46298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Övriga Aktiebolag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44966</v>
      </c>
      <c r="E649" s="1" t="n">
        <v>46298</v>
      </c>
      <c r="F649" t="inlineStr">
        <is>
          <t>ÖSTERGÖTLANDS LÄN</t>
        </is>
      </c>
      <c r="G649" t="inlineStr">
        <is>
          <t>FINSPÅNG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44953</v>
      </c>
      <c r="E650" s="1" t="n">
        <v>46298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40319-2022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44823</v>
      </c>
      <c r="E651" s="1" t="n">
        <v>46298</v>
      </c>
      <c r="F651" t="inlineStr">
        <is>
          <t>ÖSTERGÖTLANDS LÄN</t>
        </is>
      </c>
      <c r="G651" t="inlineStr">
        <is>
          <t>FINSPÅNG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47317-2023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45202</v>
      </c>
      <c r="E652" s="1" t="n">
        <v>46298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46298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46298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46298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45428</v>
      </c>
      <c r="E656" s="1" t="n">
        <v>46298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46298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Kyrkan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46298</v>
      </c>
      <c r="F658" t="inlineStr">
        <is>
          <t>ÖSTERGÖTLANDS LÄN</t>
        </is>
      </c>
      <c r="G658" t="inlineStr">
        <is>
          <t>FINSPÅNG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54727-2023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45236</v>
      </c>
      <c r="E659" s="1" t="n">
        <v>46298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54730-2023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45236</v>
      </c>
      <c r="E660" s="1" t="n">
        <v>46298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46219</v>
      </c>
      <c r="E661" s="1" t="n">
        <v>46298</v>
      </c>
      <c r="F661" t="inlineStr">
        <is>
          <t>ÖSTERGÖTLANDS LÄN</t>
        </is>
      </c>
      <c r="G661" t="inlineStr">
        <is>
          <t>FINSPÅNG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46298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56420-2023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45243</v>
      </c>
      <c r="E663" s="1" t="n">
        <v>46298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45022</v>
      </c>
      <c r="E664" s="1" t="n">
        <v>46298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46298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38964-2022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44816</v>
      </c>
      <c r="E666" s="1" t="n">
        <v>46298</v>
      </c>
      <c r="F666" t="inlineStr">
        <is>
          <t>ÖSTERGÖTLANDS LÄN</t>
        </is>
      </c>
      <c r="G666" t="inlineStr">
        <is>
          <t>FINSPÅNG</t>
        </is>
      </c>
      <c r="I666" t="n">
        <v>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46298</v>
      </c>
      <c r="F667" t="inlineStr">
        <is>
          <t>ÖSTERGÖTLANDS LÄN</t>
        </is>
      </c>
      <c r="G667" t="inlineStr">
        <is>
          <t>FINSPÅNG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46298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46298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46298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31675-2026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46226</v>
      </c>
      <c r="E671" s="1" t="n">
        <v>46298</v>
      </c>
      <c r="F671" t="inlineStr">
        <is>
          <t>ÖSTERGÖTLANDS LÄN</t>
        </is>
      </c>
      <c r="G671" t="inlineStr">
        <is>
          <t>FINSPÅNG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46226</v>
      </c>
      <c r="E672" s="1" t="n">
        <v>46298</v>
      </c>
      <c r="F672" t="inlineStr">
        <is>
          <t>ÖSTERGÖTLANDS LÄN</t>
        </is>
      </c>
      <c r="G672" t="inlineStr">
        <is>
          <t>FINSPÅNG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45314</v>
      </c>
      <c r="E673" s="1" t="n">
        <v>46298</v>
      </c>
      <c r="F673" t="inlineStr">
        <is>
          <t>ÖSTERGÖTLANDS LÄN</t>
        </is>
      </c>
      <c r="G673" t="inlineStr">
        <is>
          <t>FINSPÅNG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46298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46298</v>
      </c>
      <c r="F675" t="inlineStr">
        <is>
          <t>ÖSTERGÖTLANDS LÄN</t>
        </is>
      </c>
      <c r="G675" t="inlineStr">
        <is>
          <t>FINSPÅNG</t>
        </is>
      </c>
      <c r="I675" t="n">
        <v>10.5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46298</v>
      </c>
      <c r="F676" t="inlineStr">
        <is>
          <t>ÖSTERGÖTLANDS LÄN</t>
        </is>
      </c>
      <c r="G676" t="inlineStr">
        <is>
          <t>FINSPÅNG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36406-2024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45535</v>
      </c>
      <c r="E677" s="1" t="n">
        <v>46298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Kommuner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58367-2023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45250</v>
      </c>
      <c r="E678" s="1" t="n">
        <v>46298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46317-2023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45197</v>
      </c>
      <c r="E679" s="1" t="n">
        <v>46298</v>
      </c>
      <c r="F679" t="inlineStr">
        <is>
          <t>ÖSTERGÖTLANDS LÄN</t>
        </is>
      </c>
      <c r="G679" t="inlineStr">
        <is>
          <t>FINSPÅNG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46298</v>
      </c>
      <c r="F680" t="inlineStr">
        <is>
          <t>ÖSTERGÖTLANDS LÄN</t>
        </is>
      </c>
      <c r="G680" t="inlineStr">
        <is>
          <t>FINSPÅNG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46298</v>
      </c>
      <c r="F681" t="inlineStr">
        <is>
          <t>ÖSTERGÖTLANDS LÄN</t>
        </is>
      </c>
      <c r="G681" t="inlineStr">
        <is>
          <t>FINSPÅNG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46298</v>
      </c>
      <c r="F682" t="inlineStr">
        <is>
          <t>ÖSTERGÖTLANDS LÄN</t>
        </is>
      </c>
      <c r="G682" t="inlineStr">
        <is>
          <t>FINSPÅNG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44806</v>
      </c>
      <c r="E683" s="1" t="n">
        <v>46298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46298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46298</v>
      </c>
      <c r="F685" t="inlineStr">
        <is>
          <t>ÖSTERGÖTLANDS LÄN</t>
        </is>
      </c>
      <c r="G685" t="inlineStr">
        <is>
          <t>FINSPÅNG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46298</v>
      </c>
      <c r="F686" t="inlineStr">
        <is>
          <t>ÖSTERGÖTLANDS LÄN</t>
        </is>
      </c>
      <c r="G686" t="inlineStr">
        <is>
          <t>FINSPÅNG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46298</v>
      </c>
      <c r="F687" t="inlineStr">
        <is>
          <t>ÖSTERGÖTLANDS LÄN</t>
        </is>
      </c>
      <c r="G687" t="inlineStr">
        <is>
          <t>FINSPÅNG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44964</v>
      </c>
      <c r="E688" s="1" t="n">
        <v>46298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46282</v>
      </c>
      <c r="E689" s="1" t="n">
        <v>46298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45420</v>
      </c>
      <c r="E690" s="1" t="n">
        <v>46298</v>
      </c>
      <c r="F690" t="inlineStr">
        <is>
          <t>ÖSTERGÖTLANDS LÄN</t>
        </is>
      </c>
      <c r="G690" t="inlineStr">
        <is>
          <t>FINSPÅNG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43318-2022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46298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45616</v>
      </c>
      <c r="E692" s="1" t="n">
        <v>46298</v>
      </c>
      <c r="F692" t="inlineStr">
        <is>
          <t>ÖSTERGÖTLANDS LÄN</t>
        </is>
      </c>
      <c r="G692" t="inlineStr">
        <is>
          <t>FINSPÅNG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46298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60038-2023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45258</v>
      </c>
      <c r="E694" s="1" t="n">
        <v>46298</v>
      </c>
      <c r="F694" t="inlineStr">
        <is>
          <t>ÖSTERGÖTLANDS LÄN</t>
        </is>
      </c>
      <c r="G694" t="inlineStr">
        <is>
          <t>FINSPÅNG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46298</v>
      </c>
      <c r="F695" t="inlineStr">
        <is>
          <t>ÖSTERGÖTLANDS LÄN</t>
        </is>
      </c>
      <c r="G695" t="inlineStr">
        <is>
          <t>FINSPÅNG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46298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46298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46298</v>
      </c>
      <c r="F698" t="inlineStr">
        <is>
          <t>ÖSTERGÖTLANDS LÄN</t>
        </is>
      </c>
      <c r="G698" t="inlineStr">
        <is>
          <t>FINSPÅNG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54505-2024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45617</v>
      </c>
      <c r="E699" s="1" t="n">
        <v>46298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46282</v>
      </c>
      <c r="E700" s="1" t="n">
        <v>46298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44879</v>
      </c>
      <c r="E701" s="1" t="n">
        <v>46298</v>
      </c>
      <c r="F701" t="inlineStr">
        <is>
          <t>ÖSTERGÖTLANDS LÄN</t>
        </is>
      </c>
      <c r="G701" t="inlineStr">
        <is>
          <t>FINSPÅNG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38625-2026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46281</v>
      </c>
      <c r="E702" s="1" t="n">
        <v>46298</v>
      </c>
      <c r="F702" t="inlineStr">
        <is>
          <t>ÖSTERGÖTLANDS LÄN</t>
        </is>
      </c>
      <c r="G702" t="inlineStr">
        <is>
          <t>FINSPÅNG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46298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7.2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46298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46282</v>
      </c>
      <c r="E705" s="1" t="n">
        <v>46298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Sveaskog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46298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8924-2025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45713</v>
      </c>
      <c r="E707" s="1" t="n">
        <v>46298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13378-2025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46298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49677-2022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44862</v>
      </c>
      <c r="E709" s="1" t="n">
        <v>46298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44887</v>
      </c>
      <c r="E710" s="1" t="n">
        <v>46298</v>
      </c>
      <c r="F710" t="inlineStr">
        <is>
          <t>ÖSTERGÖTLANDS LÄN</t>
        </is>
      </c>
      <c r="G710" t="inlineStr">
        <is>
          <t>FINSPÅNG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56264-2022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44887</v>
      </c>
      <c r="E711" s="1" t="n">
        <v>46298</v>
      </c>
      <c r="F711" t="inlineStr">
        <is>
          <t>ÖSTERGÖTLANDS LÄN</t>
        </is>
      </c>
      <c r="G711" t="inlineStr">
        <is>
          <t>FINSPÅNG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45426</v>
      </c>
      <c r="E712" s="1" t="n">
        <v>46298</v>
      </c>
      <c r="F712" t="inlineStr">
        <is>
          <t>ÖSTERGÖTLANDS LÄN</t>
        </is>
      </c>
      <c r="G712" t="inlineStr">
        <is>
          <t>FINSPÅNG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9339-2022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46298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46298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38765-2026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46286</v>
      </c>
      <c r="E715" s="1" t="n">
        <v>46298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44995</v>
      </c>
      <c r="E716" s="1" t="n">
        <v>46298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44813</v>
      </c>
      <c r="E717" s="1" t="n">
        <v>46298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35970-2025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45863</v>
      </c>
      <c r="E718" s="1" t="n">
        <v>46298</v>
      </c>
      <c r="F718" t="inlineStr">
        <is>
          <t>ÖSTERGÖTLANDS LÄN</t>
        </is>
      </c>
      <c r="G718" t="inlineStr">
        <is>
          <t>FINSPÅNG</t>
        </is>
      </c>
      <c r="I718" t="n">
        <v>22.6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45142</v>
      </c>
      <c r="E719" s="1" t="n">
        <v>46298</v>
      </c>
      <c r="F719" t="inlineStr">
        <is>
          <t>ÖSTERGÖTLANDS LÄN</t>
        </is>
      </c>
      <c r="G719" t="inlineStr">
        <is>
          <t>FINSPÅNG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46298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14454-2022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44653</v>
      </c>
      <c r="E721" s="1" t="n">
        <v>46298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46298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45645</v>
      </c>
      <c r="E723" s="1" t="n">
        <v>46298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48767-2024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46298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44987</v>
      </c>
      <c r="E725" s="1" t="n">
        <v>46298</v>
      </c>
      <c r="F725" t="inlineStr">
        <is>
          <t>ÖSTERGÖTLANDS LÄN</t>
        </is>
      </c>
      <c r="G725" t="inlineStr">
        <is>
          <t>FINSPÅNG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40410-2024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45555</v>
      </c>
      <c r="E726" s="1" t="n">
        <v>46298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59699-2024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46298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46298</v>
      </c>
      <c r="F728" t="inlineStr">
        <is>
          <t>ÖSTERGÖTLANDS LÄN</t>
        </is>
      </c>
      <c r="G728" t="inlineStr">
        <is>
          <t>FINSPÅNG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22579-2024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45447</v>
      </c>
      <c r="E729" s="1" t="n">
        <v>46298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44729</v>
      </c>
      <c r="E730" s="1" t="n">
        <v>46298</v>
      </c>
      <c r="F730" t="inlineStr">
        <is>
          <t>ÖSTERGÖTLANDS LÄN</t>
        </is>
      </c>
      <c r="G730" t="inlineStr">
        <is>
          <t>FINSPÅNG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44844</v>
      </c>
      <c r="E731" s="1" t="n">
        <v>46298</v>
      </c>
      <c r="F731" t="inlineStr">
        <is>
          <t>ÖSTERGÖTLANDS LÄN</t>
        </is>
      </c>
      <c r="G731" t="inlineStr">
        <is>
          <t>FINSPÅNG</t>
        </is>
      </c>
      <c r="I731" t="n">
        <v>16.6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7788-2023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46298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46298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45095</v>
      </c>
      <c r="E734" s="1" t="n">
        <v>46298</v>
      </c>
      <c r="F734" t="inlineStr">
        <is>
          <t>ÖSTERGÖTLANDS LÄN</t>
        </is>
      </c>
      <c r="G734" t="inlineStr">
        <is>
          <t>FINSPÅNG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46298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68122-2021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44526</v>
      </c>
      <c r="E736" s="1" t="n">
        <v>46298</v>
      </c>
      <c r="F736" t="inlineStr">
        <is>
          <t>ÖSTERGÖTLANDS LÄN</t>
        </is>
      </c>
      <c r="G736" t="inlineStr">
        <is>
          <t>FINSPÅNG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44922</v>
      </c>
      <c r="E737" s="1" t="n">
        <v>46298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46298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46295</v>
      </c>
      <c r="E739" s="1" t="n">
        <v>46298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44795</v>
      </c>
      <c r="E740" s="1" t="n">
        <v>46298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61076-2023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45260</v>
      </c>
      <c r="E741" s="1" t="n">
        <v>46298</v>
      </c>
      <c r="F741" t="inlineStr">
        <is>
          <t>ÖSTERGÖTLANDS LÄN</t>
        </is>
      </c>
      <c r="G741" t="inlineStr">
        <is>
          <t>FINSPÅNG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59468-2021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44491</v>
      </c>
      <c r="E742" s="1" t="n">
        <v>46298</v>
      </c>
      <c r="F742" t="inlineStr">
        <is>
          <t>ÖSTERGÖTLANDS LÄN</t>
        </is>
      </c>
      <c r="G742" t="inlineStr">
        <is>
          <t>FINSPÅNG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45041</v>
      </c>
      <c r="E743" s="1" t="n">
        <v>46298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59838-2023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45257</v>
      </c>
      <c r="E744" s="1" t="n">
        <v>46298</v>
      </c>
      <c r="F744" t="inlineStr">
        <is>
          <t>ÖSTERGÖTLANDS LÄN</t>
        </is>
      </c>
      <c r="G744" t="inlineStr">
        <is>
          <t>FINSPÅNG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51610-2022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44871</v>
      </c>
      <c r="E745" s="1" t="n">
        <v>46298</v>
      </c>
      <c r="F745" t="inlineStr">
        <is>
          <t>ÖSTERGÖTLANDS LÄN</t>
        </is>
      </c>
      <c r="G745" t="inlineStr">
        <is>
          <t>FINSPÅNG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45391</v>
      </c>
      <c r="E746" s="1" t="n">
        <v>46298</v>
      </c>
      <c r="F746" t="inlineStr">
        <is>
          <t>ÖSTERGÖTLANDS LÄN</t>
        </is>
      </c>
      <c r="G746" t="inlineStr">
        <is>
          <t>FINSPÅNG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45692</v>
      </c>
      <c r="E747" s="1" t="n">
        <v>46298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45070</v>
      </c>
      <c r="E748" s="1" t="n">
        <v>46298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46298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6527-2023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46298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4071-2024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45323</v>
      </c>
      <c r="E751" s="1" t="n">
        <v>46298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6575-2024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45341</v>
      </c>
      <c r="E752" s="1" t="n">
        <v>46298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73260-2021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44550</v>
      </c>
      <c r="E753" s="1" t="n">
        <v>46298</v>
      </c>
      <c r="F753" t="inlineStr">
        <is>
          <t>ÖSTERGÖTLANDS LÄN</t>
        </is>
      </c>
      <c r="G753" t="inlineStr">
        <is>
          <t>FINSPÅNG</t>
        </is>
      </c>
      <c r="I753" t="n">
        <v>10.3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42705-2024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46298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42711-2024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46298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55612-2021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44476</v>
      </c>
      <c r="E756" s="1" t="n">
        <v>46298</v>
      </c>
      <c r="F756" t="inlineStr">
        <is>
          <t>ÖSTERGÖTLANDS LÄN</t>
        </is>
      </c>
      <c r="G756" t="inlineStr">
        <is>
          <t>FINSPÅNG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46298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Sveaskog</t>
        </is>
      </c>
      <c r="I757" t="n">
        <v>8.4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21517-2024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46298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45374</v>
      </c>
      <c r="E759" s="1" t="n">
        <v>46298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Kyrkan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46298</v>
      </c>
      <c r="F760" t="inlineStr">
        <is>
          <t>ÖSTERGÖTLANDS LÄN</t>
        </is>
      </c>
      <c r="G760" t="inlineStr">
        <is>
          <t>FINSPÅNG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44981</v>
      </c>
      <c r="E761" s="1" t="n">
        <v>46298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17557-2022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44679</v>
      </c>
      <c r="E762" s="1" t="n">
        <v>46298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45293</v>
      </c>
      <c r="E763" s="1" t="n">
        <v>46298</v>
      </c>
      <c r="F763" t="inlineStr">
        <is>
          <t>ÖSTERGÖTLANDS LÄN</t>
        </is>
      </c>
      <c r="G763" t="inlineStr">
        <is>
          <t>FINSPÅNG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46298</v>
      </c>
      <c r="F764" t="inlineStr">
        <is>
          <t>ÖSTERGÖTLANDS LÄN</t>
        </is>
      </c>
      <c r="G764" t="inlineStr">
        <is>
          <t>FINSPÅNG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45214</v>
      </c>
      <c r="E765" s="1" t="n">
        <v>46298</v>
      </c>
      <c r="F765" t="inlineStr">
        <is>
          <t>ÖSTERGÖTLANDS LÄN</t>
        </is>
      </c>
      <c r="G765" t="inlineStr">
        <is>
          <t>FINSPÅNG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46298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45660</v>
      </c>
      <c r="E767" s="1" t="n">
        <v>46298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13375-2025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46298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32795-2024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45516</v>
      </c>
      <c r="E769" s="1" t="n">
        <v>46298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Kommuner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6628-2023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44966</v>
      </c>
      <c r="E770" s="1" t="n">
        <v>46298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Övriga Aktiebolag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23821-2023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45078</v>
      </c>
      <c r="E771" s="1" t="n">
        <v>46298</v>
      </c>
      <c r="F771" t="inlineStr">
        <is>
          <t>ÖSTERGÖTLANDS LÄN</t>
        </is>
      </c>
      <c r="G771" t="inlineStr">
        <is>
          <t>FINSPÅNG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31025-2023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45113</v>
      </c>
      <c r="E772" s="1" t="n">
        <v>46298</v>
      </c>
      <c r="F772" t="inlineStr">
        <is>
          <t>ÖSTERGÖTLANDS LÄN</t>
        </is>
      </c>
      <c r="G772" t="inlineStr">
        <is>
          <t>FINSPÅNG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45311-2023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45191</v>
      </c>
      <c r="E773" s="1" t="n">
        <v>46298</v>
      </c>
      <c r="F773" t="inlineStr">
        <is>
          <t>ÖSTERGÖTLANDS LÄN</t>
        </is>
      </c>
      <c r="G773" t="inlineStr">
        <is>
          <t>FINSPÅNG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18488-2025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45763</v>
      </c>
      <c r="E774" s="1" t="n">
        <v>46298</v>
      </c>
      <c r="F774" t="inlineStr">
        <is>
          <t>ÖSTERGÖTLANDS LÄN</t>
        </is>
      </c>
      <c r="G774" t="inlineStr">
        <is>
          <t>FINSPÅNG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73655-2021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44551</v>
      </c>
      <c r="E775" s="1" t="n">
        <v>46298</v>
      </c>
      <c r="F775" t="inlineStr">
        <is>
          <t>ÖSTERGÖTLANDS LÄN</t>
        </is>
      </c>
      <c r="G775" t="inlineStr">
        <is>
          <t>FINSPÅNG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43051-2022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44833</v>
      </c>
      <c r="E776" s="1" t="n">
        <v>46298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28558-2023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45103</v>
      </c>
      <c r="E777" s="1" t="n">
        <v>46298</v>
      </c>
      <c r="F777" t="inlineStr">
        <is>
          <t>ÖSTERGÖTLANDS LÄN</t>
        </is>
      </c>
      <c r="G777" t="inlineStr">
        <is>
          <t>FINSPÅNG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45618</v>
      </c>
      <c r="E778" s="1" t="n">
        <v>46298</v>
      </c>
      <c r="F778" t="inlineStr">
        <is>
          <t>ÖSTERGÖTLANDS LÄN</t>
        </is>
      </c>
      <c r="G778" t="inlineStr">
        <is>
          <t>FINSPÅNG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59702-2024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45639</v>
      </c>
      <c r="E779" s="1" t="n">
        <v>46298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45299</v>
      </c>
      <c r="E780" s="1" t="n">
        <v>46298</v>
      </c>
      <c r="F780" t="inlineStr">
        <is>
          <t>ÖSTERGÖTLANDS LÄN</t>
        </is>
      </c>
      <c r="G780" t="inlineStr">
        <is>
          <t>FINSPÅNG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45301</v>
      </c>
      <c r="E781" s="1" t="n">
        <v>46298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46298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46298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46298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46298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46298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46298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46298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46298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46298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46298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62168-2022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44922</v>
      </c>
      <c r="E792" s="1" t="n">
        <v>46298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53670-2024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45615</v>
      </c>
      <c r="E793" s="1" t="n">
        <v>46298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36110-2023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45149</v>
      </c>
      <c r="E794" s="1" t="n">
        <v>46298</v>
      </c>
      <c r="F794" t="inlineStr">
        <is>
          <t>ÖSTERGÖTLANDS LÄN</t>
        </is>
      </c>
      <c r="G794" t="inlineStr">
        <is>
          <t>FINSPÅNG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46298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39358-2022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44817</v>
      </c>
      <c r="E796" s="1" t="n">
        <v>46298</v>
      </c>
      <c r="F796" t="inlineStr">
        <is>
          <t>ÖSTERGÖTLANDS LÄN</t>
        </is>
      </c>
      <c r="G796" t="inlineStr">
        <is>
          <t>FINSPÅNG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36191-2023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46298</v>
      </c>
      <c r="F797" t="inlineStr">
        <is>
          <t>ÖSTERGÖTLANDS LÄN</t>
        </is>
      </c>
      <c r="G797" t="inlineStr">
        <is>
          <t>FINSPÅNG</t>
        </is>
      </c>
      <c r="I797" t="n">
        <v>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55457-2024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45622</v>
      </c>
      <c r="E798" s="1" t="n">
        <v>46298</v>
      </c>
      <c r="F798" t="inlineStr">
        <is>
          <t>ÖSTERGÖTLANDS LÄN</t>
        </is>
      </c>
      <c r="G798" t="inlineStr">
        <is>
          <t>FINSPÅNG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40065-2024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45554</v>
      </c>
      <c r="E799" s="1" t="n">
        <v>46298</v>
      </c>
      <c r="F799" t="inlineStr">
        <is>
          <t>ÖSTERGÖTLANDS LÄN</t>
        </is>
      </c>
      <c r="G799" t="inlineStr">
        <is>
          <t>FINSPÅNG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27698-2023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45095</v>
      </c>
      <c r="E800" s="1" t="n">
        <v>46298</v>
      </c>
      <c r="F800" t="inlineStr">
        <is>
          <t>ÖSTERGÖTLANDS LÄN</t>
        </is>
      </c>
      <c r="G800" t="inlineStr">
        <is>
          <t>FINSPÅNG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48691-2024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45593</v>
      </c>
      <c r="E801" s="1" t="n">
        <v>46298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Övriga Aktiebolag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63585-2023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45275</v>
      </c>
      <c r="E802" s="1" t="n">
        <v>46298</v>
      </c>
      <c r="F802" t="inlineStr">
        <is>
          <t>ÖSTERGÖTLANDS LÄN</t>
        </is>
      </c>
      <c r="G802" t="inlineStr">
        <is>
          <t>FINSPÅNG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44564</v>
      </c>
      <c r="E803" s="1" t="n">
        <v>46298</v>
      </c>
      <c r="F803" t="inlineStr">
        <is>
          <t>ÖSTERGÖTLANDS LÄN</t>
        </is>
      </c>
      <c r="G803" t="inlineStr">
        <is>
          <t>FINSPÅNG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15129-2025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45744</v>
      </c>
      <c r="E804" s="1" t="n">
        <v>46298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16229-2024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45407</v>
      </c>
      <c r="E805" s="1" t="n">
        <v>46298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22586-2023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45071</v>
      </c>
      <c r="E806" s="1" t="n">
        <v>46298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59777-2023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45257</v>
      </c>
      <c r="E807" s="1" t="n">
        <v>46298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45257</v>
      </c>
      <c r="E808" s="1" t="n">
        <v>46298</v>
      </c>
      <c r="F808" t="inlineStr">
        <is>
          <t>ÖSTERGÖTLANDS LÄN</t>
        </is>
      </c>
      <c r="G808" t="inlineStr">
        <is>
          <t>FINSPÅNG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46298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45566</v>
      </c>
      <c r="E810" s="1" t="n">
        <v>46298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46298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45735</v>
      </c>
      <c r="E812" s="1" t="n">
        <v>46298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45736</v>
      </c>
      <c r="E813" s="1" t="n">
        <v>46298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46298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46298</v>
      </c>
      <c r="F815" t="inlineStr">
        <is>
          <t>ÖSTERGÖTLANDS LÄN</t>
        </is>
      </c>
      <c r="G815" t="inlineStr">
        <is>
          <t>FINSPÅNG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46298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11149-2024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45371</v>
      </c>
      <c r="E817" s="1" t="n">
        <v>46298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Kyrkan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5129-2024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45644</v>
      </c>
      <c r="E818" s="1" t="n">
        <v>46298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1605-2024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45428</v>
      </c>
      <c r="E819" s="1" t="n">
        <v>46298</v>
      </c>
      <c r="F819" t="inlineStr">
        <is>
          <t>ÖSTERGÖTLANDS LÄN</t>
        </is>
      </c>
      <c r="G819" t="inlineStr">
        <is>
          <t>FINSPÅNG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1637-2024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45429</v>
      </c>
      <c r="E820" s="1" t="n">
        <v>46298</v>
      </c>
      <c r="F820" t="inlineStr">
        <is>
          <t>ÖSTERGÖTLANDS LÄN</t>
        </is>
      </c>
      <c r="G820" t="inlineStr">
        <is>
          <t>FINSPÅNG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4163-2023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45250</v>
      </c>
      <c r="E821" s="1" t="n">
        <v>46298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1759-2026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46188</v>
      </c>
      <c r="E822" s="1" t="n">
        <v>46298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2208-2026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46258</v>
      </c>
      <c r="E823" s="1" t="n">
        <v>46298</v>
      </c>
      <c r="F823" t="inlineStr">
        <is>
          <t>ÖSTERGÖTLANDS LÄN</t>
        </is>
      </c>
      <c r="G823" t="inlineStr">
        <is>
          <t>FINSPÅNG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2026-10-03T01:59:12Z</dcterms:created>
  <dcterms:modified xmlns:dcterms="http://purl.org/dc/terms/" xmlns:xsi="http://www.w3.org/2001/XMLSchema-instance" xsi:type="dcterms:W3CDTF">2026-10-03T01:59:13Z</dcterms:modified>
</cp:coreProperties>
</file>