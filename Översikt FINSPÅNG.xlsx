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46309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46309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46309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46309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46309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46309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46309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46309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46309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46309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46309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46309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46309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46309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46309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46309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46309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46309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46309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46309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46309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46309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46309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46309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46309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46309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46309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54302-2023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46309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Lopplummer (aggregat)</t>
        </is>
      </c>
      <c r="W51">
        <f>HYPERLINK("https://klasma.github.io/Logging_0562/artfynd/A 54302-2023 artfynd.xlsx", "A 54302-2023")</f>
        <v/>
      </c>
      <c r="X51">
        <f>HYPERLINK("https://klasma.github.io/Logging_0562/kartor/A 54302-2023 karta.png", "A 54302-2023")</f>
        <v/>
      </c>
      <c r="Y51">
        <f>HYPERLINK("https://klasma.github.io/Logging_0562/kartor_geotiff/A 54302-2023 georefererad karta.tif", "A 54302-2023")</f>
        <v/>
      </c>
      <c r="AA51">
        <f>HYPERLINK("https://klasma.github.io/Logging_0562/klagomål/A 54302-2023 FSC-klagomål.docx", "A 54302-2023")</f>
        <v/>
      </c>
      <c r="AB51">
        <f>HYPERLINK("https://klasma.github.io/Logging_0562/klagomålsmail/A 54302-2023 FSC-klagomål mail.docx", "A 54302-2023")</f>
        <v/>
      </c>
      <c r="AC51">
        <f>HYPERLINK("https://klasma.github.io/Logging_0562/tillsyn/A 54302-2023 tillsynsbegäran.docx", "A 54302-2023")</f>
        <v/>
      </c>
      <c r="AD51">
        <f>HYPERLINK("https://klasma.github.io/Logging_0562/tillsynsmail/A 54302-2023 tillsynsbegäran mail.docx", "A 54302-2023")</f>
        <v/>
      </c>
    </row>
    <row r="52" ht="15" customHeight="1">
      <c r="A52" t="inlineStr">
        <is>
          <t>A 61254-2022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44915</v>
      </c>
      <c r="E52" s="1" t="n">
        <v>46309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HYPERLINK("https://klasma.github.io/Logging_0562/artfynd/A 61254-2022 artfynd.xlsx", "A 61254-2022")</f>
        <v/>
      </c>
      <c r="X52">
        <f>HYPERLINK("https://klasma.github.io/Logging_0562/kartor/A 61254-2022 karta.png", "A 61254-2022")</f>
        <v/>
      </c>
      <c r="Y52">
        <f>HYPERLINK("https://klasma.github.io/Logging_0562/kartor_geotiff/A 61254-2022 georefererad karta.tif", "A 61254-2022")</f>
        <v/>
      </c>
      <c r="AA52">
        <f>HYPERLINK("https://klasma.github.io/Logging_0562/klagomål/A 61254-2022 FSC-klagomål.docx", "A 61254-2022")</f>
        <v/>
      </c>
      <c r="AB52">
        <f>HYPERLINK("https://klasma.github.io/Logging_0562/klagomålsmail/A 61254-2022 FSC-klagomål mail.docx", "A 61254-2022")</f>
        <v/>
      </c>
      <c r="AC52">
        <f>HYPERLINK("https://klasma.github.io/Logging_0562/tillsyn/A 61254-2022 tillsynsbegäran.docx", "A 61254-2022")</f>
        <v/>
      </c>
      <c r="AD52">
        <f>HYPERLINK("https://klasma.github.io/Logging_0562/tillsynsmail/A 61254-2022 tillsynsbegäran mail.docx", "A 61254-2022")</f>
        <v/>
      </c>
    </row>
    <row r="53" ht="15" customHeight="1">
      <c r="A53" t="inlineStr">
        <is>
          <t>A 57662-2022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44897</v>
      </c>
      <c r="E53" s="1" t="n">
        <v>46309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Järnsparv</t>
        </is>
      </c>
      <c r="W53">
        <f>HYPERLINK("https://klasma.github.io/Logging_0562/artfynd/A 57662-2022 artfynd.xlsx", "A 57662-2022")</f>
        <v/>
      </c>
      <c r="X53">
        <f>HYPERLINK("https://klasma.github.io/Logging_0562/kartor/A 57662-2022 karta.png", "A 57662-2022")</f>
        <v/>
      </c>
      <c r="Y53">
        <f>HYPERLINK("https://klasma.github.io/Logging_0562/kartor_geotiff/A 57662-2022 georefererad karta.tif", "A 57662-2022")</f>
        <v/>
      </c>
      <c r="AA53">
        <f>HYPERLINK("https://klasma.github.io/Logging_0562/klagomål/A 57662-2022 FSC-klagomål.docx", "A 57662-2022")</f>
        <v/>
      </c>
      <c r="AB53">
        <f>HYPERLINK("https://klasma.github.io/Logging_0562/klagomålsmail/A 57662-2022 FSC-klagomål mail.docx", "A 57662-2022")</f>
        <v/>
      </c>
      <c r="AC53">
        <f>HYPERLINK("https://klasma.github.io/Logging_0562/tillsyn/A 57662-2022 tillsynsbegäran.docx", "A 57662-2022")</f>
        <v/>
      </c>
      <c r="AD53">
        <f>HYPERLINK("https://klasma.github.io/Logging_0562/tillsynsmail/A 57662-2022 tillsynsbegäran mail.docx", "A 57662-2022")</f>
        <v/>
      </c>
      <c r="AE53">
        <f>HYPERLINK("https://klasma.github.io/Logging_0562/fåglar/A 57662-2022 prioriterade fågelarter.docx", "A 57662-2022")</f>
        <v/>
      </c>
    </row>
    <row r="54" ht="15" customHeight="1">
      <c r="A54" t="inlineStr">
        <is>
          <t>A 42366-2025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46309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Vit vedfingersvamp</t>
        </is>
      </c>
      <c r="W54">
        <f>HYPERLINK("https://klasma.github.io/Logging_0562/artfynd/A 42366-2025 artfynd.xlsx", "A 42366-2025")</f>
        <v/>
      </c>
      <c r="X54">
        <f>HYPERLINK("https://klasma.github.io/Logging_0562/kartor/A 42366-2025 karta.png", "A 42366-2025")</f>
        <v/>
      </c>
      <c r="Y54">
        <f>HYPERLINK("https://klasma.github.io/Logging_0562/kartor_geotiff/A 42366-2025 georefererad karta.tif", "A 42366-2025")</f>
        <v/>
      </c>
      <c r="AA54">
        <f>HYPERLINK("https://klasma.github.io/Logging_0562/klagomål/A 42366-2025 FSC-klagomål.docx", "A 42366-2025")</f>
        <v/>
      </c>
      <c r="AB54">
        <f>HYPERLINK("https://klasma.github.io/Logging_0562/klagomålsmail/A 42366-2025 FSC-klagomål mail.docx", "A 42366-2025")</f>
        <v/>
      </c>
      <c r="AC54">
        <f>HYPERLINK("https://klasma.github.io/Logging_0562/tillsyn/A 42366-2025 tillsynsbegäran.docx", "A 42366-2025")</f>
        <v/>
      </c>
      <c r="AD54">
        <f>HYPERLINK("https://klasma.github.io/Logging_0562/tillsynsmail/A 42366-2025 tillsynsbegäran mail.docx", "A 42366-2025")</f>
        <v/>
      </c>
    </row>
    <row r="55" ht="15" customHeight="1">
      <c r="A55" t="inlineStr">
        <is>
          <t>A 38229-2025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46309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Lake</t>
        </is>
      </c>
      <c r="W55">
        <f>HYPERLINK("https://klasma.github.io/Logging_0562/artfynd/A 38229-2025 artfynd.xlsx", "A 38229-2025")</f>
        <v/>
      </c>
      <c r="X55">
        <f>HYPERLINK("https://klasma.github.io/Logging_0562/kartor/A 38229-2025 karta.png", "A 38229-2025")</f>
        <v/>
      </c>
      <c r="Y55">
        <f>HYPERLINK("https://klasma.github.io/Logging_0562/kartor_geotiff/A 38229-2025 georefererad karta.tif", "A 38229-2025")</f>
        <v/>
      </c>
      <c r="AA55">
        <f>HYPERLINK("https://klasma.github.io/Logging_0562/klagomål/A 38229-2025 FSC-klagomål.docx", "A 38229-2025")</f>
        <v/>
      </c>
      <c r="AB55">
        <f>HYPERLINK("https://klasma.github.io/Logging_0562/klagomålsmail/A 38229-2025 FSC-klagomål mail.docx", "A 38229-2025")</f>
        <v/>
      </c>
      <c r="AC55">
        <f>HYPERLINK("https://klasma.github.io/Logging_0562/tillsyn/A 38229-2025 tillsynsbegäran.docx", "A 38229-2025")</f>
        <v/>
      </c>
      <c r="AD55">
        <f>HYPERLINK("https://klasma.github.io/Logging_0562/tillsynsmail/A 38229-2025 tillsynsbegäran mail.docx", "A 38229-2025")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46309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42837-2024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46309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2</v>
      </c>
      <c r="V57" s="2" t="inlineStr">
        <is>
          <t>Knärot</t>
        </is>
      </c>
      <c r="W57">
        <f>HYPERLINK("https://klasma.github.io/Logging_0562/artfynd/A 42837-2024 artfynd.xlsx", "A 42837-2024")</f>
        <v/>
      </c>
      <c r="X57">
        <f>HYPERLINK("https://klasma.github.io/Logging_0562/kartor/A 42837-2024 karta.png", "A 42837-2024")</f>
        <v/>
      </c>
      <c r="Y57">
        <f>HYPERLINK("https://klasma.github.io/Logging_0562/kartor_geotiff/A 42837-2024 georefererad karta.tif", "A 42837-2024")</f>
        <v/>
      </c>
      <c r="Z57">
        <f>HYPERLINK("https://klasma.github.io/Logging_0562/knärot/A 42837-2024 karta knärot.png", "A 42837-2024")</f>
        <v/>
      </c>
      <c r="AA57">
        <f>HYPERLINK("https://klasma.github.io/Logging_0562/klagomål/A 42837-2024 FSC-klagomål.docx", "A 42837-2024")</f>
        <v/>
      </c>
      <c r="AB57">
        <f>HYPERLINK("https://klasma.github.io/Logging_0562/klagomålsmail/A 42837-2024 FSC-klagomål mail.docx", "A 42837-2024")</f>
        <v/>
      </c>
      <c r="AC57">
        <f>HYPERLINK("https://klasma.github.io/Logging_0562/tillsyn/A 42837-2024 tillsynsbegäran.docx", "A 42837-2024")</f>
        <v/>
      </c>
      <c r="AD57">
        <f>HYPERLINK("https://klasma.github.io/Logging_0562/tillsynsmail/A 42837-2024 tillsynsbegäran mail.docx", "A 42837-2024")</f>
        <v/>
      </c>
    </row>
    <row r="58" ht="15" customHeight="1">
      <c r="A58" t="inlineStr">
        <is>
          <t>A 34310-2025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45846</v>
      </c>
      <c r="E58" s="1" t="n">
        <v>46309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34310-2025 artfynd.xlsx", "A 34310-2025")</f>
        <v/>
      </c>
      <c r="X58">
        <f>HYPERLINK("https://klasma.github.io/Logging_0562/kartor/A 34310-2025 karta.png", "A 34310-2025")</f>
        <v/>
      </c>
      <c r="Y58">
        <f>HYPERLINK("https://klasma.github.io/Logging_0562/kartor_geotiff/A 34310-2025 georefererad karta.tif", "A 34310-2025")</f>
        <v/>
      </c>
      <c r="AA58">
        <f>HYPERLINK("https://klasma.github.io/Logging_0562/klagomål/A 34310-2025 FSC-klagomål.docx", "A 34310-2025")</f>
        <v/>
      </c>
      <c r="AB58">
        <f>HYPERLINK("https://klasma.github.io/Logging_0562/klagomålsmail/A 34310-2025 FSC-klagomål mail.docx", "A 34310-2025")</f>
        <v/>
      </c>
      <c r="AC58">
        <f>HYPERLINK("https://klasma.github.io/Logging_0562/tillsyn/A 34310-2025 tillsynsbegäran.docx", "A 34310-2025")</f>
        <v/>
      </c>
      <c r="AD58">
        <f>HYPERLINK("https://klasma.github.io/Logging_0562/tillsynsmail/A 34310-2025 tillsynsbegäran mail.docx", "A 34310-2025")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46309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46309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46309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7265-2026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46309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Övriga Aktiebolag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Havsörn</t>
        </is>
      </c>
      <c r="W62">
        <f>HYPERLINK("https://klasma.github.io/Logging_0562/artfynd/A 7265-2026 artfynd.xlsx", "A 7265-2026")</f>
        <v/>
      </c>
      <c r="X62">
        <f>HYPERLINK("https://klasma.github.io/Logging_0562/kartor/A 7265-2026 karta.png", "A 7265-2026")</f>
        <v/>
      </c>
      <c r="Y62">
        <f>HYPERLINK("https://klasma.github.io/Logging_0562/kartor_geotiff/A 7265-2026 georefererad karta.tif", "A 7265-2026")</f>
        <v/>
      </c>
      <c r="AA62">
        <f>HYPERLINK("https://klasma.github.io/Logging_0562/klagomål/A 7265-2026 FSC-klagomål.docx", "A 7265-2026")</f>
        <v/>
      </c>
      <c r="AB62">
        <f>HYPERLINK("https://klasma.github.io/Logging_0562/klagomålsmail/A 7265-2026 FSC-klagomål mail.docx", "A 7265-2026")</f>
        <v/>
      </c>
      <c r="AC62">
        <f>HYPERLINK("https://klasma.github.io/Logging_0562/tillsyn/A 7265-2026 tillsynsbegäran.docx", "A 7265-2026")</f>
        <v/>
      </c>
      <c r="AD62">
        <f>HYPERLINK("https://klasma.github.io/Logging_0562/tillsynsmail/A 7265-2026 tillsynsbegäran mail.docx", "A 7265-2026")</f>
        <v/>
      </c>
      <c r="AE62">
        <f>HYPERLINK("https://klasma.github.io/Logging_0562/fåglar/A 7265-2026 prioriterade fågelarter.docx", "A 7265-2026")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46309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53673-2024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46309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HYPERLINK("https://klasma.github.io/Logging_0562/artfynd/A 53673-2024 artfynd.xlsx", "A 53673-2024")</f>
        <v/>
      </c>
      <c r="X64">
        <f>HYPERLINK("https://klasma.github.io/Logging_0562/kartor/A 53673-2024 karta.png", "A 53673-2024")</f>
        <v/>
      </c>
      <c r="Y64">
        <f>HYPERLINK("https://klasma.github.io/Logging_0562/kartor_geotiff/A 53673-2024 georefererad karta.tif", "A 53673-2024")</f>
        <v/>
      </c>
      <c r="Z64">
        <f>HYPERLINK("https://klasma.github.io/Logging_0562/knärot/A 53673-2024 karta knärot.png", "A 53673-2024")</f>
        <v/>
      </c>
      <c r="AA64">
        <f>HYPERLINK("https://klasma.github.io/Logging_0562/klagomål/A 53673-2024 FSC-klagomål.docx", "A 53673-2024")</f>
        <v/>
      </c>
      <c r="AB64">
        <f>HYPERLINK("https://klasma.github.io/Logging_0562/klagomålsmail/A 53673-2024 FSC-klagomål mail.docx", "A 53673-2024")</f>
        <v/>
      </c>
      <c r="AC64">
        <f>HYPERLINK("https://klasma.github.io/Logging_0562/tillsyn/A 53673-2024 tillsynsbegäran.docx", "A 53673-2024")</f>
        <v/>
      </c>
      <c r="AD64">
        <f>HYPERLINK("https://klasma.github.io/Logging_0562/tillsynsmail/A 53673-2024 tillsynsbegäran mail.docx", "A 53673-2024")</f>
        <v/>
      </c>
    </row>
    <row r="65" ht="15" customHeight="1">
      <c r="A65" t="inlineStr">
        <is>
          <t>A 39078-2022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46309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Skogsklocka</t>
        </is>
      </c>
      <c r="W65">
        <f>HYPERLINK("https://klasma.github.io/Logging_0562/artfynd/A 39078-2022 artfynd.xlsx", "A 39078-2022")</f>
        <v/>
      </c>
      <c r="X65">
        <f>HYPERLINK("https://klasma.github.io/Logging_0562/kartor/A 39078-2022 karta.png", "A 39078-2022")</f>
        <v/>
      </c>
      <c r="Y65">
        <f>HYPERLINK("https://klasma.github.io/Logging_0562/kartor_geotiff/A 39078-2022 georefererad karta.tif", "A 39078-2022")</f>
        <v/>
      </c>
      <c r="AA65">
        <f>HYPERLINK("https://klasma.github.io/Logging_0562/klagomål/A 39078-2022 FSC-klagomål.docx", "A 39078-2022")</f>
        <v/>
      </c>
      <c r="AB65">
        <f>HYPERLINK("https://klasma.github.io/Logging_0562/klagomålsmail/A 39078-2022 FSC-klagomål mail.docx", "A 39078-2022")</f>
        <v/>
      </c>
      <c r="AC65">
        <f>HYPERLINK("https://klasma.github.io/Logging_0562/tillsyn/A 39078-2022 tillsynsbegäran.docx", "A 39078-2022")</f>
        <v/>
      </c>
      <c r="AD65">
        <f>HYPERLINK("https://klasma.github.io/Logging_0562/tillsynsmail/A 39078-2022 tillsynsbegäran mail.docx", "A 39078-2022")</f>
        <v/>
      </c>
    </row>
    <row r="66" ht="15" customHeight="1">
      <c r="A66" t="inlineStr">
        <is>
          <t>A 11140-2023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46309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Grönvit nattviol</t>
        </is>
      </c>
      <c r="W66">
        <f>HYPERLINK("https://klasma.github.io/Logging_0562/artfynd/A 11140-2023 artfynd.xlsx", "A 11140-2023")</f>
        <v/>
      </c>
      <c r="X66">
        <f>HYPERLINK("https://klasma.github.io/Logging_0562/kartor/A 11140-2023 karta.png", "A 11140-2023")</f>
        <v/>
      </c>
      <c r="Y66">
        <f>HYPERLINK("https://klasma.github.io/Logging_0562/kartor_geotiff/A 11140-2023 georefererad karta.tif", "A 11140-2023")</f>
        <v/>
      </c>
      <c r="AA66">
        <f>HYPERLINK("https://klasma.github.io/Logging_0562/klagomål/A 11140-2023 FSC-klagomål.docx", "A 11140-2023")</f>
        <v/>
      </c>
      <c r="AB66">
        <f>HYPERLINK("https://klasma.github.io/Logging_0562/klagomålsmail/A 11140-2023 FSC-klagomål mail.docx", "A 11140-2023")</f>
        <v/>
      </c>
      <c r="AC66">
        <f>HYPERLINK("https://klasma.github.io/Logging_0562/tillsyn/A 11140-2023 tillsynsbegäran.docx", "A 11140-2023")</f>
        <v/>
      </c>
      <c r="AD66">
        <f>HYPERLINK("https://klasma.github.io/Logging_0562/tillsynsmail/A 11140-2023 tillsynsbegäran mail.docx", "A 11140-2023")</f>
        <v/>
      </c>
    </row>
    <row r="67" ht="15" customHeight="1">
      <c r="A67" t="inlineStr">
        <is>
          <t>A 22439-2023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46309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HYPERLINK("https://klasma.github.io/Logging_0562/artfynd/A 22439-2023 artfynd.xlsx", "A 22439-2023")</f>
        <v/>
      </c>
      <c r="X67">
        <f>HYPERLINK("https://klasma.github.io/Logging_0562/kartor/A 22439-2023 karta.png", "A 22439-2023")</f>
        <v/>
      </c>
      <c r="Y67">
        <f>HYPERLINK("https://klasma.github.io/Logging_0562/kartor_geotiff/A 22439-2023 georefererad karta.tif", "A 22439-2023")</f>
        <v/>
      </c>
      <c r="AA67">
        <f>HYPERLINK("https://klasma.github.io/Logging_0562/klagomål/A 22439-2023 FSC-klagomål.docx", "A 22439-2023")</f>
        <v/>
      </c>
      <c r="AB67">
        <f>HYPERLINK("https://klasma.github.io/Logging_0562/klagomålsmail/A 22439-2023 FSC-klagomål mail.docx", "A 22439-2023")</f>
        <v/>
      </c>
      <c r="AC67">
        <f>HYPERLINK("https://klasma.github.io/Logging_0562/tillsyn/A 22439-2023 tillsynsbegäran.docx", "A 22439-2023")</f>
        <v/>
      </c>
      <c r="AD67">
        <f>HYPERLINK("https://klasma.github.io/Logging_0562/tillsynsmail/A 22439-2023 tillsynsbegäran mail.docx", "A 22439-2023")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46309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46309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3941-2026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46309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Trana</t>
        </is>
      </c>
      <c r="W70">
        <f>HYPERLINK("https://klasma.github.io/Logging_0562/artfynd/A 3941-2026 artfynd.xlsx", "A 3941-2026")</f>
        <v/>
      </c>
      <c r="X70">
        <f>HYPERLINK("https://klasma.github.io/Logging_0562/kartor/A 3941-2026 karta.png", "A 3941-2026")</f>
        <v/>
      </c>
      <c r="Y70">
        <f>HYPERLINK("https://klasma.github.io/Logging_0562/kartor_geotiff/A 3941-2026 georefererad karta.tif", "A 3941-2026")</f>
        <v/>
      </c>
      <c r="AA70">
        <f>HYPERLINK("https://klasma.github.io/Logging_0562/klagomål/A 3941-2026 FSC-klagomål.docx", "A 3941-2026")</f>
        <v/>
      </c>
      <c r="AB70">
        <f>HYPERLINK("https://klasma.github.io/Logging_0562/klagomålsmail/A 3941-2026 FSC-klagomål mail.docx", "A 3941-2026")</f>
        <v/>
      </c>
      <c r="AC70">
        <f>HYPERLINK("https://klasma.github.io/Logging_0562/tillsyn/A 3941-2026 tillsynsbegäran.docx", "A 3941-2026")</f>
        <v/>
      </c>
      <c r="AD70">
        <f>HYPERLINK("https://klasma.github.io/Logging_0562/tillsynsmail/A 3941-2026 tillsynsbegäran mail.docx", "A 3941-2026")</f>
        <v/>
      </c>
      <c r="AE70">
        <f>HYPERLINK("https://klasma.github.io/Logging_0562/fåglar/A 3941-2026 prioriterade fågelarter.docx", "A 3941-2026")</f>
        <v/>
      </c>
    </row>
    <row r="71" ht="15" customHeight="1">
      <c r="A71" t="inlineStr">
        <is>
          <t>A 22555-2024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46309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Hasselsnok</t>
        </is>
      </c>
      <c r="W71">
        <f>HYPERLINK("https://klasma.github.io/Logging_0562/artfynd/A 22555-2024 artfynd.xlsx", "A 22555-2024")</f>
        <v/>
      </c>
      <c r="X71">
        <f>HYPERLINK("https://klasma.github.io/Logging_0562/kartor/A 22555-2024 karta.png", "A 22555-2024")</f>
        <v/>
      </c>
      <c r="Y71">
        <f>HYPERLINK("https://klasma.github.io/Logging_0562/kartor_geotiff/A 22555-2024 georefererad karta.tif", "A 22555-2024")</f>
        <v/>
      </c>
      <c r="AA71">
        <f>HYPERLINK("https://klasma.github.io/Logging_0562/klagomål/A 22555-2024 FSC-klagomål.docx", "A 22555-2024")</f>
        <v/>
      </c>
      <c r="AB71">
        <f>HYPERLINK("https://klasma.github.io/Logging_0562/klagomålsmail/A 22555-2024 FSC-klagomål mail.docx", "A 22555-2024")</f>
        <v/>
      </c>
      <c r="AC71">
        <f>HYPERLINK("https://klasma.github.io/Logging_0562/tillsyn/A 22555-2024 tillsynsbegäran.docx", "A 22555-2024")</f>
        <v/>
      </c>
      <c r="AD71">
        <f>HYPERLINK("https://klasma.github.io/Logging_0562/tillsynsmail/A 22555-2024 tillsynsbegäran mail.docx", "A 22555-2024")</f>
        <v/>
      </c>
    </row>
    <row r="72" ht="15" customHeight="1">
      <c r="A72" t="inlineStr">
        <is>
          <t>A 22587-2026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46155</v>
      </c>
      <c r="E72" s="1" t="n">
        <v>46309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HYPERLINK("https://klasma.github.io/Logging_0562/artfynd/A 22587-2026 artfynd.xlsx", "A 22587-2026")</f>
        <v/>
      </c>
      <c r="X72">
        <f>HYPERLINK("https://klasma.github.io/Logging_0562/kartor/A 22587-2026 karta.png", "A 22587-2026")</f>
        <v/>
      </c>
      <c r="Y72">
        <f>HYPERLINK("https://klasma.github.io/Logging_0562/kartor_geotiff/A 22587-2026 georefererad karta.tif", "A 22587-2026")</f>
        <v/>
      </c>
      <c r="AA72">
        <f>HYPERLINK("https://klasma.github.io/Logging_0562/klagomål/A 22587-2026 FSC-klagomål.docx", "A 22587-2026")</f>
        <v/>
      </c>
      <c r="AB72">
        <f>HYPERLINK("https://klasma.github.io/Logging_0562/klagomålsmail/A 22587-2026 FSC-klagomål mail.docx", "A 22587-2026")</f>
        <v/>
      </c>
      <c r="AC72">
        <f>HYPERLINK("https://klasma.github.io/Logging_0562/tillsyn/A 22587-2026 tillsynsbegäran.docx", "A 22587-2026")</f>
        <v/>
      </c>
      <c r="AD72">
        <f>HYPERLINK("https://klasma.github.io/Logging_0562/tillsynsmail/A 22587-2026 tillsynsbegäran mail.docx", "A 22587-2026")</f>
        <v/>
      </c>
      <c r="AE72">
        <f>HYPERLINK("https://klasma.github.io/Logging_0562/fåglar/A 22587-2026 prioriterade fågelarter.docx", "A 22587-2026")</f>
        <v/>
      </c>
    </row>
    <row r="73" ht="15" customHeight="1">
      <c r="A73" t="inlineStr">
        <is>
          <t>A 36128-2023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45149</v>
      </c>
      <c r="E73" s="1" t="n">
        <v>46309</v>
      </c>
      <c r="F73" t="inlineStr">
        <is>
          <t>ÖSTERGÖTLANDS LÄN</t>
        </is>
      </c>
      <c r="G73" t="inlineStr">
        <is>
          <t>FINSPÅNG</t>
        </is>
      </c>
      <c r="I73" t="n">
        <v>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Talltita</t>
        </is>
      </c>
      <c r="W73">
        <f>HYPERLINK("https://klasma.github.io/Logging_0562/artfynd/A 36128-2023 artfynd.xlsx", "A 36128-2023")</f>
        <v/>
      </c>
      <c r="X73">
        <f>HYPERLINK("https://klasma.github.io/Logging_0562/kartor/A 36128-2023 karta.png", "A 36128-2023")</f>
        <v/>
      </c>
      <c r="Y73">
        <f>HYPERLINK("https://klasma.github.io/Logging_0562/kartor_geotiff/A 36128-2023 georefererad karta.tif", "A 36128-2023")</f>
        <v/>
      </c>
      <c r="AA73">
        <f>HYPERLINK("https://klasma.github.io/Logging_0562/klagomål/A 36128-2023 FSC-klagomål.docx", "A 36128-2023")</f>
        <v/>
      </c>
      <c r="AB73">
        <f>HYPERLINK("https://klasma.github.io/Logging_0562/klagomålsmail/A 36128-2023 FSC-klagomål mail.docx", "A 36128-2023")</f>
        <v/>
      </c>
      <c r="AC73">
        <f>HYPERLINK("https://klasma.github.io/Logging_0562/tillsyn/A 36128-2023 tillsynsbegäran.docx", "A 36128-2023")</f>
        <v/>
      </c>
      <c r="AD73">
        <f>HYPERLINK("https://klasma.github.io/Logging_0562/tillsynsmail/A 36128-2023 tillsynsbegäran mail.docx", "A 36128-2023")</f>
        <v/>
      </c>
      <c r="AE73">
        <f>HYPERLINK("https://klasma.github.io/Logging_0562/fåglar/A 36128-2023 prioriterade fågelarter.docx", "A 36128-2023")</f>
        <v/>
      </c>
    </row>
    <row r="74" ht="15" customHeight="1">
      <c r="A74" t="inlineStr">
        <is>
          <t>A 53265-2023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46309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HYPERLINK("https://klasma.github.io/Logging_0562/artfynd/A 53265-2023 artfynd.xlsx", "A 53265-2023")</f>
        <v/>
      </c>
      <c r="X74">
        <f>HYPERLINK("https://klasma.github.io/Logging_0562/kartor/A 53265-2023 karta.png", "A 53265-2023")</f>
        <v/>
      </c>
      <c r="Y74">
        <f>HYPERLINK("https://klasma.github.io/Logging_0562/kartor_geotiff/A 53265-2023 georefererad karta.tif", "A 53265-2023")</f>
        <v/>
      </c>
      <c r="AA74">
        <f>HYPERLINK("https://klasma.github.io/Logging_0562/klagomål/A 53265-2023 FSC-klagomål.docx", "A 53265-2023")</f>
        <v/>
      </c>
      <c r="AB74">
        <f>HYPERLINK("https://klasma.github.io/Logging_0562/klagomålsmail/A 53265-2023 FSC-klagomål mail.docx", "A 53265-2023")</f>
        <v/>
      </c>
      <c r="AC74">
        <f>HYPERLINK("https://klasma.github.io/Logging_0562/tillsyn/A 53265-2023 tillsynsbegäran.docx", "A 53265-2023")</f>
        <v/>
      </c>
      <c r="AD74">
        <f>HYPERLINK("https://klasma.github.io/Logging_0562/tillsynsmail/A 53265-2023 tillsynsbegäran mail.docx", "A 53265-2023")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46309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46309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46309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61695-2021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44501</v>
      </c>
      <c r="E78" s="1" t="n">
        <v>46309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Kornknutmossa</t>
        </is>
      </c>
      <c r="W78">
        <f>HYPERLINK("https://klasma.github.io/Logging_0562/artfynd/A 61695-2021 artfynd.xlsx", "A 61695-2021")</f>
        <v/>
      </c>
      <c r="X78">
        <f>HYPERLINK("https://klasma.github.io/Logging_0562/kartor/A 61695-2021 karta.png", "A 61695-2021")</f>
        <v/>
      </c>
      <c r="Y78">
        <f>HYPERLINK("https://klasma.github.io/Logging_0562/kartor_geotiff/A 61695-2021 georefererad karta.tif", "A 61695-2021")</f>
        <v/>
      </c>
      <c r="AA78">
        <f>HYPERLINK("https://klasma.github.io/Logging_0562/klagomål/A 61695-2021 FSC-klagomål.docx", "A 61695-2021")</f>
        <v/>
      </c>
      <c r="AB78">
        <f>HYPERLINK("https://klasma.github.io/Logging_0562/klagomålsmail/A 61695-2021 FSC-klagomål mail.docx", "A 61695-2021")</f>
        <v/>
      </c>
      <c r="AC78">
        <f>HYPERLINK("https://klasma.github.io/Logging_0562/tillsyn/A 61695-2021 tillsynsbegäran.docx", "A 61695-2021")</f>
        <v/>
      </c>
      <c r="AD78">
        <f>HYPERLINK("https://klasma.github.io/Logging_0562/tillsynsmail/A 61695-2021 tillsynsbegäran mail.docx", "A 61695-2021")</f>
        <v/>
      </c>
    </row>
    <row r="79" ht="15" customHeight="1">
      <c r="A79" t="inlineStr">
        <is>
          <t>A 663-2023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44930</v>
      </c>
      <c r="E79" s="1" t="n">
        <v>46309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HYPERLINK("https://klasma.github.io/Logging_0562/artfynd/A 663-2023 artfynd.xlsx", "A 663-2023")</f>
        <v/>
      </c>
      <c r="X79">
        <f>HYPERLINK("https://klasma.github.io/Logging_0562/kartor/A 663-2023 karta.png", "A 663-2023")</f>
        <v/>
      </c>
      <c r="Y79">
        <f>HYPERLINK("https://klasma.github.io/Logging_0562/kartor_geotiff/A 663-2023 georefererad karta.tif", "A 663-2023")</f>
        <v/>
      </c>
      <c r="AA79">
        <f>HYPERLINK("https://klasma.github.io/Logging_0562/klagomål/A 663-2023 FSC-klagomål.docx", "A 663-2023")</f>
        <v/>
      </c>
      <c r="AB79">
        <f>HYPERLINK("https://klasma.github.io/Logging_0562/klagomålsmail/A 663-2023 FSC-klagomål mail.docx", "A 663-2023")</f>
        <v/>
      </c>
      <c r="AC79">
        <f>HYPERLINK("https://klasma.github.io/Logging_0562/tillsyn/A 663-2023 tillsynsbegäran.docx", "A 663-2023")</f>
        <v/>
      </c>
      <c r="AD79">
        <f>HYPERLINK("https://klasma.github.io/Logging_0562/tillsynsmail/A 663-2023 tillsynsbegäran mail.docx", "A 663-2023")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46309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46309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46309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45082</v>
      </c>
      <c r="E83" s="1" t="n">
        <v>46309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Blåmossa</t>
        </is>
      </c>
      <c r="W83">
        <f>HYPERLINK("https://klasma.github.io/Logging_0562/artfynd/A 24411-2023 artfynd.xlsx", "A 24411-2023")</f>
        <v/>
      </c>
      <c r="X83">
        <f>HYPERLINK("https://klasma.github.io/Logging_0562/kartor/A 24411-2023 karta.png", "A 24411-2023")</f>
        <v/>
      </c>
      <c r="Y83">
        <f>HYPERLINK("https://klasma.github.io/Logging_0562/kartor_geotiff/A 24411-2023 georefererad karta.tif", "A 24411-2023")</f>
        <v/>
      </c>
      <c r="AA83">
        <f>HYPERLINK("https://klasma.github.io/Logging_0562/klagomål/A 24411-2023 FSC-klagomål.docx", "A 24411-2023")</f>
        <v/>
      </c>
      <c r="AB83">
        <f>HYPERLINK("https://klasma.github.io/Logging_0562/klagomålsmail/A 24411-2023 FSC-klagomål mail.docx", "A 24411-2023")</f>
        <v/>
      </c>
      <c r="AC83">
        <f>HYPERLINK("https://klasma.github.io/Logging_0562/tillsyn/A 24411-2023 tillsynsbegäran.docx", "A 24411-2023")</f>
        <v/>
      </c>
      <c r="AD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46309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Naturvårdsverket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HYPERLINK("https://klasma.github.io/Logging_0562/artfynd/A 15123-2025 artfynd.xlsx", "A 15123-2025")</f>
        <v/>
      </c>
      <c r="X84">
        <f>HYPERLINK("https://klasma.github.io/Logging_0562/kartor/A 15123-2025 karta.png", "A 15123-2025")</f>
        <v/>
      </c>
      <c r="Y84">
        <f>HYPERLINK("https://klasma.github.io/Logging_0562/kartor_geotiff/A 15123-2025 georefererad karta.tif", "A 15123-2025")</f>
        <v/>
      </c>
      <c r="AA84">
        <f>HYPERLINK("https://klasma.github.io/Logging_0562/klagomål/A 15123-2025 FSC-klagomål.docx", "A 15123-2025")</f>
        <v/>
      </c>
      <c r="AB84">
        <f>HYPERLINK("https://klasma.github.io/Logging_0562/klagomålsmail/A 15123-2025 FSC-klagomål mail.docx", "A 15123-2025")</f>
        <v/>
      </c>
      <c r="AC84">
        <f>HYPERLINK("https://klasma.github.io/Logging_0562/tillsyn/A 15123-2025 tillsynsbegäran.docx", "A 15123-2025")</f>
        <v/>
      </c>
      <c r="AD84">
        <f>HYPERLINK("https://klasma.github.io/Logging_0562/tillsynsmail/A 15123-2025 tillsynsbegäran mail.docx", "A 15123-2025")</f>
        <v/>
      </c>
      <c r="AE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46309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46309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46309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46309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46309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46309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46309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46309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46309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46309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46309</v>
      </c>
      <c r="F96" t="inlineStr">
        <is>
          <t>ÖSTERGÖTLANDS LÄN</t>
        </is>
      </c>
      <c r="G96" t="inlineStr">
        <is>
          <t>FINSPÅNG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46309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46309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46309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46309</v>
      </c>
      <c r="F100" t="inlineStr">
        <is>
          <t>ÖSTERGÖTLANDS LÄN</t>
        </is>
      </c>
      <c r="G100" t="inlineStr">
        <is>
          <t>FINSPÅNG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44856</v>
      </c>
      <c r="E101" s="1" t="n">
        <v>46309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46309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46309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46309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46309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46309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46309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46309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46309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46309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46309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46309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46309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46309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67767-2021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46309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46309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44874</v>
      </c>
      <c r="E117" s="1" t="n">
        <v>46309</v>
      </c>
      <c r="F117" t="inlineStr">
        <is>
          <t>ÖSTERGÖTLANDS LÄN</t>
        </is>
      </c>
      <c r="G117" t="inlineStr">
        <is>
          <t>FINSPÅNG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46309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46309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46309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46309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46309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46309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46309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46309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46309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46309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46309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46309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46309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46309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46309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46309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46309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46309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46309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46309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46309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46309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46309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46309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46309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46309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46309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46309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46309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46309</v>
      </c>
      <c r="F147" t="inlineStr">
        <is>
          <t>ÖSTERGÖTLANDS LÄN</t>
        </is>
      </c>
      <c r="G147" t="inlineStr">
        <is>
          <t>FINSPÅNG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46309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46309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46309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46309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46309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46309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46309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46309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46309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46309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46309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46309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46309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46309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46309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46309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46309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46309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46309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46309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46309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46309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46309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46309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46309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46309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46309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46309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46309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46309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46309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44754</v>
      </c>
      <c r="E179" s="1" t="n">
        <v>46309</v>
      </c>
      <c r="F179" t="inlineStr">
        <is>
          <t>ÖSTERGÖTLANDS LÄN</t>
        </is>
      </c>
      <c r="G179" t="inlineStr">
        <is>
          <t>FINSPÅNG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45042</v>
      </c>
      <c r="E180" s="1" t="n">
        <v>46309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46309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45617</v>
      </c>
      <c r="E182" s="1" t="n">
        <v>46309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44778</v>
      </c>
      <c r="E183" s="1" t="n">
        <v>46309</v>
      </c>
      <c r="F183" t="inlineStr">
        <is>
          <t>ÖSTERGÖTLANDS LÄN</t>
        </is>
      </c>
      <c r="G183" t="inlineStr">
        <is>
          <t>FINSPÅNG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44802</v>
      </c>
      <c r="E184" s="1" t="n">
        <v>46309</v>
      </c>
      <c r="F184" t="inlineStr">
        <is>
          <t>ÖSTERGÖTLANDS LÄN</t>
        </is>
      </c>
      <c r="G184" t="inlineStr">
        <is>
          <t>FINSPÅNG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46309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Övriga Aktiebolag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45362</v>
      </c>
      <c r="E186" s="1" t="n">
        <v>46309</v>
      </c>
      <c r="F186" t="inlineStr">
        <is>
          <t>ÖSTERGÖTLANDS LÄN</t>
        </is>
      </c>
      <c r="G186" t="inlineStr">
        <is>
          <t>FINSPÅNG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45535</v>
      </c>
      <c r="E187" s="1" t="n">
        <v>46309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46309</v>
      </c>
      <c r="F188" t="inlineStr">
        <is>
          <t>ÖSTERGÖTLANDS LÄN</t>
        </is>
      </c>
      <c r="G188" t="inlineStr">
        <is>
          <t>FINSPÅNG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46309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46309</v>
      </c>
      <c r="F190" t="inlineStr">
        <is>
          <t>ÖSTERGÖTLANDS LÄN</t>
        </is>
      </c>
      <c r="G190" t="inlineStr">
        <is>
          <t>FINSPÅNG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45374</v>
      </c>
      <c r="E191" s="1" t="n">
        <v>46309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46309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46309</v>
      </c>
      <c r="F193" t="inlineStr">
        <is>
          <t>ÖSTERGÖTLANDS LÄN</t>
        </is>
      </c>
      <c r="G193" t="inlineStr">
        <is>
          <t>FINSPÅNG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46309</v>
      </c>
      <c r="F194" t="inlineStr">
        <is>
          <t>ÖSTERGÖTLANDS LÄN</t>
        </is>
      </c>
      <c r="G194" t="inlineStr">
        <is>
          <t>FINSPÅNG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46309</v>
      </c>
      <c r="F195" t="inlineStr">
        <is>
          <t>ÖSTERGÖTLANDS LÄN</t>
        </is>
      </c>
      <c r="G195" t="inlineStr">
        <is>
          <t>FINSPÅNG</t>
        </is>
      </c>
      <c r="I195" t="n">
        <v>16.6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46309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9009-2024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45357</v>
      </c>
      <c r="E197" s="1" t="n">
        <v>46309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46309</v>
      </c>
      <c r="F198" t="inlineStr">
        <is>
          <t>ÖSTERGÖTLANDS LÄN</t>
        </is>
      </c>
      <c r="G198" t="inlineStr">
        <is>
          <t>FINSPÅNG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44816</v>
      </c>
      <c r="E199" s="1" t="n">
        <v>46309</v>
      </c>
      <c r="F199" t="inlineStr">
        <is>
          <t>ÖSTERGÖTLANDS LÄN</t>
        </is>
      </c>
      <c r="G199" t="inlineStr">
        <is>
          <t>FINSPÅNG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46309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Naturvårdsverket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45744</v>
      </c>
      <c r="E201" s="1" t="n">
        <v>46309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Naturvårdsverket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44887</v>
      </c>
      <c r="E202" s="1" t="n">
        <v>46309</v>
      </c>
      <c r="F202" t="inlineStr">
        <is>
          <t>ÖSTERGÖTLANDS LÄN</t>
        </is>
      </c>
      <c r="G202" t="inlineStr">
        <is>
          <t>FINSPÅNG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46309</v>
      </c>
      <c r="F203" t="inlineStr">
        <is>
          <t>ÖSTERGÖTLANDS LÄN</t>
        </is>
      </c>
      <c r="G203" t="inlineStr">
        <is>
          <t>FINSPÅNG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45618</v>
      </c>
      <c r="E204" s="1" t="n">
        <v>46309</v>
      </c>
      <c r="F204" t="inlineStr">
        <is>
          <t>ÖSTERGÖTLANDS LÄN</t>
        </is>
      </c>
      <c r="G204" t="inlineStr">
        <is>
          <t>FINSPÅNG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46309</v>
      </c>
      <c r="F205" t="inlineStr">
        <is>
          <t>ÖSTERGÖTLANDS LÄN</t>
        </is>
      </c>
      <c r="G205" t="inlineStr">
        <is>
          <t>FINSPÅNG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46309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30921-2022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44767</v>
      </c>
      <c r="E207" s="1" t="n">
        <v>46309</v>
      </c>
      <c r="F207" t="inlineStr">
        <is>
          <t>ÖSTERGÖTLANDS LÄN</t>
        </is>
      </c>
      <c r="G207" t="inlineStr">
        <is>
          <t>FINSPÅNG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45442</v>
      </c>
      <c r="E208" s="1" t="n">
        <v>46309</v>
      </c>
      <c r="F208" t="inlineStr">
        <is>
          <t>ÖSTERGÖTLANDS LÄN</t>
        </is>
      </c>
      <c r="G208" t="inlineStr">
        <is>
          <t>FINSPÅNG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44986</v>
      </c>
      <c r="E209" s="1" t="n">
        <v>46309</v>
      </c>
      <c r="F209" t="inlineStr">
        <is>
          <t>ÖSTERGÖTLANDS LÄN</t>
        </is>
      </c>
      <c r="G209" t="inlineStr">
        <is>
          <t>FINSPÅNG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46309</v>
      </c>
      <c r="F210" t="inlineStr">
        <is>
          <t>ÖSTERGÖTLANDS LÄN</t>
        </is>
      </c>
      <c r="G210" t="inlineStr">
        <is>
          <t>FINSPÅNG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46309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46309</v>
      </c>
      <c r="F212" t="inlineStr">
        <is>
          <t>ÖSTERGÖTLANDS LÄN</t>
        </is>
      </c>
      <c r="G212" t="inlineStr">
        <is>
          <t>FINSPÅNG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46309</v>
      </c>
      <c r="F213" t="inlineStr">
        <is>
          <t>ÖSTERGÖTLANDS LÄN</t>
        </is>
      </c>
      <c r="G213" t="inlineStr">
        <is>
          <t>FINSPÅNG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46309</v>
      </c>
      <c r="F214" t="inlineStr">
        <is>
          <t>ÖSTERGÖTLANDS LÄN</t>
        </is>
      </c>
      <c r="G214" t="inlineStr">
        <is>
          <t>FINSPÅNG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45323</v>
      </c>
      <c r="E215" s="1" t="n">
        <v>46309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44891</v>
      </c>
      <c r="E216" s="1" t="n">
        <v>46309</v>
      </c>
      <c r="F216" t="inlineStr">
        <is>
          <t>ÖSTERGÖTLANDS LÄN</t>
        </is>
      </c>
      <c r="G216" t="inlineStr">
        <is>
          <t>FINSPÅNG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46309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Naturvårdsverket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46309</v>
      </c>
      <c r="F218" t="inlineStr">
        <is>
          <t>ÖSTERGÖTLANDS LÄN</t>
        </is>
      </c>
      <c r="G218" t="inlineStr">
        <is>
          <t>FINSPÅNG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45796</v>
      </c>
      <c r="E219" s="1" t="n">
        <v>46309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Naturvårdsverket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46309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45095</v>
      </c>
      <c r="E221" s="1" t="n">
        <v>46309</v>
      </c>
      <c r="F221" t="inlineStr">
        <is>
          <t>ÖSTERGÖTLANDS LÄN</t>
        </is>
      </c>
      <c r="G221" t="inlineStr">
        <is>
          <t>FINSPÅNG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46309</v>
      </c>
      <c r="F222" t="inlineStr">
        <is>
          <t>ÖSTERGÖTLANDS LÄN</t>
        </is>
      </c>
      <c r="G222" t="inlineStr">
        <is>
          <t>FINSPÅNG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45853</v>
      </c>
      <c r="E223" s="1" t="n">
        <v>46309</v>
      </c>
      <c r="F223" t="inlineStr">
        <is>
          <t>ÖSTERGÖTLANDS LÄN</t>
        </is>
      </c>
      <c r="G223" t="inlineStr">
        <is>
          <t>FINSPÅNG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46309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46309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46309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24310-2025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45797</v>
      </c>
      <c r="E227" s="1" t="n">
        <v>46309</v>
      </c>
      <c r="F227" t="inlineStr">
        <is>
          <t>ÖSTERGÖTLANDS LÄN</t>
        </is>
      </c>
      <c r="G227" t="inlineStr">
        <is>
          <t>FINSPÅNG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24328-2025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45797</v>
      </c>
      <c r="E228" s="1" t="n">
        <v>46309</v>
      </c>
      <c r="F228" t="inlineStr">
        <is>
          <t>ÖSTERGÖTLANDS LÄN</t>
        </is>
      </c>
      <c r="G228" t="inlineStr">
        <is>
          <t>FINSPÅNG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46309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46309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46309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Övriga Aktiebolag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46309</v>
      </c>
      <c r="F232" t="inlineStr">
        <is>
          <t>ÖSTERGÖTLANDS LÄN</t>
        </is>
      </c>
      <c r="G232" t="inlineStr">
        <is>
          <t>FINSPÅNG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46309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Kyrkan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46309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46309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Naturvårdsverket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45293</v>
      </c>
      <c r="E236" s="1" t="n">
        <v>46309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44860</v>
      </c>
      <c r="E237" s="1" t="n">
        <v>46309</v>
      </c>
      <c r="F237" t="inlineStr">
        <is>
          <t>ÖSTERGÖTLANDS LÄN</t>
        </is>
      </c>
      <c r="G237" t="inlineStr">
        <is>
          <t>FINSPÅNG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46309</v>
      </c>
      <c r="F238" t="inlineStr">
        <is>
          <t>ÖSTERGÖTLANDS LÄN</t>
        </is>
      </c>
      <c r="G238" t="inlineStr">
        <is>
          <t>FINSPÅNG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45621</v>
      </c>
      <c r="E239" s="1" t="n">
        <v>46309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46309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Naturvårdsverket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45467</v>
      </c>
      <c r="E241" s="1" t="n">
        <v>46309</v>
      </c>
      <c r="F241" t="inlineStr">
        <is>
          <t>ÖSTERGÖTLANDS LÄN</t>
        </is>
      </c>
      <c r="G241" t="inlineStr">
        <is>
          <t>FINSPÅNG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46309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Naturvårdsverket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46309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Naturvårdsverket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45891</v>
      </c>
      <c r="E244" s="1" t="n">
        <v>46309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46309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Allmännings- och besparingsskogar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46309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46309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45894</v>
      </c>
      <c r="E248" s="1" t="n">
        <v>46309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46309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46309</v>
      </c>
      <c r="F250" t="inlineStr">
        <is>
          <t>ÖSTERGÖTLANDS LÄN</t>
        </is>
      </c>
      <c r="G250" t="inlineStr">
        <is>
          <t>FINSPÅNG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46309</v>
      </c>
      <c r="F251" t="inlineStr">
        <is>
          <t>ÖSTERGÖTLANDS LÄN</t>
        </is>
      </c>
      <c r="G251" t="inlineStr">
        <is>
          <t>FINSPÅNG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46309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46309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19160-2024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46309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45428</v>
      </c>
      <c r="E255" s="1" t="n">
        <v>46309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64408-2023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46309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45407-2022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44844</v>
      </c>
      <c r="E257" s="1" t="n">
        <v>46309</v>
      </c>
      <c r="F257" t="inlineStr">
        <is>
          <t>ÖSTERGÖTLANDS LÄN</t>
        </is>
      </c>
      <c r="G257" t="inlineStr">
        <is>
          <t>FINSPÅNG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45411-2022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44844</v>
      </c>
      <c r="E258" s="1" t="n">
        <v>46309</v>
      </c>
      <c r="F258" t="inlineStr">
        <is>
          <t>ÖSTERGÖTLANDS LÄN</t>
        </is>
      </c>
      <c r="G258" t="inlineStr">
        <is>
          <t>FINSPÅNG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44866</v>
      </c>
      <c r="E259" s="1" t="n">
        <v>46309</v>
      </c>
      <c r="F259" t="inlineStr">
        <is>
          <t>ÖSTERGÖTLANDS LÄN</t>
        </is>
      </c>
      <c r="G259" t="inlineStr">
        <is>
          <t>FINSPÅNG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44840</v>
      </c>
      <c r="E260" s="1" t="n">
        <v>46309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45903</v>
      </c>
      <c r="E261" s="1" t="n">
        <v>46309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46309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46309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45904</v>
      </c>
      <c r="E265" s="1" t="n">
        <v>46309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46309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27192-2025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46309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45903</v>
      </c>
      <c r="E268" s="1" t="n">
        <v>46309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52004-2024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46309</v>
      </c>
      <c r="F269" t="inlineStr">
        <is>
          <t>ÖSTERGÖTLANDS LÄN</t>
        </is>
      </c>
      <c r="G269" t="inlineStr">
        <is>
          <t>FINSPÅNG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46309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46309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46309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14866-2022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44656</v>
      </c>
      <c r="E273" s="1" t="n">
        <v>46309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46309</v>
      </c>
      <c r="F274" t="inlineStr">
        <is>
          <t>ÖSTERGÖTLANDS LÄN</t>
        </is>
      </c>
      <c r="G274" t="inlineStr">
        <is>
          <t>FINSPÅNG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45639</v>
      </c>
      <c r="E275" s="1" t="n">
        <v>46309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46309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46309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44865</v>
      </c>
      <c r="E278" s="1" t="n">
        <v>46309</v>
      </c>
      <c r="F278" t="inlineStr">
        <is>
          <t>ÖSTERGÖTLANDS LÄN</t>
        </is>
      </c>
      <c r="G278" t="inlineStr">
        <is>
          <t>FINSPÅNG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44887</v>
      </c>
      <c r="E279" s="1" t="n">
        <v>46309</v>
      </c>
      <c r="F279" t="inlineStr">
        <is>
          <t>ÖSTERGÖTLANDS LÄN</t>
        </is>
      </c>
      <c r="G279" t="inlineStr">
        <is>
          <t>FINSPÅNG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44887</v>
      </c>
      <c r="E280" s="1" t="n">
        <v>46309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45819</v>
      </c>
      <c r="E281" s="1" t="n">
        <v>46309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46309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46309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44637</v>
      </c>
      <c r="E284" s="1" t="n">
        <v>46309</v>
      </c>
      <c r="F284" t="inlineStr">
        <is>
          <t>ÖSTERGÖTLANDS LÄN</t>
        </is>
      </c>
      <c r="G284" t="inlineStr">
        <is>
          <t>FINSPÅNG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46309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46309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46309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29430-2025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46309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46309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46309</v>
      </c>
      <c r="F290" t="inlineStr">
        <is>
          <t>ÖSTERGÖTLANDS LÄN</t>
        </is>
      </c>
      <c r="G290" t="inlineStr">
        <is>
          <t>FINSPÅNG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46309</v>
      </c>
      <c r="F291" t="inlineStr">
        <is>
          <t>ÖSTERGÖTLANDS LÄN</t>
        </is>
      </c>
      <c r="G291" t="inlineStr">
        <is>
          <t>FINSPÅNG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46309</v>
      </c>
      <c r="F292" t="inlineStr">
        <is>
          <t>ÖSTERGÖTLANDS LÄN</t>
        </is>
      </c>
      <c r="G292" t="inlineStr">
        <is>
          <t>FINSPÅNG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46309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32246-2025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46309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44897</v>
      </c>
      <c r="E295" s="1" t="n">
        <v>46309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46309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47567-2025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45931</v>
      </c>
      <c r="E297" s="1" t="n">
        <v>46309</v>
      </c>
      <c r="F297" t="inlineStr">
        <is>
          <t>ÖSTERGÖTLANDS LÄN</t>
        </is>
      </c>
      <c r="G297" t="inlineStr">
        <is>
          <t>FINSPÅNG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46309</v>
      </c>
      <c r="F298" t="inlineStr">
        <is>
          <t>ÖSTERGÖTLANDS LÄN</t>
        </is>
      </c>
      <c r="G298" t="inlineStr">
        <is>
          <t>FINSPÅNG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46309</v>
      </c>
      <c r="F299" t="inlineStr">
        <is>
          <t>ÖSTERGÖTLANDS LÄN</t>
        </is>
      </c>
      <c r="G299" t="inlineStr">
        <is>
          <t>FINSPÅNG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59468-2021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46309</v>
      </c>
      <c r="F300" t="inlineStr">
        <is>
          <t>ÖSTERGÖTLANDS LÄN</t>
        </is>
      </c>
      <c r="G300" t="inlineStr">
        <is>
          <t>FINSPÅNG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45935</v>
      </c>
      <c r="E301" s="1" t="n">
        <v>46309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Övriga Aktiebolag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46309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46309</v>
      </c>
      <c r="F303" t="inlineStr">
        <is>
          <t>ÖSTERGÖTLANDS LÄN</t>
        </is>
      </c>
      <c r="G303" t="inlineStr">
        <is>
          <t>FINSPÅNG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46309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46309</v>
      </c>
      <c r="F305" t="inlineStr">
        <is>
          <t>ÖSTERGÖTLANDS LÄN</t>
        </is>
      </c>
      <c r="G305" t="inlineStr">
        <is>
          <t>FINSPÅNG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45853</v>
      </c>
      <c r="E306" s="1" t="n">
        <v>46309</v>
      </c>
      <c r="F306" t="inlineStr">
        <is>
          <t>ÖSTERGÖTLANDS LÄN</t>
        </is>
      </c>
      <c r="G306" t="inlineStr">
        <is>
          <t>FINSPÅNG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45854</v>
      </c>
      <c r="E307" s="1" t="n">
        <v>46309</v>
      </c>
      <c r="F307" t="inlineStr">
        <is>
          <t>ÖSTERGÖTLANDS LÄN</t>
        </is>
      </c>
      <c r="G307" t="inlineStr">
        <is>
          <t>FINSPÅNG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46309</v>
      </c>
      <c r="F308" t="inlineStr">
        <is>
          <t>ÖSTERGÖTLANDS LÄN</t>
        </is>
      </c>
      <c r="G308" t="inlineStr">
        <is>
          <t>FINSPÅNG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46309</v>
      </c>
      <c r="F309" t="inlineStr">
        <is>
          <t>ÖSTERGÖTLANDS LÄN</t>
        </is>
      </c>
      <c r="G309" t="inlineStr">
        <is>
          <t>FINSPÅNG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45854</v>
      </c>
      <c r="E310" s="1" t="n">
        <v>46309</v>
      </c>
      <c r="F310" t="inlineStr">
        <is>
          <t>ÖSTERGÖTLANDS LÄN</t>
        </is>
      </c>
      <c r="G310" t="inlineStr">
        <is>
          <t>FINSPÅNG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45523</v>
      </c>
      <c r="E311" s="1" t="n">
        <v>46309</v>
      </c>
      <c r="F311" t="inlineStr">
        <is>
          <t>ÖSTERGÖTLANDS LÄN</t>
        </is>
      </c>
      <c r="G311" t="inlineStr">
        <is>
          <t>FINSPÅNG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50395-2025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45944</v>
      </c>
      <c r="E312" s="1" t="n">
        <v>46309</v>
      </c>
      <c r="F312" t="inlineStr">
        <is>
          <t>ÖSTERGÖTLANDS LÄN</t>
        </is>
      </c>
      <c r="G312" t="inlineStr">
        <is>
          <t>FINSPÅNG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46040</v>
      </c>
      <c r="E313" s="1" t="n">
        <v>46309</v>
      </c>
      <c r="F313" t="inlineStr">
        <is>
          <t>ÖSTERGÖTLANDS LÄN</t>
        </is>
      </c>
      <c r="G313" t="inlineStr">
        <is>
          <t>FINSPÅNG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46040</v>
      </c>
      <c r="E314" s="1" t="n">
        <v>46309</v>
      </c>
      <c r="F314" t="inlineStr">
        <is>
          <t>ÖSTERGÖTLANDS LÄN</t>
        </is>
      </c>
      <c r="G314" t="inlineStr">
        <is>
          <t>FINSPÅNG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46309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46309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46309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46309</v>
      </c>
      <c r="F318" t="inlineStr">
        <is>
          <t>ÖSTERGÖTLANDS LÄN</t>
        </is>
      </c>
      <c r="G318" t="inlineStr">
        <is>
          <t>FINSPÅNG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45566</v>
      </c>
      <c r="E319" s="1" t="n">
        <v>46309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46309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46309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45678</v>
      </c>
      <c r="E322" s="1" t="n">
        <v>46309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45428</v>
      </c>
      <c r="E323" s="1" t="n">
        <v>46309</v>
      </c>
      <c r="F323" t="inlineStr">
        <is>
          <t>ÖSTERGÖTLANDS LÄN</t>
        </is>
      </c>
      <c r="G323" t="inlineStr">
        <is>
          <t>FINSPÅNG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45870</v>
      </c>
      <c r="E324" s="1" t="n">
        <v>46309</v>
      </c>
      <c r="F324" t="inlineStr">
        <is>
          <t>ÖSTERGÖTLANDS LÄN</t>
        </is>
      </c>
      <c r="G324" t="inlineStr">
        <is>
          <t>FINSPÅNG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46309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46309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45343</v>
      </c>
      <c r="E327" s="1" t="n">
        <v>46309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45441</v>
      </c>
      <c r="E328" s="1" t="n">
        <v>46309</v>
      </c>
      <c r="F328" t="inlineStr">
        <is>
          <t>ÖSTERGÖTLANDS LÄN</t>
        </is>
      </c>
      <c r="G328" t="inlineStr">
        <is>
          <t>FINSPÅNG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45441</v>
      </c>
      <c r="E329" s="1" t="n">
        <v>46309</v>
      </c>
      <c r="F329" t="inlineStr">
        <is>
          <t>ÖSTERGÖTLANDS LÄN</t>
        </is>
      </c>
      <c r="G329" t="inlineStr">
        <is>
          <t>FINSPÅNG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44964</v>
      </c>
      <c r="E330" s="1" t="n">
        <v>46309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45179</v>
      </c>
      <c r="E331" s="1" t="n">
        <v>46309</v>
      </c>
      <c r="F331" t="inlineStr">
        <is>
          <t>ÖSTERGÖTLANDS LÄN</t>
        </is>
      </c>
      <c r="G331" t="inlineStr">
        <is>
          <t>FINSPÅNG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45179</v>
      </c>
      <c r="E332" s="1" t="n">
        <v>46309</v>
      </c>
      <c r="F332" t="inlineStr">
        <is>
          <t>ÖSTERGÖTLANDS LÄN</t>
        </is>
      </c>
      <c r="G332" t="inlineStr">
        <is>
          <t>FINSPÅNG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52659-2025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45955</v>
      </c>
      <c r="E333" s="1" t="n">
        <v>46309</v>
      </c>
      <c r="F333" t="inlineStr">
        <is>
          <t>ÖSTERGÖTLANDS LÄN</t>
        </is>
      </c>
      <c r="G333" t="inlineStr">
        <is>
          <t>FINSPÅNG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45709</v>
      </c>
      <c r="E334" s="1" t="n">
        <v>46309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46309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26087-2022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44734</v>
      </c>
      <c r="E336" s="1" t="n">
        <v>46309</v>
      </c>
      <c r="F336" t="inlineStr">
        <is>
          <t>ÖSTERGÖTLANDS LÄN</t>
        </is>
      </c>
      <c r="G336" t="inlineStr">
        <is>
          <t>FINSPÅNG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44732</v>
      </c>
      <c r="E337" s="1" t="n">
        <v>46309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46309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46309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44918</v>
      </c>
      <c r="E340" s="1" t="n">
        <v>46309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45705</v>
      </c>
      <c r="E341" s="1" t="n">
        <v>46309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46309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Naturvårdsverket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46309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46309</v>
      </c>
      <c r="F344" t="inlineStr">
        <is>
          <t>ÖSTERGÖTLANDS LÄN</t>
        </is>
      </c>
      <c r="G344" t="inlineStr">
        <is>
          <t>FINSPÅNG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44614</v>
      </c>
      <c r="E345" s="1" t="n">
        <v>46309</v>
      </c>
      <c r="F345" t="inlineStr">
        <is>
          <t>ÖSTERGÖTLANDS LÄN</t>
        </is>
      </c>
      <c r="G345" t="inlineStr">
        <is>
          <t>FINSPÅNG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46309</v>
      </c>
      <c r="F346" t="inlineStr">
        <is>
          <t>ÖSTERGÖTLANDS LÄN</t>
        </is>
      </c>
      <c r="G346" t="inlineStr">
        <is>
          <t>FINSPÅNG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46309</v>
      </c>
      <c r="F347" t="inlineStr">
        <is>
          <t>ÖSTERGÖTLANDS LÄN</t>
        </is>
      </c>
      <c r="G347" t="inlineStr">
        <is>
          <t>FINSPÅNG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44679</v>
      </c>
      <c r="E348" s="1" t="n">
        <v>46309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Övriga Aktiebolag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46309</v>
      </c>
      <c r="F349" t="inlineStr">
        <is>
          <t>ÖSTERGÖTLANDS LÄN</t>
        </is>
      </c>
      <c r="G349" t="inlineStr">
        <is>
          <t>FINSPÅNG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45969</v>
      </c>
      <c r="E350" s="1" t="n">
        <v>46309</v>
      </c>
      <c r="F350" t="inlineStr">
        <is>
          <t>ÖSTERGÖTLANDS LÄN</t>
        </is>
      </c>
      <c r="G350" t="inlineStr">
        <is>
          <t>FINSPÅNG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46309</v>
      </c>
      <c r="F351" t="inlineStr">
        <is>
          <t>ÖSTERGÖTLANDS LÄN</t>
        </is>
      </c>
      <c r="G351" t="inlineStr">
        <is>
          <t>FINSPÅNG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38231-2025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46309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46309</v>
      </c>
      <c r="F353" t="inlineStr">
        <is>
          <t>ÖSTERGÖTLANDS LÄN</t>
        </is>
      </c>
      <c r="G353" t="inlineStr">
        <is>
          <t>FINSPÅNG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44653</v>
      </c>
      <c r="E354" s="1" t="n">
        <v>46309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73260-2021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46309</v>
      </c>
      <c r="F355" t="inlineStr">
        <is>
          <t>ÖSTERGÖTLANDS LÄN</t>
        </is>
      </c>
      <c r="G355" t="inlineStr">
        <is>
          <t>FINSPÅNG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63321-2021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44508</v>
      </c>
      <c r="E356" s="1" t="n">
        <v>46309</v>
      </c>
      <c r="F356" t="inlineStr">
        <is>
          <t>ÖSTERGÖTLANDS LÄN</t>
        </is>
      </c>
      <c r="G356" t="inlineStr">
        <is>
          <t>FINSPÅNG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45107</v>
      </c>
      <c r="E357" s="1" t="n">
        <v>46309</v>
      </c>
      <c r="F357" t="inlineStr">
        <is>
          <t>ÖSTERGÖTLANDS LÄN</t>
        </is>
      </c>
      <c r="G357" t="inlineStr">
        <is>
          <t>FINSPÅNG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45415</v>
      </c>
      <c r="E358" s="1" t="n">
        <v>46309</v>
      </c>
      <c r="F358" t="inlineStr">
        <is>
          <t>ÖSTERGÖTLANDS LÄN</t>
        </is>
      </c>
      <c r="G358" t="inlineStr">
        <is>
          <t>FINSPÅNG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45070</v>
      </c>
      <c r="E359" s="1" t="n">
        <v>46309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46309</v>
      </c>
      <c r="F360" t="inlineStr">
        <is>
          <t>ÖSTERGÖTLANDS LÄN</t>
        </is>
      </c>
      <c r="G360" t="inlineStr">
        <is>
          <t>FINSPÅNG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57290-2025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46309</v>
      </c>
      <c r="F361" t="inlineStr">
        <is>
          <t>ÖSTERGÖTLANDS LÄN</t>
        </is>
      </c>
      <c r="G361" t="inlineStr">
        <is>
          <t>FINSPÅNG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45279</v>
      </c>
      <c r="E362" s="1" t="n">
        <v>46309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45421</v>
      </c>
      <c r="E363" s="1" t="n">
        <v>46309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46309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7269-2024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45344</v>
      </c>
      <c r="E365" s="1" t="n">
        <v>46309</v>
      </c>
      <c r="F365" t="inlineStr">
        <is>
          <t>ÖSTERGÖTLANDS LÄN</t>
        </is>
      </c>
      <c r="G365" t="inlineStr">
        <is>
          <t>FINSPÅNG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46309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46058</v>
      </c>
      <c r="E367" s="1" t="n">
        <v>46309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Övriga Aktiebolag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45257</v>
      </c>
      <c r="E368" s="1" t="n">
        <v>46309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46058</v>
      </c>
      <c r="E369" s="1" t="n">
        <v>46309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58188-2025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45983</v>
      </c>
      <c r="E370" s="1" t="n">
        <v>46309</v>
      </c>
      <c r="F370" t="inlineStr">
        <is>
          <t>ÖSTERGÖTLANDS LÄN</t>
        </is>
      </c>
      <c r="G370" t="inlineStr">
        <is>
          <t>FINSPÅNG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46309</v>
      </c>
      <c r="F371" t="inlineStr">
        <is>
          <t>ÖSTERGÖTLANDS LÄN</t>
        </is>
      </c>
      <c r="G371" t="inlineStr">
        <is>
          <t>FINSPÅNG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46309</v>
      </c>
      <c r="F372" t="inlineStr">
        <is>
          <t>ÖSTERGÖTLANDS LÄN</t>
        </is>
      </c>
      <c r="G372" t="inlineStr">
        <is>
          <t>FINSPÅNG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46060</v>
      </c>
      <c r="E373" s="1" t="n">
        <v>46309</v>
      </c>
      <c r="F373" t="inlineStr">
        <is>
          <t>ÖSTERGÖTLANDS LÄN</t>
        </is>
      </c>
      <c r="G373" t="inlineStr">
        <is>
          <t>FINSPÅNG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45983</v>
      </c>
      <c r="E374" s="1" t="n">
        <v>46309</v>
      </c>
      <c r="F374" t="inlineStr">
        <is>
          <t>ÖSTERGÖTLANDS LÄN</t>
        </is>
      </c>
      <c r="G374" t="inlineStr">
        <is>
          <t>FINSPÅNG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58796-2025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45986</v>
      </c>
      <c r="E375" s="1" t="n">
        <v>46309</v>
      </c>
      <c r="F375" t="inlineStr">
        <is>
          <t>ÖSTERGÖTLANDS LÄN</t>
        </is>
      </c>
      <c r="G375" t="inlineStr">
        <is>
          <t>FINSPÅNG</t>
        </is>
      </c>
      <c r="I375" t="n">
        <v>9.300000000000001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45301</v>
      </c>
      <c r="E376" s="1" t="n">
        <v>46309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58698-2025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46309</v>
      </c>
      <c r="F377" t="inlineStr">
        <is>
          <t>ÖSTERGÖTLANDS LÄN</t>
        </is>
      </c>
      <c r="G377" t="inlineStr">
        <is>
          <t>FINSPÅNG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46309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Övriga Aktiebolag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46064</v>
      </c>
      <c r="E379" s="1" t="n">
        <v>46309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Sveaskog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27892-2023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45095</v>
      </c>
      <c r="E380" s="1" t="n">
        <v>46309</v>
      </c>
      <c r="F380" t="inlineStr">
        <is>
          <t>ÖSTERGÖTLANDS LÄN</t>
        </is>
      </c>
      <c r="G380" t="inlineStr">
        <is>
          <t>FINSPÅNG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46064</v>
      </c>
      <c r="E381" s="1" t="n">
        <v>46309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Sveaskog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46309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Sveaskog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46309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46309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Sveaskog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46309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46309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8266-2026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46064</v>
      </c>
      <c r="E387" s="1" t="n">
        <v>46309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Sveaskog</t>
        </is>
      </c>
      <c r="I387" t="n">
        <v>10.5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46309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25184-2023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45086</v>
      </c>
      <c r="E389" s="1" t="n">
        <v>46309</v>
      </c>
      <c r="F389" t="inlineStr">
        <is>
          <t>ÖSTERGÖTLANDS LÄN</t>
        </is>
      </c>
      <c r="G389" t="inlineStr">
        <is>
          <t>FINSPÅNG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46309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9084-2026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46069</v>
      </c>
      <c r="E391" s="1" t="n">
        <v>46309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46309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46070</v>
      </c>
      <c r="E393" s="1" t="n">
        <v>46309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46070</v>
      </c>
      <c r="E394" s="1" t="n">
        <v>46309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44903</v>
      </c>
      <c r="E395" s="1" t="n">
        <v>46309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46309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45075</v>
      </c>
      <c r="E397" s="1" t="n">
        <v>46309</v>
      </c>
      <c r="F397" t="inlineStr">
        <is>
          <t>ÖSTERGÖTLANDS LÄN</t>
        </is>
      </c>
      <c r="G397" t="inlineStr">
        <is>
          <t>FINSPÅNG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46309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45639</v>
      </c>
      <c r="E399" s="1" t="n">
        <v>46309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45665</v>
      </c>
      <c r="E400" s="1" t="n">
        <v>46309</v>
      </c>
      <c r="F400" t="inlineStr">
        <is>
          <t>ÖSTERGÖTLANDS LÄN</t>
        </is>
      </c>
      <c r="G400" t="inlineStr">
        <is>
          <t>FINSPÅNG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46002</v>
      </c>
      <c r="E401" s="1" t="n">
        <v>46309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46309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45009</v>
      </c>
      <c r="E403" s="1" t="n">
        <v>46309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61605-2025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46002</v>
      </c>
      <c r="E404" s="1" t="n">
        <v>46309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46309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46002</v>
      </c>
      <c r="E406" s="1" t="n">
        <v>46309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10296-2026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46309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10313-2026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46309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46309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46309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62235-2025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46309</v>
      </c>
      <c r="F411" t="inlineStr">
        <is>
          <t>ÖSTERGÖTLANDS LÄN</t>
        </is>
      </c>
      <c r="G411" t="inlineStr">
        <is>
          <t>FINSPÅNG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45516</v>
      </c>
      <c r="E412" s="1" t="n">
        <v>46309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46078</v>
      </c>
      <c r="E413" s="1" t="n">
        <v>46309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46309</v>
      </c>
      <c r="F414" t="inlineStr">
        <is>
          <t>ÖSTERGÖTLANDS LÄN</t>
        </is>
      </c>
      <c r="G414" t="inlineStr">
        <is>
          <t>FINSPÅNG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46309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45142</v>
      </c>
      <c r="E416" s="1" t="n">
        <v>46309</v>
      </c>
      <c r="F416" t="inlineStr">
        <is>
          <t>ÖSTERGÖTLANDS LÄN</t>
        </is>
      </c>
      <c r="G416" t="inlineStr">
        <is>
          <t>FINSPÅNG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45616</v>
      </c>
      <c r="E417" s="1" t="n">
        <v>46309</v>
      </c>
      <c r="F417" t="inlineStr">
        <is>
          <t>ÖSTERGÖTLANDS LÄN</t>
        </is>
      </c>
      <c r="G417" t="inlineStr">
        <is>
          <t>FINSPÅNG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46309</v>
      </c>
      <c r="F418" t="inlineStr">
        <is>
          <t>ÖSTERGÖTLANDS LÄN</t>
        </is>
      </c>
      <c r="G418" t="inlineStr">
        <is>
          <t>FINSPÅNG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11251-2026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46309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48691-2024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45593</v>
      </c>
      <c r="E420" s="1" t="n">
        <v>46309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Övriga Aktiebolag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61447-2024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46309</v>
      </c>
      <c r="F421" t="inlineStr">
        <is>
          <t>ÖSTERGÖTLANDS LÄN</t>
        </is>
      </c>
      <c r="G421" t="inlineStr">
        <is>
          <t>FINSPÅNG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44774</v>
      </c>
      <c r="E422" s="1" t="n">
        <v>46309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45095</v>
      </c>
      <c r="E423" s="1" t="n">
        <v>46309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45095</v>
      </c>
      <c r="E424" s="1" t="n">
        <v>46309</v>
      </c>
      <c r="F424" t="inlineStr">
        <is>
          <t>ÖSTERGÖTLANDS LÄN</t>
        </is>
      </c>
      <c r="G424" t="inlineStr">
        <is>
          <t>FINSPÅNG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45709</v>
      </c>
      <c r="E425" s="1" t="n">
        <v>46309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46309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45728</v>
      </c>
      <c r="E427" s="1" t="n">
        <v>46309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11211-2026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46309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46080</v>
      </c>
      <c r="E429" s="1" t="n">
        <v>46309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53675-2024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46309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44973</v>
      </c>
      <c r="E431" s="1" t="n">
        <v>46309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46085</v>
      </c>
      <c r="E432" s="1" t="n">
        <v>46309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46309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46309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11813-2026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46309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13084-2023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46309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45530</v>
      </c>
      <c r="E437" s="1" t="n">
        <v>46309</v>
      </c>
      <c r="F437" t="inlineStr">
        <is>
          <t>ÖSTERGÖTLANDS LÄN</t>
        </is>
      </c>
      <c r="G437" t="inlineStr">
        <is>
          <t>FINSPÅNG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8924-2025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45713</v>
      </c>
      <c r="E438" s="1" t="n">
        <v>46309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46309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45147</v>
      </c>
      <c r="E440" s="1" t="n">
        <v>46309</v>
      </c>
      <c r="F440" t="inlineStr">
        <is>
          <t>ÖSTERGÖTLANDS LÄN</t>
        </is>
      </c>
      <c r="G440" t="inlineStr">
        <is>
          <t>FINSPÅNG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30271-2022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44759</v>
      </c>
      <c r="E441" s="1" t="n">
        <v>46309</v>
      </c>
      <c r="F441" t="inlineStr">
        <is>
          <t>ÖSTERGÖTLANDS LÄN</t>
        </is>
      </c>
      <c r="G441" t="inlineStr">
        <is>
          <t>FINSPÅNG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44840</v>
      </c>
      <c r="E442" s="1" t="n">
        <v>46309</v>
      </c>
      <c r="F442" t="inlineStr">
        <is>
          <t>ÖSTERGÖTLANDS LÄN</t>
        </is>
      </c>
      <c r="G442" t="inlineStr">
        <is>
          <t>FINSPÅNG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46309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46309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46309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46097</v>
      </c>
      <c r="E446" s="1" t="n">
        <v>46309</v>
      </c>
      <c r="F446" t="inlineStr">
        <is>
          <t>ÖSTERGÖTLANDS LÄN</t>
        </is>
      </c>
      <c r="G446" t="inlineStr">
        <is>
          <t>FINSPÅNG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46309</v>
      </c>
      <c r="F447" t="inlineStr">
        <is>
          <t>ÖSTERGÖTLANDS LÄN</t>
        </is>
      </c>
      <c r="G447" t="inlineStr">
        <is>
          <t>FINSPÅNG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46309</v>
      </c>
      <c r="F448" t="inlineStr">
        <is>
          <t>ÖSTERGÖTLANDS LÄN</t>
        </is>
      </c>
      <c r="G448" t="inlineStr">
        <is>
          <t>FINSPÅNG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40194-2022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46309</v>
      </c>
      <c r="F449" t="inlineStr">
        <is>
          <t>ÖSTERGÖTLANDS LÄN</t>
        </is>
      </c>
      <c r="G449" t="inlineStr">
        <is>
          <t>FINSPÅNG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46309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Sveaskog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46309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14117-2026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46309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Sveaskog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18306-2023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45041</v>
      </c>
      <c r="E453" s="1" t="n">
        <v>46309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Naturvårdsverket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46309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46309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43318-2022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44834</v>
      </c>
      <c r="E456" s="1" t="n">
        <v>46309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49677-2022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44862</v>
      </c>
      <c r="E457" s="1" t="n">
        <v>46309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44973</v>
      </c>
      <c r="E458" s="1" t="n">
        <v>46309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53821-2022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44880</v>
      </c>
      <c r="E459" s="1" t="n">
        <v>46309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8611-2025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45710</v>
      </c>
      <c r="E460" s="1" t="n">
        <v>46309</v>
      </c>
      <c r="F460" t="inlineStr">
        <is>
          <t>ÖSTERGÖTLANDS LÄN</t>
        </is>
      </c>
      <c r="G460" t="inlineStr">
        <is>
          <t>FINSPÅNG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45314-2023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45191</v>
      </c>
      <c r="E461" s="1" t="n">
        <v>46309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46309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19529-2025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45770</v>
      </c>
      <c r="E463" s="1" t="n">
        <v>46309</v>
      </c>
      <c r="F463" t="inlineStr">
        <is>
          <t>ÖSTERGÖTLANDS LÄN</t>
        </is>
      </c>
      <c r="G463" t="inlineStr">
        <is>
          <t>FINSPÅNG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46309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54730-2023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45236</v>
      </c>
      <c r="E465" s="1" t="n">
        <v>46309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44886</v>
      </c>
      <c r="E466" s="1" t="n">
        <v>46309</v>
      </c>
      <c r="F466" t="inlineStr">
        <is>
          <t>ÖSTERGÖTLANDS LÄN</t>
        </is>
      </c>
      <c r="G466" t="inlineStr">
        <is>
          <t>FINSPÅNG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22354-2023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45070</v>
      </c>
      <c r="E467" s="1" t="n">
        <v>46309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16355-2026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46111</v>
      </c>
      <c r="E468" s="1" t="n">
        <v>46309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42651-2024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46309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45042</v>
      </c>
      <c r="E470" s="1" t="n">
        <v>46309</v>
      </c>
      <c r="F470" t="inlineStr">
        <is>
          <t>ÖSTERGÖTLANDS LÄN</t>
        </is>
      </c>
      <c r="G470" t="inlineStr">
        <is>
          <t>FINSPÅNG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46309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44876</v>
      </c>
      <c r="E472" s="1" t="n">
        <v>46309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46309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46309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46114</v>
      </c>
      <c r="E475" s="1" t="n">
        <v>46309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16996-2026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46309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44642</v>
      </c>
      <c r="E477" s="1" t="n">
        <v>46309</v>
      </c>
      <c r="F477" t="inlineStr">
        <is>
          <t>ÖSTERGÖTLANDS LÄN</t>
        </is>
      </c>
      <c r="G477" t="inlineStr">
        <is>
          <t>FINSPÅNG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70505-2021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44536</v>
      </c>
      <c r="E478" s="1" t="n">
        <v>46309</v>
      </c>
      <c r="F478" t="inlineStr">
        <is>
          <t>ÖSTERGÖTLANDS LÄN</t>
        </is>
      </c>
      <c r="G478" t="inlineStr">
        <is>
          <t>FINSPÅNG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13375-2025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45735</v>
      </c>
      <c r="E479" s="1" t="n">
        <v>46309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46309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Kyrkan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46309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46309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45735</v>
      </c>
      <c r="E483" s="1" t="n">
        <v>46309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17594-2026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46309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Sveaskog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46309</v>
      </c>
      <c r="F485" t="inlineStr">
        <is>
          <t>ÖSTERGÖTLANDS LÄN</t>
        </is>
      </c>
      <c r="G485" t="inlineStr">
        <is>
          <t>FINSPÅNG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17769-2026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46309</v>
      </c>
      <c r="F486" t="inlineStr">
        <is>
          <t>ÖSTERGÖTLANDS LÄN</t>
        </is>
      </c>
      <c r="G486" t="inlineStr">
        <is>
          <t>FINSPÅNG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46309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44595</v>
      </c>
      <c r="E488" s="1" t="n">
        <v>46309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Övriga Aktiebolag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54404-2023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45233</v>
      </c>
      <c r="E489" s="1" t="n">
        <v>46309</v>
      </c>
      <c r="F489" t="inlineStr">
        <is>
          <t>ÖSTERGÖTLANDS LÄN</t>
        </is>
      </c>
      <c r="G489" t="inlineStr">
        <is>
          <t>FINSPÅNG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44564</v>
      </c>
      <c r="E490" s="1" t="n">
        <v>46309</v>
      </c>
      <c r="F490" t="inlineStr">
        <is>
          <t>ÖSTERGÖTLANDS LÄN</t>
        </is>
      </c>
      <c r="G490" t="inlineStr">
        <is>
          <t>FINSPÅNG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46309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45566</v>
      </c>
      <c r="E492" s="1" t="n">
        <v>46309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45095</v>
      </c>
      <c r="E493" s="1" t="n">
        <v>46309</v>
      </c>
      <c r="F493" t="inlineStr">
        <is>
          <t>ÖSTERGÖTLANDS LÄN</t>
        </is>
      </c>
      <c r="G493" t="inlineStr">
        <is>
          <t>FINSPÅNG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45082</v>
      </c>
      <c r="E494" s="1" t="n">
        <v>46309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45082</v>
      </c>
      <c r="E495" s="1" t="n">
        <v>46309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14560-2023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45013</v>
      </c>
      <c r="E496" s="1" t="n">
        <v>46309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25121-2023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45086</v>
      </c>
      <c r="E497" s="1" t="n">
        <v>46309</v>
      </c>
      <c r="F497" t="inlineStr">
        <is>
          <t>ÖSTERGÖTLANDS LÄN</t>
        </is>
      </c>
      <c r="G497" t="inlineStr">
        <is>
          <t>FINSPÅNG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18725-2026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46309</v>
      </c>
      <c r="F498" t="inlineStr">
        <is>
          <t>ÖSTERGÖTLANDS LÄN</t>
        </is>
      </c>
      <c r="G498" t="inlineStr">
        <is>
          <t>FINSPÅNG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44589</v>
      </c>
      <c r="E499" s="1" t="n">
        <v>46309</v>
      </c>
      <c r="F499" t="inlineStr">
        <is>
          <t>ÖSTERGÖTLANDS LÄN</t>
        </is>
      </c>
      <c r="G499" t="inlineStr">
        <is>
          <t>FINSPÅNG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45407</v>
      </c>
      <c r="E500" s="1" t="n">
        <v>46309</v>
      </c>
      <c r="F500" t="inlineStr">
        <is>
          <t>ÖSTERGÖTLANDS LÄN</t>
        </is>
      </c>
      <c r="G500" t="inlineStr">
        <is>
          <t>FINSPÅNG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58142-2022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44900</v>
      </c>
      <c r="E501" s="1" t="n">
        <v>46309</v>
      </c>
      <c r="F501" t="inlineStr">
        <is>
          <t>ÖSTERGÖTLANDS LÄN</t>
        </is>
      </c>
      <c r="G501" t="inlineStr">
        <is>
          <t>FINSPÅNG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25188-2023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46309</v>
      </c>
      <c r="F502" t="inlineStr">
        <is>
          <t>ÖSTERGÖTLANDS LÄN</t>
        </is>
      </c>
      <c r="G502" t="inlineStr">
        <is>
          <t>FINSPÅNG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45706</v>
      </c>
      <c r="E503" s="1" t="n">
        <v>46309</v>
      </c>
      <c r="F503" t="inlineStr">
        <is>
          <t>ÖSTERGÖTLANDS LÄN</t>
        </is>
      </c>
      <c r="G503" t="inlineStr">
        <is>
          <t>FINSPÅNG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45692</v>
      </c>
      <c r="E504" s="1" t="n">
        <v>46309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45357</v>
      </c>
      <c r="E505" s="1" t="n">
        <v>46309</v>
      </c>
      <c r="F505" t="inlineStr">
        <is>
          <t>ÖSTERGÖTLANDS LÄN</t>
        </is>
      </c>
      <c r="G505" t="inlineStr">
        <is>
          <t>FINSPÅNG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56309-2022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46309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45740</v>
      </c>
      <c r="E507" s="1" t="n">
        <v>46309</v>
      </c>
      <c r="F507" t="inlineStr">
        <is>
          <t>ÖSTERGÖTLANDS LÄN</t>
        </is>
      </c>
      <c r="G507" t="inlineStr">
        <is>
          <t>FINSPÅNG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60547-2023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45259</v>
      </c>
      <c r="E508" s="1" t="n">
        <v>46309</v>
      </c>
      <c r="F508" t="inlineStr">
        <is>
          <t>ÖSTERGÖTLANDS LÄN</t>
        </is>
      </c>
      <c r="G508" t="inlineStr">
        <is>
          <t>FINSPÅNG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63585-2023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45275</v>
      </c>
      <c r="E509" s="1" t="n">
        <v>46309</v>
      </c>
      <c r="F509" t="inlineStr">
        <is>
          <t>ÖSTERGÖTLANDS LÄN</t>
        </is>
      </c>
      <c r="G509" t="inlineStr">
        <is>
          <t>FINSPÅNG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25678-2024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45463</v>
      </c>
      <c r="E510" s="1" t="n">
        <v>46309</v>
      </c>
      <c r="F510" t="inlineStr">
        <is>
          <t>ÖSTERGÖTLANDS LÄN</t>
        </is>
      </c>
      <c r="G510" t="inlineStr">
        <is>
          <t>FINSPÅNG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11950-2023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44995</v>
      </c>
      <c r="E511" s="1" t="n">
        <v>46309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46309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45677</v>
      </c>
      <c r="E513" s="1" t="n">
        <v>46309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28556-2023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46309</v>
      </c>
      <c r="F514" t="inlineStr">
        <is>
          <t>ÖSTERGÖTLANDS LÄN</t>
        </is>
      </c>
      <c r="G514" t="inlineStr">
        <is>
          <t>FINSPÅNG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7826-2025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45706</v>
      </c>
      <c r="E515" s="1" t="n">
        <v>46309</v>
      </c>
      <c r="F515" t="inlineStr">
        <is>
          <t>ÖSTERGÖTLANDS LÄN</t>
        </is>
      </c>
      <c r="G515" t="inlineStr">
        <is>
          <t>FINSPÅNG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45853</v>
      </c>
      <c r="E516" s="1" t="n">
        <v>46309</v>
      </c>
      <c r="F516" t="inlineStr">
        <is>
          <t>ÖSTERGÖTLANDS LÄN</t>
        </is>
      </c>
      <c r="G516" t="inlineStr">
        <is>
          <t>FINSPÅNG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21722-2025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45783</v>
      </c>
      <c r="E517" s="1" t="n">
        <v>46309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45113</v>
      </c>
      <c r="E518" s="1" t="n">
        <v>46309</v>
      </c>
      <c r="F518" t="inlineStr">
        <is>
          <t>ÖSTERGÖTLANDS LÄN</t>
        </is>
      </c>
      <c r="G518" t="inlineStr">
        <is>
          <t>FINSPÅNG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11540-2023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44993</v>
      </c>
      <c r="E519" s="1" t="n">
        <v>46309</v>
      </c>
      <c r="F519" t="inlineStr">
        <is>
          <t>ÖSTERGÖTLANDS LÄN</t>
        </is>
      </c>
      <c r="G519" t="inlineStr">
        <is>
          <t>FINSPÅNG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46309</v>
      </c>
      <c r="F520" t="inlineStr">
        <is>
          <t>ÖSTERGÖTLANDS LÄN</t>
        </is>
      </c>
      <c r="G520" t="inlineStr">
        <is>
          <t>FINSPÅNG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44966</v>
      </c>
      <c r="E521" s="1" t="n">
        <v>46309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45293</v>
      </c>
      <c r="E522" s="1" t="n">
        <v>46309</v>
      </c>
      <c r="F522" t="inlineStr">
        <is>
          <t>ÖSTERGÖTLANDS LÄN</t>
        </is>
      </c>
      <c r="G522" t="inlineStr">
        <is>
          <t>FINSPÅNG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45391</v>
      </c>
      <c r="E523" s="1" t="n">
        <v>46309</v>
      </c>
      <c r="F523" t="inlineStr">
        <is>
          <t>ÖSTERGÖTLANDS LÄN</t>
        </is>
      </c>
      <c r="G523" t="inlineStr">
        <is>
          <t>FINSPÅNG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46309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58367-2023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45250</v>
      </c>
      <c r="E525" s="1" t="n">
        <v>46309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44949</v>
      </c>
      <c r="E526" s="1" t="n">
        <v>46309</v>
      </c>
      <c r="F526" t="inlineStr">
        <is>
          <t>ÖSTERGÖTLANDS LÄN</t>
        </is>
      </c>
      <c r="G526" t="inlineStr">
        <is>
          <t>FINSPÅNG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7743-2023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44973</v>
      </c>
      <c r="E527" s="1" t="n">
        <v>46309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44922</v>
      </c>
      <c r="E528" s="1" t="n">
        <v>46309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46309</v>
      </c>
      <c r="F529" t="inlineStr">
        <is>
          <t>ÖSTERGÖTLANDS LÄN</t>
        </is>
      </c>
      <c r="G529" t="inlineStr">
        <is>
          <t>FINSPÅNG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45341</v>
      </c>
      <c r="E530" s="1" t="n">
        <v>46309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Övriga Aktiebolag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45293</v>
      </c>
      <c r="E531" s="1" t="n">
        <v>46309</v>
      </c>
      <c r="F531" t="inlineStr">
        <is>
          <t>ÖSTERGÖTLANDS LÄN</t>
        </is>
      </c>
      <c r="G531" t="inlineStr">
        <is>
          <t>FINSPÅNG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13826-2024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45391</v>
      </c>
      <c r="E532" s="1" t="n">
        <v>46309</v>
      </c>
      <c r="F532" t="inlineStr">
        <is>
          <t>ÖSTERGÖTLANDS LÄN</t>
        </is>
      </c>
      <c r="G532" t="inlineStr">
        <is>
          <t>FINSPÅNG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45516</v>
      </c>
      <c r="E533" s="1" t="n">
        <v>46309</v>
      </c>
      <c r="F533" t="inlineStr">
        <is>
          <t>ÖSTERGÖTLANDS LÄN</t>
        </is>
      </c>
      <c r="G533" t="inlineStr">
        <is>
          <t>FINSPÅNG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17321-2022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44678</v>
      </c>
      <c r="E534" s="1" t="n">
        <v>46309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46309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Kyrkan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23821-2023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45078</v>
      </c>
      <c r="E536" s="1" t="n">
        <v>46309</v>
      </c>
      <c r="F536" t="inlineStr">
        <is>
          <t>ÖSTERGÖTLANDS LÄN</t>
        </is>
      </c>
      <c r="G536" t="inlineStr">
        <is>
          <t>FINSPÅNG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44993</v>
      </c>
      <c r="E537" s="1" t="n">
        <v>46309</v>
      </c>
      <c r="F537" t="inlineStr">
        <is>
          <t>ÖSTERGÖTLANDS LÄN</t>
        </is>
      </c>
      <c r="G537" t="inlineStr">
        <is>
          <t>FINSPÅNG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33804-2023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45133</v>
      </c>
      <c r="E538" s="1" t="n">
        <v>46309</v>
      </c>
      <c r="F538" t="inlineStr">
        <is>
          <t>ÖSTERGÖTLANDS LÄN</t>
        </is>
      </c>
      <c r="G538" t="inlineStr">
        <is>
          <t>FINSPÅNG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73655-2021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44551</v>
      </c>
      <c r="E539" s="1" t="n">
        <v>46309</v>
      </c>
      <c r="F539" t="inlineStr">
        <is>
          <t>ÖSTERGÖTLANDS LÄN</t>
        </is>
      </c>
      <c r="G539" t="inlineStr">
        <is>
          <t>FINSPÅNG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46309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46309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45447</v>
      </c>
      <c r="E542" s="1" t="n">
        <v>46309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39655-2023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45167</v>
      </c>
      <c r="E543" s="1" t="n">
        <v>46309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Kyrkan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44937</v>
      </c>
      <c r="E544" s="1" t="n">
        <v>46309</v>
      </c>
      <c r="F544" t="inlineStr">
        <is>
          <t>ÖSTERGÖTLANDS LÄN</t>
        </is>
      </c>
      <c r="G544" t="inlineStr">
        <is>
          <t>FINSPÅNG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45314</v>
      </c>
      <c r="E545" s="1" t="n">
        <v>46309</v>
      </c>
      <c r="F545" t="inlineStr">
        <is>
          <t>ÖSTERGÖTLANDS LÄN</t>
        </is>
      </c>
      <c r="G545" t="inlineStr">
        <is>
          <t>FINSPÅNG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45832</v>
      </c>
      <c r="E546" s="1" t="n">
        <v>46309</v>
      </c>
      <c r="F546" t="inlineStr">
        <is>
          <t>ÖSTERGÖTLANDS LÄN</t>
        </is>
      </c>
      <c r="G546" t="inlineStr">
        <is>
          <t>FINSPÅNG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9378-2023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44981</v>
      </c>
      <c r="E547" s="1" t="n">
        <v>46309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18295-2023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45041</v>
      </c>
      <c r="E548" s="1" t="n">
        <v>46309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21655-2023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45063</v>
      </c>
      <c r="E549" s="1" t="n">
        <v>46309</v>
      </c>
      <c r="F549" t="inlineStr">
        <is>
          <t>ÖSTERGÖTLANDS LÄN</t>
        </is>
      </c>
      <c r="G549" t="inlineStr">
        <is>
          <t>FINSPÅNG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45113</v>
      </c>
      <c r="E550" s="1" t="n">
        <v>46309</v>
      </c>
      <c r="F550" t="inlineStr">
        <is>
          <t>ÖSTERGÖTLANDS LÄN</t>
        </is>
      </c>
      <c r="G550" t="inlineStr">
        <is>
          <t>FINSPÅNG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50670-2024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45601</v>
      </c>
      <c r="E551" s="1" t="n">
        <v>46309</v>
      </c>
      <c r="F551" t="inlineStr">
        <is>
          <t>ÖSTERGÖTLANDS LÄN</t>
        </is>
      </c>
      <c r="G551" t="inlineStr">
        <is>
          <t>FINSPÅNG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17994-2023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45040</v>
      </c>
      <c r="E552" s="1" t="n">
        <v>46309</v>
      </c>
      <c r="F552" t="inlineStr">
        <is>
          <t>ÖSTERGÖTLANDS LÄN</t>
        </is>
      </c>
      <c r="G552" t="inlineStr">
        <is>
          <t>FINSPÅNG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45020</v>
      </c>
      <c r="E553" s="1" t="n">
        <v>46309</v>
      </c>
      <c r="F553" t="inlineStr">
        <is>
          <t>ÖSTERGÖTLANDS LÄN</t>
        </is>
      </c>
      <c r="G553" t="inlineStr">
        <is>
          <t>FINSPÅNG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48652-2024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45593</v>
      </c>
      <c r="E554" s="1" t="n">
        <v>46309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Övriga Aktiebolag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46309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45068</v>
      </c>
      <c r="E556" s="1" t="n">
        <v>46309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36192-2023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46309</v>
      </c>
      <c r="F557" t="inlineStr">
        <is>
          <t>ÖSTERGÖTLANDS LÄN</t>
        </is>
      </c>
      <c r="G557" t="inlineStr">
        <is>
          <t>FINSPÅNG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54581-2024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45617</v>
      </c>
      <c r="E558" s="1" t="n">
        <v>46309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45302</v>
      </c>
      <c r="E559" s="1" t="n">
        <v>46309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46309</v>
      </c>
      <c r="F560" t="inlineStr">
        <is>
          <t>ÖSTERGÖTLANDS LÄN</t>
        </is>
      </c>
      <c r="G560" t="inlineStr">
        <is>
          <t>FINSPÅNG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44622</v>
      </c>
      <c r="E561" s="1" t="n">
        <v>46309</v>
      </c>
      <c r="F561" t="inlineStr">
        <is>
          <t>ÖSTERGÖTLANDS LÄN</t>
        </is>
      </c>
      <c r="G561" t="inlineStr">
        <is>
          <t>FINSPÅNG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44564</v>
      </c>
      <c r="E562" s="1" t="n">
        <v>46309</v>
      </c>
      <c r="F562" t="inlineStr">
        <is>
          <t>ÖSTERGÖTLANDS LÄN</t>
        </is>
      </c>
      <c r="G562" t="inlineStr">
        <is>
          <t>FINSPÅNG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44958</v>
      </c>
      <c r="E563" s="1" t="n">
        <v>46309</v>
      </c>
      <c r="F563" t="inlineStr">
        <is>
          <t>ÖSTERGÖTLANDS LÄN</t>
        </is>
      </c>
      <c r="G563" t="inlineStr">
        <is>
          <t>FINSPÅNG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45095</v>
      </c>
      <c r="E564" s="1" t="n">
        <v>46309</v>
      </c>
      <c r="F564" t="inlineStr">
        <is>
          <t>ÖSTERGÖTLANDS LÄN</t>
        </is>
      </c>
      <c r="G564" t="inlineStr">
        <is>
          <t>FINSPÅNG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65742-2021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44516</v>
      </c>
      <c r="E565" s="1" t="n">
        <v>46309</v>
      </c>
      <c r="F565" t="inlineStr">
        <is>
          <t>ÖSTERGÖTLANDS LÄN</t>
        </is>
      </c>
      <c r="G565" t="inlineStr">
        <is>
          <t>FINSPÅNG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18134-2023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45040</v>
      </c>
      <c r="E566" s="1" t="n">
        <v>46309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53670-2024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45615</v>
      </c>
      <c r="E567" s="1" t="n">
        <v>46309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52561-2024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46309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45554</v>
      </c>
      <c r="E569" s="1" t="n">
        <v>46309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45980</v>
      </c>
      <c r="E570" s="1" t="n">
        <v>46309</v>
      </c>
      <c r="F570" t="inlineStr">
        <is>
          <t>ÖSTERGÖTLANDS LÄN</t>
        </is>
      </c>
      <c r="G570" t="inlineStr">
        <is>
          <t>FINSPÅNG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45551</v>
      </c>
      <c r="E571" s="1" t="n">
        <v>46309</v>
      </c>
      <c r="F571" t="inlineStr">
        <is>
          <t>ÖSTERGÖTLANDS LÄN</t>
        </is>
      </c>
      <c r="G571" t="inlineStr">
        <is>
          <t>FINSPÅNG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43534-2023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45184</v>
      </c>
      <c r="E572" s="1" t="n">
        <v>46309</v>
      </c>
      <c r="F572" t="inlineStr">
        <is>
          <t>ÖSTERGÖTLANDS LÄN</t>
        </is>
      </c>
      <c r="G572" t="inlineStr">
        <is>
          <t>FINSPÅNG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45845</v>
      </c>
      <c r="E573" s="1" t="n">
        <v>46309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10215-2022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44622</v>
      </c>
      <c r="E574" s="1" t="n">
        <v>46309</v>
      </c>
      <c r="F574" t="inlineStr">
        <is>
          <t>ÖSTERGÖTLANDS LÄN</t>
        </is>
      </c>
      <c r="G574" t="inlineStr">
        <is>
          <t>FINSPÅNG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23724-2023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45077</v>
      </c>
      <c r="E575" s="1" t="n">
        <v>46309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48466-2023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45206</v>
      </c>
      <c r="E576" s="1" t="n">
        <v>46309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24806-2023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45084</v>
      </c>
      <c r="E577" s="1" t="n">
        <v>46309</v>
      </c>
      <c r="F577" t="inlineStr">
        <is>
          <t>ÖSTERGÖTLANDS LÄN</t>
        </is>
      </c>
      <c r="G577" t="inlineStr">
        <is>
          <t>FINSPÅNG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45456</v>
      </c>
      <c r="E578" s="1" t="n">
        <v>46309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46309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Kyrkan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46309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Kyrkan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61114-2024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45645</v>
      </c>
      <c r="E581" s="1" t="n">
        <v>46309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44795</v>
      </c>
      <c r="E582" s="1" t="n">
        <v>46309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9635-2025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45715</v>
      </c>
      <c r="E583" s="1" t="n">
        <v>46309</v>
      </c>
      <c r="F583" t="inlineStr">
        <is>
          <t>ÖSTERGÖTLANDS LÄN</t>
        </is>
      </c>
      <c r="G583" t="inlineStr">
        <is>
          <t>FINSPÅNG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11730-2022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44634</v>
      </c>
      <c r="E584" s="1" t="n">
        <v>46309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45762</v>
      </c>
      <c r="E585" s="1" t="n">
        <v>46309</v>
      </c>
      <c r="F585" t="inlineStr">
        <is>
          <t>ÖSTERGÖTLANDS LÄN</t>
        </is>
      </c>
      <c r="G585" t="inlineStr">
        <is>
          <t>FINSPÅNG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35570-2023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45147</v>
      </c>
      <c r="E586" s="1" t="n">
        <v>46309</v>
      </c>
      <c r="F586" t="inlineStr">
        <is>
          <t>ÖSTERGÖTLANDS LÄN</t>
        </is>
      </c>
      <c r="G586" t="inlineStr">
        <is>
          <t>FINSPÅNG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48790-2023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45209</v>
      </c>
      <c r="E587" s="1" t="n">
        <v>46309</v>
      </c>
      <c r="F587" t="inlineStr">
        <is>
          <t>ÖSTERGÖTLANDS LÄN</t>
        </is>
      </c>
      <c r="G587" t="inlineStr">
        <is>
          <t>FINSPÅNG</t>
        </is>
      </c>
      <c r="I587" t="n">
        <v>14.6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48793-2023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45209</v>
      </c>
      <c r="E588" s="1" t="n">
        <v>46309</v>
      </c>
      <c r="F588" t="inlineStr">
        <is>
          <t>ÖSTERGÖTLANDS LÄN</t>
        </is>
      </c>
      <c r="G588" t="inlineStr">
        <is>
          <t>FINSPÅNG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46176</v>
      </c>
      <c r="E589" s="1" t="n">
        <v>46309</v>
      </c>
      <c r="F589" t="inlineStr">
        <is>
          <t>ÖSTERGÖTLANDS LÄN</t>
        </is>
      </c>
      <c r="G589" t="inlineStr">
        <is>
          <t>FINSPÅNG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46309</v>
      </c>
      <c r="F590" t="inlineStr">
        <is>
          <t>ÖSTERGÖTLANDS LÄN</t>
        </is>
      </c>
      <c r="G590" t="inlineStr">
        <is>
          <t>FINSPÅNG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56420-2023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45243</v>
      </c>
      <c r="E591" s="1" t="n">
        <v>46309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45660</v>
      </c>
      <c r="E592" s="1" t="n">
        <v>46309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Övriga Aktiebolag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28722-2023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45103</v>
      </c>
      <c r="E593" s="1" t="n">
        <v>46309</v>
      </c>
      <c r="F593" t="inlineStr">
        <is>
          <t>ÖSTERGÖTLANDS LÄN</t>
        </is>
      </c>
      <c r="G593" t="inlineStr">
        <is>
          <t>FINSPÅNG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25860-2026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46309</v>
      </c>
      <c r="F594" t="inlineStr">
        <is>
          <t>ÖSTERGÖTLANDS LÄN</t>
        </is>
      </c>
      <c r="G594" t="inlineStr">
        <is>
          <t>FINSPÅNG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24833-2026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46309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59287-2023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45253</v>
      </c>
      <c r="E596" s="1" t="n">
        <v>46309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24835-2026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46309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25629-2026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46309</v>
      </c>
      <c r="F598" t="inlineStr">
        <is>
          <t>ÖSTERGÖTLANDS LÄN</t>
        </is>
      </c>
      <c r="G598" t="inlineStr">
        <is>
          <t>FINSPÅNG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15824-2022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44664</v>
      </c>
      <c r="E599" s="1" t="n">
        <v>46309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63482-2023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45274</v>
      </c>
      <c r="E600" s="1" t="n">
        <v>46309</v>
      </c>
      <c r="F600" t="inlineStr">
        <is>
          <t>ÖSTERGÖTLANDS LÄN</t>
        </is>
      </c>
      <c r="G600" t="inlineStr">
        <is>
          <t>FINSPÅNG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30920-2022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44767</v>
      </c>
      <c r="E601" s="1" t="n">
        <v>46309</v>
      </c>
      <c r="F601" t="inlineStr">
        <is>
          <t>ÖSTERGÖTLANDS LÄN</t>
        </is>
      </c>
      <c r="G601" t="inlineStr">
        <is>
          <t>FINSPÅNG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10252-2025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45720</v>
      </c>
      <c r="E602" s="1" t="n">
        <v>46309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26247-2022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44735</v>
      </c>
      <c r="E603" s="1" t="n">
        <v>46309</v>
      </c>
      <c r="F603" t="inlineStr">
        <is>
          <t>ÖSTERGÖTLANDS LÄN</t>
        </is>
      </c>
      <c r="G603" t="inlineStr">
        <is>
          <t>FINSPÅNG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25943-2026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46309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Sveaskog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46309</v>
      </c>
      <c r="F605" t="inlineStr">
        <is>
          <t>ÖSTERGÖTLANDS LÄN</t>
        </is>
      </c>
      <c r="G605" t="inlineStr">
        <is>
          <t>FINSPÅNG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46309</v>
      </c>
      <c r="F606" t="inlineStr">
        <is>
          <t>ÖSTERGÖTLANDS LÄN</t>
        </is>
      </c>
      <c r="G606" t="inlineStr">
        <is>
          <t>FINSPÅNG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25760-2026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46309</v>
      </c>
      <c r="F607" t="inlineStr">
        <is>
          <t>ÖSTERGÖTLANDS LÄN</t>
        </is>
      </c>
      <c r="G607" t="inlineStr">
        <is>
          <t>FINSPÅNG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25195-2022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44729</v>
      </c>
      <c r="E608" s="1" t="n">
        <v>46309</v>
      </c>
      <c r="F608" t="inlineStr">
        <is>
          <t>ÖSTERGÖTLANDS LÄN</t>
        </is>
      </c>
      <c r="G608" t="inlineStr">
        <is>
          <t>FINSPÅNG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36191-2023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45149</v>
      </c>
      <c r="E609" s="1" t="n">
        <v>46309</v>
      </c>
      <c r="F609" t="inlineStr">
        <is>
          <t>ÖSTERGÖTLANDS LÄN</t>
        </is>
      </c>
      <c r="G609" t="inlineStr">
        <is>
          <t>FINSPÅNG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45257</v>
      </c>
      <c r="E610" s="1" t="n">
        <v>46309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45314</v>
      </c>
      <c r="E611" s="1" t="n">
        <v>46309</v>
      </c>
      <c r="F611" t="inlineStr">
        <is>
          <t>ÖSTERGÖTLANDS LÄN</t>
        </is>
      </c>
      <c r="G611" t="inlineStr">
        <is>
          <t>FINSPÅNG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16680-2022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44672</v>
      </c>
      <c r="E612" s="1" t="n">
        <v>46309</v>
      </c>
      <c r="F612" t="inlineStr">
        <is>
          <t>ÖSTERGÖTLANDS LÄN</t>
        </is>
      </c>
      <c r="G612" t="inlineStr">
        <is>
          <t>FINSPÅNG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45308</v>
      </c>
      <c r="E613" s="1" t="n">
        <v>46309</v>
      </c>
      <c r="F613" t="inlineStr">
        <is>
          <t>ÖSTERGÖTLANDS LÄN</t>
        </is>
      </c>
      <c r="G613" t="inlineStr">
        <is>
          <t>FINSPÅNG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40319-2022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44823</v>
      </c>
      <c r="E614" s="1" t="n">
        <v>46309</v>
      </c>
      <c r="F614" t="inlineStr">
        <is>
          <t>ÖSTERGÖTLANDS LÄN</t>
        </is>
      </c>
      <c r="G614" t="inlineStr">
        <is>
          <t>FINSPÅNG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55980-2024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45623</v>
      </c>
      <c r="E615" s="1" t="n">
        <v>46309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46309</v>
      </c>
      <c r="F616" t="inlineStr">
        <is>
          <t>ÖSTERGÖTLANDS LÄN</t>
        </is>
      </c>
      <c r="G616" t="inlineStr">
        <is>
          <t>FINSPÅNG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26905-2026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46185</v>
      </c>
      <c r="E617" s="1" t="n">
        <v>46309</v>
      </c>
      <c r="F617" t="inlineStr">
        <is>
          <t>ÖSTERGÖTLANDS LÄN</t>
        </is>
      </c>
      <c r="G617" t="inlineStr">
        <is>
          <t>FINSPÅNG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38613-2022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44813</v>
      </c>
      <c r="E618" s="1" t="n">
        <v>46309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43051-2022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44833</v>
      </c>
      <c r="E619" s="1" t="n">
        <v>46309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26195-2024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45468</v>
      </c>
      <c r="E620" s="1" t="n">
        <v>46309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27369-2026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46188</v>
      </c>
      <c r="E621" s="1" t="n">
        <v>46309</v>
      </c>
      <c r="F621" t="inlineStr">
        <is>
          <t>ÖSTERGÖTLANDS LÄN</t>
        </is>
      </c>
      <c r="G621" t="inlineStr">
        <is>
          <t>FINSPÅNG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45379</v>
      </c>
      <c r="E622" s="1" t="n">
        <v>46309</v>
      </c>
      <c r="F622" t="inlineStr">
        <is>
          <t>ÖSTERGÖTLANDS LÄN</t>
        </is>
      </c>
      <c r="G622" t="inlineStr">
        <is>
          <t>FINSPÅNG</t>
        </is>
      </c>
      <c r="I622" t="n">
        <v>11.9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45309</v>
      </c>
      <c r="E623" s="1" t="n">
        <v>46309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45309</v>
      </c>
      <c r="E624" s="1" t="n">
        <v>46309</v>
      </c>
      <c r="F624" t="inlineStr">
        <is>
          <t>ÖSTERGÖTLANDS LÄN</t>
        </is>
      </c>
      <c r="G624" t="inlineStr">
        <is>
          <t>FINSPÅNG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2164-2024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46309</v>
      </c>
      <c r="F625" t="inlineStr">
        <is>
          <t>ÖSTERGÖTLANDS LÄN</t>
        </is>
      </c>
      <c r="G625" t="inlineStr">
        <is>
          <t>FINSPÅNG</t>
        </is>
      </c>
      <c r="I625" t="n">
        <v>15.1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59838-2023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45257</v>
      </c>
      <c r="E626" s="1" t="n">
        <v>46309</v>
      </c>
      <c r="F626" t="inlineStr">
        <is>
          <t>ÖSTERGÖTLANDS LÄN</t>
        </is>
      </c>
      <c r="G626" t="inlineStr">
        <is>
          <t>FINSPÅNG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45302</v>
      </c>
      <c r="E627" s="1" t="n">
        <v>46309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6731-2023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44966</v>
      </c>
      <c r="E628" s="1" t="n">
        <v>46309</v>
      </c>
      <c r="F628" t="inlineStr">
        <is>
          <t>ÖSTERGÖTLANDS LÄN</t>
        </is>
      </c>
      <c r="G628" t="inlineStr">
        <is>
          <t>FINSPÅNG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44767</v>
      </c>
      <c r="E629" s="1" t="n">
        <v>46309</v>
      </c>
      <c r="F629" t="inlineStr">
        <is>
          <t>ÖSTERGÖTLANDS LÄN</t>
        </is>
      </c>
      <c r="G629" t="inlineStr">
        <is>
          <t>FINSPÅNG</t>
        </is>
      </c>
      <c r="I629" t="n">
        <v>10.6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39205-2022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44817</v>
      </c>
      <c r="E630" s="1" t="n">
        <v>46309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17992-2023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45040</v>
      </c>
      <c r="E631" s="1" t="n">
        <v>46309</v>
      </c>
      <c r="F631" t="inlineStr">
        <is>
          <t>ÖSTERGÖTLANDS LÄN</t>
        </is>
      </c>
      <c r="G631" t="inlineStr">
        <is>
          <t>FINSPÅNG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5616-2022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44595</v>
      </c>
      <c r="E632" s="1" t="n">
        <v>46309</v>
      </c>
      <c r="F632" t="inlineStr">
        <is>
          <t>ÖSTERGÖTLANDS LÄN</t>
        </is>
      </c>
      <c r="G632" t="inlineStr">
        <is>
          <t>FINSPÅNG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46196</v>
      </c>
      <c r="E633" s="1" t="n">
        <v>46309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Kommuner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14110-2023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45009</v>
      </c>
      <c r="E634" s="1" t="n">
        <v>46309</v>
      </c>
      <c r="F634" t="inlineStr">
        <is>
          <t>ÖSTERGÖTLANDS LÄN</t>
        </is>
      </c>
      <c r="G634" t="inlineStr">
        <is>
          <t>FINSPÅNG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24804-2023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45084</v>
      </c>
      <c r="E635" s="1" t="n">
        <v>46309</v>
      </c>
      <c r="F635" t="inlineStr">
        <is>
          <t>ÖSTERGÖTLANDS LÄN</t>
        </is>
      </c>
      <c r="G635" t="inlineStr">
        <is>
          <t>FINSPÅNG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34309-2025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45846</v>
      </c>
      <c r="E636" s="1" t="n">
        <v>46309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33027-2022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44782</v>
      </c>
      <c r="E637" s="1" t="n">
        <v>46309</v>
      </c>
      <c r="F637" t="inlineStr">
        <is>
          <t>ÖSTERGÖTLANDS LÄN</t>
        </is>
      </c>
      <c r="G637" t="inlineStr">
        <is>
          <t>FINSPÅNG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29018-2026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46309</v>
      </c>
      <c r="F638" t="inlineStr">
        <is>
          <t>ÖSTERGÖTLANDS LÄN</t>
        </is>
      </c>
      <c r="G638" t="inlineStr">
        <is>
          <t>FINSPÅNG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22714-2022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44714</v>
      </c>
      <c r="E639" s="1" t="n">
        <v>46309</v>
      </c>
      <c r="F639" t="inlineStr">
        <is>
          <t>ÖSTERGÖTLANDS LÄN</t>
        </is>
      </c>
      <c r="G639" t="inlineStr">
        <is>
          <t>FINSPÅNG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45299</v>
      </c>
      <c r="E640" s="1" t="n">
        <v>46309</v>
      </c>
      <c r="F640" t="inlineStr">
        <is>
          <t>ÖSTERGÖTLANDS LÄN</t>
        </is>
      </c>
      <c r="G640" t="inlineStr">
        <is>
          <t>FINSPÅNG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29078-2022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44749</v>
      </c>
      <c r="E641" s="1" t="n">
        <v>46309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46309</v>
      </c>
      <c r="F642" t="inlineStr">
        <is>
          <t>ÖSTERGÖTLANDS LÄN</t>
        </is>
      </c>
      <c r="G642" t="inlineStr">
        <is>
          <t>FINSPÅNG</t>
        </is>
      </c>
      <c r="I642" t="n">
        <v>13.3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49494-2022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44861</v>
      </c>
      <c r="E643" s="1" t="n">
        <v>46309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Naturvårdsverket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10420-2023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44987</v>
      </c>
      <c r="E644" s="1" t="n">
        <v>46309</v>
      </c>
      <c r="F644" t="inlineStr">
        <is>
          <t>ÖSTERGÖTLANDS LÄN</t>
        </is>
      </c>
      <c r="G644" t="inlineStr">
        <is>
          <t>FINSPÅNG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53610-2022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44879</v>
      </c>
      <c r="E645" s="1" t="n">
        <v>46309</v>
      </c>
      <c r="F645" t="inlineStr">
        <is>
          <t>ÖSTERGÖTLANDS LÄN</t>
        </is>
      </c>
      <c r="G645" t="inlineStr">
        <is>
          <t>FINSPÅNG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51610-2022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44871</v>
      </c>
      <c r="E646" s="1" t="n">
        <v>46309</v>
      </c>
      <c r="F646" t="inlineStr">
        <is>
          <t>ÖSTERGÖTLANDS LÄN</t>
        </is>
      </c>
      <c r="G646" t="inlineStr">
        <is>
          <t>FINSPÅNG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68122-2021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44526</v>
      </c>
      <c r="E647" s="1" t="n">
        <v>46309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61012-2022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44914</v>
      </c>
      <c r="E648" s="1" t="n">
        <v>46309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39114-2024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45548</v>
      </c>
      <c r="E649" s="1" t="n">
        <v>46309</v>
      </c>
      <c r="F649" t="inlineStr">
        <is>
          <t>ÖSTERGÖTLANDS LÄN</t>
        </is>
      </c>
      <c r="G649" t="inlineStr">
        <is>
          <t>FINSPÅNG</t>
        </is>
      </c>
      <c r="I649" t="n">
        <v>9.699999999999999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18488-2025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46309</v>
      </c>
      <c r="F650" t="inlineStr">
        <is>
          <t>ÖSTERGÖTLANDS LÄN</t>
        </is>
      </c>
      <c r="G650" t="inlineStr">
        <is>
          <t>FINSPÅNG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46309</v>
      </c>
      <c r="F651" t="inlineStr">
        <is>
          <t>ÖSTERGÖTLANDS LÄN</t>
        </is>
      </c>
      <c r="G651" t="inlineStr">
        <is>
          <t>FINSPÅNG</t>
        </is>
      </c>
      <c r="I651" t="n">
        <v>18.6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62421-2021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44503</v>
      </c>
      <c r="E652" s="1" t="n">
        <v>46309</v>
      </c>
      <c r="F652" t="inlineStr">
        <is>
          <t>ÖSTERGÖTLANDS LÄN</t>
        </is>
      </c>
      <c r="G652" t="inlineStr">
        <is>
          <t>FINSPÅNG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59062-2024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45636</v>
      </c>
      <c r="E653" s="1" t="n">
        <v>46309</v>
      </c>
      <c r="F653" t="inlineStr">
        <is>
          <t>ÖSTERGÖTLANDS LÄN</t>
        </is>
      </c>
      <c r="G653" t="inlineStr">
        <is>
          <t>FINSPÅNG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7445-2022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44607</v>
      </c>
      <c r="E654" s="1" t="n">
        <v>46309</v>
      </c>
      <c r="F654" t="inlineStr">
        <is>
          <t>ÖSTERGÖTLANDS LÄN</t>
        </is>
      </c>
      <c r="G654" t="inlineStr">
        <is>
          <t>FINSPÅNG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4280-2023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44953</v>
      </c>
      <c r="E655" s="1" t="n">
        <v>46309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39356-2022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44817</v>
      </c>
      <c r="E656" s="1" t="n">
        <v>46309</v>
      </c>
      <c r="F656" t="inlineStr">
        <is>
          <t>ÖSTERGÖTLANDS LÄN</t>
        </is>
      </c>
      <c r="G656" t="inlineStr">
        <is>
          <t>FINSPÅNG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34001-2024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45523</v>
      </c>
      <c r="E657" s="1" t="n">
        <v>46309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31151-2026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46209</v>
      </c>
      <c r="E658" s="1" t="n">
        <v>46309</v>
      </c>
      <c r="F658" t="inlineStr">
        <is>
          <t>ÖSTERGÖTLANDS LÄN</t>
        </is>
      </c>
      <c r="G658" t="inlineStr">
        <is>
          <t>FINSPÅNG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50811-2022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44867</v>
      </c>
      <c r="E659" s="1" t="n">
        <v>46309</v>
      </c>
      <c r="F659" t="inlineStr">
        <is>
          <t>ÖSTERGÖTLANDS LÄN</t>
        </is>
      </c>
      <c r="G659" t="inlineStr">
        <is>
          <t>FINSPÅNG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30633-2026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46211</v>
      </c>
      <c r="E660" s="1" t="n">
        <v>46309</v>
      </c>
      <c r="F660" t="inlineStr">
        <is>
          <t>ÖSTERGÖTLANDS LÄN</t>
        </is>
      </c>
      <c r="G660" t="inlineStr">
        <is>
          <t>FINSPÅNG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25356-2022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44732</v>
      </c>
      <c r="E661" s="1" t="n">
        <v>46309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44949</v>
      </c>
      <c r="E662" s="1" t="n">
        <v>46309</v>
      </c>
      <c r="F662" t="inlineStr">
        <is>
          <t>ÖSTERGÖTLANDS LÄN</t>
        </is>
      </c>
      <c r="G662" t="inlineStr">
        <is>
          <t>FINSPÅNG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44949</v>
      </c>
      <c r="E663" s="1" t="n">
        <v>46309</v>
      </c>
      <c r="F663" t="inlineStr">
        <is>
          <t>ÖSTERGÖTLANDS LÄN</t>
        </is>
      </c>
      <c r="G663" t="inlineStr">
        <is>
          <t>FINSPÅNG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3436-2023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44949</v>
      </c>
      <c r="E664" s="1" t="n">
        <v>46309</v>
      </c>
      <c r="F664" t="inlineStr">
        <is>
          <t>ÖSTERGÖTLANDS LÄN</t>
        </is>
      </c>
      <c r="G664" t="inlineStr">
        <is>
          <t>FINSPÅNG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46309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6733-2023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44966</v>
      </c>
      <c r="E666" s="1" t="n">
        <v>46309</v>
      </c>
      <c r="F666" t="inlineStr">
        <is>
          <t>ÖSTERGÖTLANDS LÄN</t>
        </is>
      </c>
      <c r="G666" t="inlineStr">
        <is>
          <t>FINSPÅNG</t>
        </is>
      </c>
      <c r="I666" t="n">
        <v>8.5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30864-2026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46309</v>
      </c>
      <c r="F667" t="inlineStr">
        <is>
          <t>ÖSTERGÖTLANDS LÄN</t>
        </is>
      </c>
      <c r="G667" t="inlineStr">
        <is>
          <t>FINSPÅNG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15473-2022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44662</v>
      </c>
      <c r="E668" s="1" t="n">
        <v>46309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40410-2024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45555</v>
      </c>
      <c r="E669" s="1" t="n">
        <v>46309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61994-2022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44918</v>
      </c>
      <c r="E670" s="1" t="n">
        <v>46309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55624-2024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45622</v>
      </c>
      <c r="E671" s="1" t="n">
        <v>46309</v>
      </c>
      <c r="F671" t="inlineStr">
        <is>
          <t>ÖSTERGÖTLANDS LÄN</t>
        </is>
      </c>
      <c r="G671" t="inlineStr">
        <is>
          <t>FINSPÅNG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31300-2026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46218</v>
      </c>
      <c r="E672" s="1" t="n">
        <v>46309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Sveaskog</t>
        </is>
      </c>
      <c r="I672" t="n">
        <v>9.5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611-2023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44930</v>
      </c>
      <c r="E673" s="1" t="n">
        <v>46309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31301-2026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46218</v>
      </c>
      <c r="E674" s="1" t="n">
        <v>46309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Sveaskog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31307-2026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46219</v>
      </c>
      <c r="E675" s="1" t="n">
        <v>46309</v>
      </c>
      <c r="F675" t="inlineStr">
        <is>
          <t>ÖSTERGÖTLANDS LÄN</t>
        </is>
      </c>
      <c r="G675" t="inlineStr">
        <is>
          <t>FINSPÅNG</t>
        </is>
      </c>
      <c r="I675" t="n">
        <v>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60173-2023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46309</v>
      </c>
      <c r="F676" t="inlineStr">
        <is>
          <t>ÖSTERGÖTLANDS LÄN</t>
        </is>
      </c>
      <c r="G676" t="inlineStr">
        <is>
          <t>FINSPÅNG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12472-2024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45379</v>
      </c>
      <c r="E677" s="1" t="n">
        <v>46309</v>
      </c>
      <c r="F677" t="inlineStr">
        <is>
          <t>ÖSTERGÖTLANDS LÄN</t>
        </is>
      </c>
      <c r="G677" t="inlineStr">
        <is>
          <t>FINSPÅNG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46309</v>
      </c>
      <c r="F678" t="inlineStr">
        <is>
          <t>ÖSTERGÖTLANDS LÄN</t>
        </is>
      </c>
      <c r="G678" t="inlineStr">
        <is>
          <t>FINSPÅNG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15674-2023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45021</v>
      </c>
      <c r="E679" s="1" t="n">
        <v>46309</v>
      </c>
      <c r="F679" t="inlineStr">
        <is>
          <t>ÖSTERGÖTLANDS LÄN</t>
        </is>
      </c>
      <c r="G679" t="inlineStr">
        <is>
          <t>FINSPÅNG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39740-2023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45167</v>
      </c>
      <c r="E680" s="1" t="n">
        <v>46309</v>
      </c>
      <c r="F680" t="inlineStr">
        <is>
          <t>ÖSTERGÖTLANDS LÄN</t>
        </is>
      </c>
      <c r="G680" t="inlineStr">
        <is>
          <t>FINSPÅNG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14061-2023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45008</v>
      </c>
      <c r="E681" s="1" t="n">
        <v>46309</v>
      </c>
      <c r="F681" t="inlineStr">
        <is>
          <t>ÖSTERGÖTLANDS LÄN</t>
        </is>
      </c>
      <c r="G681" t="inlineStr">
        <is>
          <t>FINSPÅNG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9339-2022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44616</v>
      </c>
      <c r="E682" s="1" t="n">
        <v>46309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73260-2021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44550</v>
      </c>
      <c r="E683" s="1" t="n">
        <v>46309</v>
      </c>
      <c r="F683" t="inlineStr">
        <is>
          <t>ÖSTERGÖTLANDS LÄN</t>
        </is>
      </c>
      <c r="G683" t="inlineStr">
        <is>
          <t>FINSPÅNG</t>
        </is>
      </c>
      <c r="I683" t="n">
        <v>10.3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53572-2023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45230</v>
      </c>
      <c r="E684" s="1" t="n">
        <v>46309</v>
      </c>
      <c r="F684" t="inlineStr">
        <is>
          <t>ÖSTERGÖTLANDS LÄN</t>
        </is>
      </c>
      <c r="G684" t="inlineStr">
        <is>
          <t>FINSPÅNG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14565-2023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45013</v>
      </c>
      <c r="E685" s="1" t="n">
        <v>46309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40069-2024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46309</v>
      </c>
      <c r="F686" t="inlineStr">
        <is>
          <t>ÖSTERGÖTLANDS LÄN</t>
        </is>
      </c>
      <c r="G686" t="inlineStr">
        <is>
          <t>FINSPÅNG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46226</v>
      </c>
      <c r="E687" s="1" t="n">
        <v>46309</v>
      </c>
      <c r="F687" t="inlineStr">
        <is>
          <t>ÖSTERGÖTLANDS LÄN</t>
        </is>
      </c>
      <c r="G687" t="inlineStr">
        <is>
          <t>FINSPÅNG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27487-2023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45095</v>
      </c>
      <c r="E688" s="1" t="n">
        <v>46309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Övriga Aktiebolag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36479-2026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46269</v>
      </c>
      <c r="E689" s="1" t="n">
        <v>46309</v>
      </c>
      <c r="F689" t="inlineStr">
        <is>
          <t>ÖSTERGÖTLANDS LÄN</t>
        </is>
      </c>
      <c r="G689" t="inlineStr">
        <is>
          <t>FINSPÅNG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46269</v>
      </c>
      <c r="E690" s="1" t="n">
        <v>46309</v>
      </c>
      <c r="F690" t="inlineStr">
        <is>
          <t>ÖSTERGÖTLANDS LÄN</t>
        </is>
      </c>
      <c r="G690" t="inlineStr">
        <is>
          <t>FINSPÅNG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46226</v>
      </c>
      <c r="E691" s="1" t="n">
        <v>46309</v>
      </c>
      <c r="F691" t="inlineStr">
        <is>
          <t>ÖSTERGÖTLANDS LÄN</t>
        </is>
      </c>
      <c r="G691" t="inlineStr">
        <is>
          <t>FINSPÅNG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46225</v>
      </c>
      <c r="E692" s="1" t="n">
        <v>46309</v>
      </c>
      <c r="F692" t="inlineStr">
        <is>
          <t>ÖSTERGÖTLANDS LÄN</t>
        </is>
      </c>
      <c r="G692" t="inlineStr">
        <is>
          <t>FINSPÅNG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31669-2026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46225</v>
      </c>
      <c r="E693" s="1" t="n">
        <v>46309</v>
      </c>
      <c r="F693" t="inlineStr">
        <is>
          <t>ÖSTERGÖTLANDS LÄN</t>
        </is>
      </c>
      <c r="G693" t="inlineStr">
        <is>
          <t>FINSPÅNG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36486-2026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46269</v>
      </c>
      <c r="E694" s="1" t="n">
        <v>46309</v>
      </c>
      <c r="F694" t="inlineStr">
        <is>
          <t>ÖSTERGÖTLANDS LÄN</t>
        </is>
      </c>
      <c r="G694" t="inlineStr">
        <is>
          <t>FINSPÅNG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36498-2026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46269</v>
      </c>
      <c r="E695" s="1" t="n">
        <v>46309</v>
      </c>
      <c r="F695" t="inlineStr">
        <is>
          <t>ÖSTERGÖTLANDS LÄN</t>
        </is>
      </c>
      <c r="G695" t="inlineStr">
        <is>
          <t>FINSPÅNG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36503-2026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46269</v>
      </c>
      <c r="E696" s="1" t="n">
        <v>46309</v>
      </c>
      <c r="F696" t="inlineStr">
        <is>
          <t>ÖSTERGÖTLANDS LÄN</t>
        </is>
      </c>
      <c r="G696" t="inlineStr">
        <is>
          <t>FINSPÅNG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20157-2023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45055</v>
      </c>
      <c r="E697" s="1" t="n">
        <v>46309</v>
      </c>
      <c r="F697" t="inlineStr">
        <is>
          <t>ÖSTERGÖTLANDS LÄN</t>
        </is>
      </c>
      <c r="G697" t="inlineStr">
        <is>
          <t>FINSPÅNG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11974-2023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44995</v>
      </c>
      <c r="E698" s="1" t="n">
        <v>46309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28020-2023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45095</v>
      </c>
      <c r="E699" s="1" t="n">
        <v>46309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45425</v>
      </c>
      <c r="E700" s="1" t="n">
        <v>46309</v>
      </c>
      <c r="F700" t="inlineStr">
        <is>
          <t>ÖSTERGÖTLANDS LÄN</t>
        </is>
      </c>
      <c r="G700" t="inlineStr">
        <is>
          <t>FINSPÅNG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57854-2022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44898</v>
      </c>
      <c r="E701" s="1" t="n">
        <v>46309</v>
      </c>
      <c r="F701" t="inlineStr">
        <is>
          <t>ÖSTERGÖTLANDS LÄN</t>
        </is>
      </c>
      <c r="G701" t="inlineStr">
        <is>
          <t>FINSPÅNG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42106-2023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45177</v>
      </c>
      <c r="E702" s="1" t="n">
        <v>46309</v>
      </c>
      <c r="F702" t="inlineStr">
        <is>
          <t>ÖSTERGÖTLANDS LÄN</t>
        </is>
      </c>
      <c r="G702" t="inlineStr">
        <is>
          <t>FINSPÅNG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24015-2024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45456</v>
      </c>
      <c r="E703" s="1" t="n">
        <v>46309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50189-2022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44865</v>
      </c>
      <c r="E704" s="1" t="n">
        <v>46309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9130-2023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44980</v>
      </c>
      <c r="E705" s="1" t="n">
        <v>46309</v>
      </c>
      <c r="F705" t="inlineStr">
        <is>
          <t>ÖSTERGÖTLANDS LÄN</t>
        </is>
      </c>
      <c r="G705" t="inlineStr">
        <is>
          <t>FINSPÅNG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6628-2023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44966</v>
      </c>
      <c r="E706" s="1" t="n">
        <v>46309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Övriga Aktiebolag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32000-2026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46232</v>
      </c>
      <c r="E707" s="1" t="n">
        <v>46309</v>
      </c>
      <c r="F707" t="inlineStr">
        <is>
          <t>ÖSTERGÖTLANDS LÄN</t>
        </is>
      </c>
      <c r="G707" t="inlineStr">
        <is>
          <t>FINSPÅNG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60749-2022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44914</v>
      </c>
      <c r="E708" s="1" t="n">
        <v>46309</v>
      </c>
      <c r="F708" t="inlineStr">
        <is>
          <t>ÖSTERGÖTLANDS LÄN</t>
        </is>
      </c>
      <c r="G708" t="inlineStr">
        <is>
          <t>FINSPÅNG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32081-2026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46233</v>
      </c>
      <c r="E709" s="1" t="n">
        <v>46309</v>
      </c>
      <c r="F709" t="inlineStr">
        <is>
          <t>ÖSTERGÖTLANDS LÄN</t>
        </is>
      </c>
      <c r="G709" t="inlineStr">
        <is>
          <t>FINSPÅNG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8317-2023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44974</v>
      </c>
      <c r="E710" s="1" t="n">
        <v>46309</v>
      </c>
      <c r="F710" t="inlineStr">
        <is>
          <t>ÖSTERGÖTLANDS LÄN</t>
        </is>
      </c>
      <c r="G710" t="inlineStr">
        <is>
          <t>FINSPÅNG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44950</v>
      </c>
      <c r="E711" s="1" t="n">
        <v>46309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37788-2026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46279</v>
      </c>
      <c r="E712" s="1" t="n">
        <v>46309</v>
      </c>
      <c r="F712" t="inlineStr">
        <is>
          <t>ÖSTERGÖTLANDS LÄN</t>
        </is>
      </c>
      <c r="G712" t="inlineStr">
        <is>
          <t>FINSPÅNG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50510-2024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45601</v>
      </c>
      <c r="E713" s="1" t="n">
        <v>46309</v>
      </c>
      <c r="F713" t="inlineStr">
        <is>
          <t>ÖSTERGÖTLANDS LÄN</t>
        </is>
      </c>
      <c r="G713" t="inlineStr">
        <is>
          <t>FINSPÅNG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4083-2024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45323</v>
      </c>
      <c r="E714" s="1" t="n">
        <v>46309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42779-2023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45181</v>
      </c>
      <c r="E715" s="1" t="n">
        <v>46309</v>
      </c>
      <c r="F715" t="inlineStr">
        <is>
          <t>ÖSTERGÖTLANDS LÄN</t>
        </is>
      </c>
      <c r="G715" t="inlineStr">
        <is>
          <t>FINSPÅNG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18445-2023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45042</v>
      </c>
      <c r="E716" s="1" t="n">
        <v>46309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37804-2026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46279</v>
      </c>
      <c r="E717" s="1" t="n">
        <v>46309</v>
      </c>
      <c r="F717" t="inlineStr">
        <is>
          <t>ÖSTERGÖTLANDS LÄN</t>
        </is>
      </c>
      <c r="G717" t="inlineStr">
        <is>
          <t>FINSPÅNG</t>
        </is>
      </c>
      <c r="I717" t="n">
        <v>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59808-2023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45257</v>
      </c>
      <c r="E718" s="1" t="n">
        <v>46309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52731-2023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45225</v>
      </c>
      <c r="E719" s="1" t="n">
        <v>46309</v>
      </c>
      <c r="F719" t="inlineStr">
        <is>
          <t>ÖSTERGÖTLANDS LÄN</t>
        </is>
      </c>
      <c r="G719" t="inlineStr">
        <is>
          <t>FINSPÅNG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45082</v>
      </c>
      <c r="E720" s="1" t="n">
        <v>46309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6.6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36110-2023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45149</v>
      </c>
      <c r="E721" s="1" t="n">
        <v>46309</v>
      </c>
      <c r="F721" t="inlineStr">
        <is>
          <t>ÖSTERGÖTLANDS LÄN</t>
        </is>
      </c>
      <c r="G721" t="inlineStr">
        <is>
          <t>FINSPÅNG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46279</v>
      </c>
      <c r="E722" s="1" t="n">
        <v>46309</v>
      </c>
      <c r="F722" t="inlineStr">
        <is>
          <t>ÖSTERGÖTLANDS LÄN</t>
        </is>
      </c>
      <c r="G722" t="inlineStr">
        <is>
          <t>FINSPÅNG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44993</v>
      </c>
      <c r="E723" s="1" t="n">
        <v>46309</v>
      </c>
      <c r="F723" t="inlineStr">
        <is>
          <t>ÖSTERGÖTLANDS LÄN</t>
        </is>
      </c>
      <c r="G723" t="inlineStr">
        <is>
          <t>FINSPÅNG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46282</v>
      </c>
      <c r="E724" s="1" t="n">
        <v>46309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Sveaskog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10412-2023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44987</v>
      </c>
      <c r="E725" s="1" t="n">
        <v>46309</v>
      </c>
      <c r="F725" t="inlineStr">
        <is>
          <t>ÖSTERGÖTLANDS LÄN</t>
        </is>
      </c>
      <c r="G725" t="inlineStr">
        <is>
          <t>FINSPÅNG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46309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Sveaskog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38417-2026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46282</v>
      </c>
      <c r="E727" s="1" t="n">
        <v>46309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Sveaskog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38419-2026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46282</v>
      </c>
      <c r="E728" s="1" t="n">
        <v>46309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46282</v>
      </c>
      <c r="E729" s="1" t="n">
        <v>46309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Sveaskog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38445-2026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46282</v>
      </c>
      <c r="E730" s="1" t="n">
        <v>46309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Sveaskog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38422-2026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46282</v>
      </c>
      <c r="E731" s="1" t="n">
        <v>46309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Sveaskog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38442-2026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46282</v>
      </c>
      <c r="E732" s="1" t="n">
        <v>46309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Sveaskog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58011-2023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45247</v>
      </c>
      <c r="E733" s="1" t="n">
        <v>46309</v>
      </c>
      <c r="F733" t="inlineStr">
        <is>
          <t>ÖSTERGÖTLANDS LÄN</t>
        </is>
      </c>
      <c r="G733" t="inlineStr">
        <is>
          <t>FINSPÅNG</t>
        </is>
      </c>
      <c r="I733" t="n">
        <v>5.9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18356-2024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45422</v>
      </c>
      <c r="E734" s="1" t="n">
        <v>46309</v>
      </c>
      <c r="F734" t="inlineStr">
        <is>
          <t>ÖSTERGÖTLANDS LÄN</t>
        </is>
      </c>
      <c r="G734" t="inlineStr">
        <is>
          <t>FINSPÅNG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49904-2023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45214</v>
      </c>
      <c r="E735" s="1" t="n">
        <v>46309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38414-2026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46282</v>
      </c>
      <c r="E736" s="1" t="n">
        <v>46309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Sveaskog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18258-2024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45421</v>
      </c>
      <c r="E737" s="1" t="n">
        <v>46309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45420</v>
      </c>
      <c r="E738" s="1" t="n">
        <v>46309</v>
      </c>
      <c r="F738" t="inlineStr">
        <is>
          <t>ÖSTERGÖTLANDS LÄN</t>
        </is>
      </c>
      <c r="G738" t="inlineStr">
        <is>
          <t>FINSPÅNG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32973-2023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45125</v>
      </c>
      <c r="E739" s="1" t="n">
        <v>46309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16975-2023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45033</v>
      </c>
      <c r="E740" s="1" t="n">
        <v>46309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Naturvårdsverket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38625-2026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46281</v>
      </c>
      <c r="E741" s="1" t="n">
        <v>46309</v>
      </c>
      <c r="F741" t="inlineStr">
        <is>
          <t>ÖSTERGÖTLANDS LÄN</t>
        </is>
      </c>
      <c r="G741" t="inlineStr">
        <is>
          <t>FINSPÅNG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28559-2023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45103</v>
      </c>
      <c r="E742" s="1" t="n">
        <v>46309</v>
      </c>
      <c r="F742" t="inlineStr">
        <is>
          <t>ÖSTERGÖTLANDS LÄN</t>
        </is>
      </c>
      <c r="G742" t="inlineStr">
        <is>
          <t>FINSPÅNG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4753-2025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45688</v>
      </c>
      <c r="E743" s="1" t="n">
        <v>46309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15952-2023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45022</v>
      </c>
      <c r="E744" s="1" t="n">
        <v>46309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15129-2025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45744</v>
      </c>
      <c r="E745" s="1" t="n">
        <v>46309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Naturvårdsverket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62186-2023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45267</v>
      </c>
      <c r="E746" s="1" t="n">
        <v>46309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47224-2023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45202</v>
      </c>
      <c r="E747" s="1" t="n">
        <v>46309</v>
      </c>
      <c r="F747" t="inlineStr">
        <is>
          <t>ÖSTERGÖTLANDS LÄN</t>
        </is>
      </c>
      <c r="G747" t="inlineStr">
        <is>
          <t>FINSPÅNG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31801-2023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45118</v>
      </c>
      <c r="E748" s="1" t="n">
        <v>46309</v>
      </c>
      <c r="F748" t="inlineStr">
        <is>
          <t>ÖSTERGÖTLANDS LÄN</t>
        </is>
      </c>
      <c r="G748" t="inlineStr">
        <is>
          <t>FINSPÅNG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52730-2023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45225</v>
      </c>
      <c r="E749" s="1" t="n">
        <v>46309</v>
      </c>
      <c r="F749" t="inlineStr">
        <is>
          <t>ÖSTERGÖTLANDS LÄN</t>
        </is>
      </c>
      <c r="G749" t="inlineStr">
        <is>
          <t>FINSPÅNG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58141-2022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46309</v>
      </c>
      <c r="F750" t="inlineStr">
        <is>
          <t>ÖSTERGÖTLANDS LÄN</t>
        </is>
      </c>
      <c r="G750" t="inlineStr">
        <is>
          <t>FINSPÅNG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38765-2026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46286</v>
      </c>
      <c r="E751" s="1" t="n">
        <v>46309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44981</v>
      </c>
      <c r="E752" s="1" t="n">
        <v>46309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62168-2022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44922</v>
      </c>
      <c r="E753" s="1" t="n">
        <v>46309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45311-2023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45191</v>
      </c>
      <c r="E754" s="1" t="n">
        <v>46309</v>
      </c>
      <c r="F754" t="inlineStr">
        <is>
          <t>ÖSTERGÖTLANDS LÄN</t>
        </is>
      </c>
      <c r="G754" t="inlineStr">
        <is>
          <t>FINSPÅNG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35970-2025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45863</v>
      </c>
      <c r="E755" s="1" t="n">
        <v>46309</v>
      </c>
      <c r="F755" t="inlineStr">
        <is>
          <t>ÖSTERGÖTLANDS LÄN</t>
        </is>
      </c>
      <c r="G755" t="inlineStr">
        <is>
          <t>FINSPÅNG</t>
        </is>
      </c>
      <c r="I755" t="n">
        <v>22.6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45178</v>
      </c>
      <c r="E756" s="1" t="n">
        <v>46309</v>
      </c>
      <c r="F756" t="inlineStr">
        <is>
          <t>ÖSTERGÖTLANDS LÄN</t>
        </is>
      </c>
      <c r="G756" t="inlineStr">
        <is>
          <t>FINSPÅNG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42111-2023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45177</v>
      </c>
      <c r="E757" s="1" t="n">
        <v>46309</v>
      </c>
      <c r="F757" t="inlineStr">
        <is>
          <t>ÖSTERGÖTLANDS LÄN</t>
        </is>
      </c>
      <c r="G757" t="inlineStr">
        <is>
          <t>FINSPÅNG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55956-2024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45623</v>
      </c>
      <c r="E758" s="1" t="n">
        <v>46309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45639</v>
      </c>
      <c r="E759" s="1" t="n">
        <v>46309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46317-2023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45197</v>
      </c>
      <c r="E760" s="1" t="n">
        <v>46309</v>
      </c>
      <c r="F760" t="inlineStr">
        <is>
          <t>ÖSTERGÖTLANDS LÄN</t>
        </is>
      </c>
      <c r="G760" t="inlineStr">
        <is>
          <t>FINSPÅNG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45264</v>
      </c>
      <c r="E761" s="1" t="n">
        <v>46309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32431-2023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46309</v>
      </c>
      <c r="F762" t="inlineStr">
        <is>
          <t>ÖSTERGÖTLANDS LÄN</t>
        </is>
      </c>
      <c r="G762" t="inlineStr">
        <is>
          <t>FINSPÅNG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14022-2023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45008</v>
      </c>
      <c r="E763" s="1" t="n">
        <v>46309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48767-2024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45593</v>
      </c>
      <c r="E764" s="1" t="n">
        <v>46309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44942</v>
      </c>
      <c r="E765" s="1" t="n">
        <v>46309</v>
      </c>
      <c r="F765" t="inlineStr">
        <is>
          <t>ÖSTERGÖTLANDS LÄN</t>
        </is>
      </c>
      <c r="G765" t="inlineStr">
        <is>
          <t>FINSPÅNG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44617</v>
      </c>
      <c r="E766" s="1" t="n">
        <v>46309</v>
      </c>
      <c r="F766" t="inlineStr">
        <is>
          <t>ÖSTERGÖTLANDS LÄN</t>
        </is>
      </c>
      <c r="G766" t="inlineStr">
        <is>
          <t>FINSPÅNG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44939</v>
      </c>
      <c r="E767" s="1" t="n">
        <v>46309</v>
      </c>
      <c r="F767" t="inlineStr">
        <is>
          <t>ÖSTERGÖTLANDS LÄN</t>
        </is>
      </c>
      <c r="G767" t="inlineStr">
        <is>
          <t>FINSPÅNG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47317-2023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45202</v>
      </c>
      <c r="E768" s="1" t="n">
        <v>46309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44946</v>
      </c>
      <c r="E769" s="1" t="n">
        <v>46309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44946</v>
      </c>
      <c r="E770" s="1" t="n">
        <v>46309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24503-2023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45082</v>
      </c>
      <c r="E771" s="1" t="n">
        <v>46309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45299</v>
      </c>
      <c r="E772" s="1" t="n">
        <v>46309</v>
      </c>
      <c r="F772" t="inlineStr">
        <is>
          <t>ÖSTERGÖTLANDS LÄN</t>
        </is>
      </c>
      <c r="G772" t="inlineStr">
        <is>
          <t>FINSPÅNG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58313-2023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45250</v>
      </c>
      <c r="E773" s="1" t="n">
        <v>46309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48443-2023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45206</v>
      </c>
      <c r="E774" s="1" t="n">
        <v>46309</v>
      </c>
      <c r="F774" t="inlineStr">
        <is>
          <t>ÖSTERGÖTLANDS LÄN</t>
        </is>
      </c>
      <c r="G774" t="inlineStr">
        <is>
          <t>FINSPÅNG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6154-2023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44964</v>
      </c>
      <c r="E775" s="1" t="n">
        <v>46309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36592-2025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45870</v>
      </c>
      <c r="E776" s="1" t="n">
        <v>46309</v>
      </c>
      <c r="F776" t="inlineStr">
        <is>
          <t>ÖSTERGÖTLANDS LÄN</t>
        </is>
      </c>
      <c r="G776" t="inlineStr">
        <is>
          <t>FINSPÅNG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52007-2024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45607</v>
      </c>
      <c r="E777" s="1" t="n">
        <v>46309</v>
      </c>
      <c r="F777" t="inlineStr">
        <is>
          <t>ÖSTERGÖTLANDS LÄN</t>
        </is>
      </c>
      <c r="G777" t="inlineStr">
        <is>
          <t>FINSPÅNG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52008-2024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45607</v>
      </c>
      <c r="E778" s="1" t="n">
        <v>46309</v>
      </c>
      <c r="F778" t="inlineStr">
        <is>
          <t>ÖSTERGÖTLANDS LÄN</t>
        </is>
      </c>
      <c r="G778" t="inlineStr">
        <is>
          <t>FINSPÅNG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58991-2021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44490</v>
      </c>
      <c r="E779" s="1" t="n">
        <v>46309</v>
      </c>
      <c r="F779" t="inlineStr">
        <is>
          <t>ÖSTERGÖTLANDS LÄN</t>
        </is>
      </c>
      <c r="G779" t="inlineStr">
        <is>
          <t>FINSPÅNG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19609-2025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45770</v>
      </c>
      <c r="E780" s="1" t="n">
        <v>46309</v>
      </c>
      <c r="F780" t="inlineStr">
        <is>
          <t>ÖSTERGÖTLANDS LÄN</t>
        </is>
      </c>
      <c r="G780" t="inlineStr">
        <is>
          <t>FINSPÅNG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15900-2025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45749</v>
      </c>
      <c r="E781" s="1" t="n">
        <v>46309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59702-2024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45639</v>
      </c>
      <c r="E782" s="1" t="n">
        <v>46309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8438-2025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45709</v>
      </c>
      <c r="E783" s="1" t="n">
        <v>46309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42705-2024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45566</v>
      </c>
      <c r="E784" s="1" t="n">
        <v>46309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42711-2024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46309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14031-2025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45740</v>
      </c>
      <c r="E786" s="1" t="n">
        <v>46309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28558-2023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45103</v>
      </c>
      <c r="E787" s="1" t="n">
        <v>46309</v>
      </c>
      <c r="F787" t="inlineStr">
        <is>
          <t>ÖSTERGÖTLANDS LÄN</t>
        </is>
      </c>
      <c r="G787" t="inlineStr">
        <is>
          <t>FINSPÅNG</t>
        </is>
      </c>
      <c r="I787" t="n">
        <v>11.1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54299-2023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45232</v>
      </c>
      <c r="E788" s="1" t="n">
        <v>46309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52557-2024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45609</v>
      </c>
      <c r="E789" s="1" t="n">
        <v>46309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42678-2024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45566</v>
      </c>
      <c r="E790" s="1" t="n">
        <v>46309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42699-2024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45566</v>
      </c>
      <c r="E791" s="1" t="n">
        <v>46309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42682-2024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46309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13392-2025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45735</v>
      </c>
      <c r="E793" s="1" t="n">
        <v>46309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10.9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13457-2025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45736</v>
      </c>
      <c r="E794" s="1" t="n">
        <v>46309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40578-2026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46295</v>
      </c>
      <c r="E795" s="1" t="n">
        <v>46309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40580-2026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46295</v>
      </c>
      <c r="E796" s="1" t="n">
        <v>46309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Sveaskog</t>
        </is>
      </c>
      <c r="I796" t="n">
        <v>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35343-2024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45530</v>
      </c>
      <c r="E797" s="1" t="n">
        <v>46309</v>
      </c>
      <c r="F797" t="inlineStr">
        <is>
          <t>ÖSTERGÖTLANDS LÄN</t>
        </is>
      </c>
      <c r="G797" t="inlineStr">
        <is>
          <t>FINSPÅNG</t>
        </is>
      </c>
      <c r="I797" t="n">
        <v>7.2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60249-2024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45642</v>
      </c>
      <c r="E798" s="1" t="n">
        <v>46309</v>
      </c>
      <c r="F798" t="inlineStr">
        <is>
          <t>ÖSTERGÖTLANDS LÄN</t>
        </is>
      </c>
      <c r="G798" t="inlineStr">
        <is>
          <t>FINSPÅNG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62155-2023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45267</v>
      </c>
      <c r="E799" s="1" t="n">
        <v>46309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35340-2024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45530</v>
      </c>
      <c r="E800" s="1" t="n">
        <v>46309</v>
      </c>
      <c r="F800" t="inlineStr">
        <is>
          <t>ÖSTERGÖTLANDS LÄN</t>
        </is>
      </c>
      <c r="G800" t="inlineStr">
        <is>
          <t>FINSPÅNG</t>
        </is>
      </c>
      <c r="I800" t="n">
        <v>7.9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11523-2025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45727</v>
      </c>
      <c r="E801" s="1" t="n">
        <v>46309</v>
      </c>
      <c r="F801" t="inlineStr">
        <is>
          <t>ÖSTERGÖTLANDS LÄN</t>
        </is>
      </c>
      <c r="G801" t="inlineStr">
        <is>
          <t>FINSPÅNG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11149-2024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45371</v>
      </c>
      <c r="E802" s="1" t="n">
        <v>46309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Kyrkan</t>
        </is>
      </c>
      <c r="I802" t="n">
        <v>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34555-2026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46255</v>
      </c>
      <c r="E803" s="1" t="n">
        <v>46309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Sveaskog</t>
        </is>
      </c>
      <c r="I803" t="n">
        <v>8.4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41654-2026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46302</v>
      </c>
      <c r="E804" s="1" t="n">
        <v>46309</v>
      </c>
      <c r="F804" t="inlineStr">
        <is>
          <t>ÖSTERGÖTLANDS LÄN</t>
        </is>
      </c>
      <c r="G804" t="inlineStr">
        <is>
          <t>FINSPÅNG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34883-2026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46258</v>
      </c>
      <c r="E805" s="1" t="n">
        <v>46309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Övriga Aktiebolag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34884-2026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46258</v>
      </c>
      <c r="E806" s="1" t="n">
        <v>46309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Övriga Aktiebolag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41247-2026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46309</v>
      </c>
      <c r="F807" t="inlineStr">
        <is>
          <t>ÖSTERGÖTLANDS LÄN</t>
        </is>
      </c>
      <c r="G807" t="inlineStr">
        <is>
          <t>FINSPÅNG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42060-2026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46304</v>
      </c>
      <c r="E808" s="1" t="n">
        <v>46309</v>
      </c>
      <c r="F808" t="inlineStr">
        <is>
          <t>ÖSTERGÖTLANDS LÄN</t>
        </is>
      </c>
      <c r="G808" t="inlineStr">
        <is>
          <t>FINSPÅNG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46304</v>
      </c>
      <c r="E809" s="1" t="n">
        <v>46309</v>
      </c>
      <c r="F809" t="inlineStr">
        <is>
          <t>ÖSTERGÖTLANDS LÄN</t>
        </is>
      </c>
      <c r="G809" t="inlineStr">
        <is>
          <t>FINSPÅNG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42076-2026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46304</v>
      </c>
      <c r="E810" s="1" t="n">
        <v>46309</v>
      </c>
      <c r="F810" t="inlineStr">
        <is>
          <t>ÖSTERGÖTLANDS LÄN</t>
        </is>
      </c>
      <c r="G810" t="inlineStr">
        <is>
          <t>FINSPÅNG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42067-2026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46304</v>
      </c>
      <c r="E811" s="1" t="n">
        <v>46309</v>
      </c>
      <c r="F811" t="inlineStr">
        <is>
          <t>ÖSTERGÖTLANDS LÄN</t>
        </is>
      </c>
      <c r="G811" t="inlineStr">
        <is>
          <t>FINSPÅNG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42514-2026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46309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42453-2026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46308</v>
      </c>
      <c r="E813" s="1" t="n">
        <v>46309</v>
      </c>
      <c r="F813" t="inlineStr">
        <is>
          <t>ÖSTERGÖTLANDS LÄN</t>
        </is>
      </c>
      <c r="G813" t="inlineStr">
        <is>
          <t>FINSPÅNG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31147-2026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46209</v>
      </c>
      <c r="E814" s="1" t="n">
        <v>46309</v>
      </c>
      <c r="F814" t="inlineStr">
        <is>
          <t>ÖSTERGÖTLANDS LÄN</t>
        </is>
      </c>
      <c r="G814" t="inlineStr">
        <is>
          <t>FINSPÅNG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42408-2026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46307</v>
      </c>
      <c r="E815" s="1" t="n">
        <v>46309</v>
      </c>
      <c r="F815" t="inlineStr">
        <is>
          <t>ÖSTERGÖTLANDS LÄN</t>
        </is>
      </c>
      <c r="G815" t="inlineStr">
        <is>
          <t>FINSPÅNG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42593-2026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46308</v>
      </c>
      <c r="E816" s="1" t="n">
        <v>46309</v>
      </c>
      <c r="F816" t="inlineStr">
        <is>
          <t>ÖSTERGÖTLANDS LÄN</t>
        </is>
      </c>
      <c r="G816" t="inlineStr">
        <is>
          <t>FINSPÅNG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42503-2026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46308</v>
      </c>
      <c r="E817" s="1" t="n">
        <v>46309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Övriga Aktiebolag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42512-2026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46308</v>
      </c>
      <c r="E818" s="1" t="n">
        <v>46309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Övriga Aktiebolag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22938-2026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46160</v>
      </c>
      <c r="E819" s="1" t="n">
        <v>46309</v>
      </c>
      <c r="F819" t="inlineStr">
        <is>
          <t>ÖSTERGÖTLANDS LÄN</t>
        </is>
      </c>
      <c r="G819" t="inlineStr">
        <is>
          <t>FINSPÅNG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42599-2026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46308</v>
      </c>
      <c r="E820" s="1" t="n">
        <v>46309</v>
      </c>
      <c r="F820" t="inlineStr">
        <is>
          <t>ÖSTERGÖTLANDS LÄN</t>
        </is>
      </c>
      <c r="G820" t="inlineStr">
        <is>
          <t>FINSPÅNG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42598-2026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46308</v>
      </c>
      <c r="E821" s="1" t="n">
        <v>46309</v>
      </c>
      <c r="F821" t="inlineStr">
        <is>
          <t>ÖSTERGÖTLANDS LÄN</t>
        </is>
      </c>
      <c r="G821" t="inlineStr">
        <is>
          <t>FINSPÅNG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42602-2026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46308</v>
      </c>
      <c r="E822" s="1" t="n">
        <v>46309</v>
      </c>
      <c r="F822" t="inlineStr">
        <is>
          <t>ÖSTERGÖTLANDS LÄN</t>
        </is>
      </c>
      <c r="G822" t="inlineStr">
        <is>
          <t>FINSPÅNG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42422-2026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46308</v>
      </c>
      <c r="E823" s="1" t="n">
        <v>46309</v>
      </c>
      <c r="F823" t="inlineStr">
        <is>
          <t>ÖSTERGÖTLANDS LÄN</t>
        </is>
      </c>
      <c r="G823" t="inlineStr">
        <is>
          <t>FINSPÅNG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42405-2026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46307</v>
      </c>
      <c r="E824" s="1" t="n">
        <v>46309</v>
      </c>
      <c r="F824" t="inlineStr">
        <is>
          <t>ÖSTERGÖTLANDS LÄN</t>
        </is>
      </c>
      <c r="G824" t="inlineStr">
        <is>
          <t>FINSPÅNG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42421-2026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46308</v>
      </c>
      <c r="E825" s="1" t="n">
        <v>46309</v>
      </c>
      <c r="F825" t="inlineStr">
        <is>
          <t>ÖSTERGÖTLANDS LÄN</t>
        </is>
      </c>
      <c r="G825" t="inlineStr">
        <is>
          <t>FINSPÅNG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42457-2026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46308</v>
      </c>
      <c r="E826" s="1" t="n">
        <v>46309</v>
      </c>
      <c r="F826" t="inlineStr">
        <is>
          <t>ÖSTERGÖTLANDS LÄN</t>
        </is>
      </c>
      <c r="G826" t="inlineStr">
        <is>
          <t>FINSPÅNG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46309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46309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46309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46309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46309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46309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2026-10-14T02:03:48Z</dcterms:created>
  <dcterms:modified xmlns:dcterms="http://purl.org/dc/terms/" xmlns:xsi="http://www.w3.org/2001/XMLSchema-instance" xsi:type="dcterms:W3CDTF">2026-10-14T02:03:49Z</dcterms:modified>
</cp:coreProperties>
</file>