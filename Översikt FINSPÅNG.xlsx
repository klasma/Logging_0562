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46237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46237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46237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46237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46237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46237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46237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46237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46237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46237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46237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46237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Kattfotslav
Kolflarnlav
Björksplintborre
Flagellkvastmossa
Kornknutmossa
Rostfläck
Stubbspretmossa</t>
        </is>
      </c>
      <c r="W13">
        <f>HYPERLINK("https://klasma.github.io/Logging_0562/artfynd/A 39827-2025 artfynd.xlsx", "A 39827-2025")</f>
        <v/>
      </c>
      <c r="X13">
        <f>HYPERLINK("https://klasma.github.io/Logging_0562/kartor/A 39827-2025 karta.png", "A 39827-2025")</f>
        <v/>
      </c>
      <c r="Y13">
        <f>HYPERLINK("https://klasma.github.io/Logging_0562/kartor_geotiff/A 39827-2025 georefererad karta.tif", "A 39827-2025")</f>
        <v/>
      </c>
      <c r="AA13">
        <f>HYPERLINK("https://klasma.github.io/Logging_0562/klagomål/A 39827-2025 FSC-klagomål.docx", "A 39827-2025")</f>
        <v/>
      </c>
      <c r="AB13">
        <f>HYPERLINK("https://klasma.github.io/Logging_0562/klagomålsmail/A 39827-2025 FSC-klagomål mail.docx", "A 39827-2025")</f>
        <v/>
      </c>
      <c r="AC13">
        <f>HYPERLINK("https://klasma.github.io/Logging_0562/tillsyn/A 39827-2025 tillsynsbegäran.docx", "A 39827-2025")</f>
        <v/>
      </c>
      <c r="AD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46237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46237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46237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46237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46237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46237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46237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46237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46237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46237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46237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46237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46237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28382-2026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46196</v>
      </c>
      <c r="E27" s="1" t="n">
        <v>46237</v>
      </c>
      <c r="F27" t="inlineStr">
        <is>
          <t>ÖSTERGÖTLANDS LÄN</t>
        </is>
      </c>
      <c r="G27" t="inlineStr">
        <is>
          <t>FINSPÅNG</t>
        </is>
      </c>
      <c r="H27" t="inlineStr">
        <is>
          <t>Kommuner</t>
        </is>
      </c>
      <c r="I27" t="n">
        <v>2.4</v>
      </c>
      <c r="J27" t="n">
        <v>0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Mindre bastardsvärmare
Noshornsoxe
Svart trolldruva</t>
        </is>
      </c>
      <c r="W27">
        <f>HYPERLINK("https://klasma.github.io/Logging_0562/artfynd/A 28382-2026 artfynd.xlsx", "A 28382-2026")</f>
        <v/>
      </c>
      <c r="X27">
        <f>HYPERLINK("https://klasma.github.io/Logging_0562/kartor/A 28382-2026 karta.png", "A 28382-2026")</f>
        <v/>
      </c>
      <c r="Y27">
        <f>HYPERLINK("https://klasma.github.io/Logging_0562/kartor_geotiff/A 28382-2026 georefererad karta.tif", "A 28382-2026")</f>
        <v/>
      </c>
      <c r="AA27">
        <f>HYPERLINK("https://klasma.github.io/Logging_0562/klagomål/A 28382-2026 FSC-klagomål.docx", "A 28382-2026")</f>
        <v/>
      </c>
      <c r="AB27">
        <f>HYPERLINK("https://klasma.github.io/Logging_0562/klagomålsmail/A 28382-2026 FSC-klagomål mail.docx", "A 28382-2026")</f>
        <v/>
      </c>
      <c r="AC27">
        <f>HYPERLINK("https://klasma.github.io/Logging_0562/tillsyn/A 28382-2026 tillsynsbegäran.docx", "A 28382-2026")</f>
        <v/>
      </c>
      <c r="AD27">
        <f>HYPERLINK("https://klasma.github.io/Logging_0562/tillsynsmail/A 28382-2026 tillsynsbegäran mail.docx", "A 28382-2026")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46237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46237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46237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46237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Gullklöver
Grönvit nattviol</t>
        </is>
      </c>
      <c r="W31">
        <f>HYPERLINK("https://klasma.github.io/Logging_0562/artfynd/A 38963-2022 artfynd.xlsx", "A 38963-2022")</f>
        <v/>
      </c>
      <c r="X31">
        <f>HYPERLINK("https://klasma.github.io/Logging_0562/kartor/A 38963-2022 karta.png", "A 38963-2022")</f>
        <v/>
      </c>
      <c r="Y31">
        <f>HYPERLINK("https://klasma.github.io/Logging_0562/kartor_geotiff/A 38963-2022 georefererad karta.tif", "A 38963-2022")</f>
        <v/>
      </c>
      <c r="AA31">
        <f>HYPERLINK("https://klasma.github.io/Logging_0562/klagomål/A 38963-2022 FSC-klagomål.docx", "A 38963-2022")</f>
        <v/>
      </c>
      <c r="AB31">
        <f>HYPERLINK("https://klasma.github.io/Logging_0562/klagomålsmail/A 38963-2022 FSC-klagomål mail.docx", "A 38963-2022")</f>
        <v/>
      </c>
      <c r="AC31">
        <f>HYPERLINK("https://klasma.github.io/Logging_0562/tillsyn/A 38963-2022 tillsynsbegäran.docx", "A 38963-2022")</f>
        <v/>
      </c>
      <c r="AD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46237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Mosippa
Gullklöver</t>
        </is>
      </c>
      <c r="W32">
        <f>HYPERLINK("https://klasma.github.io/Logging_0562/artfynd/A 18462-2024 artfynd.xlsx", "A 18462-2024")</f>
        <v/>
      </c>
      <c r="X32">
        <f>HYPERLINK("https://klasma.github.io/Logging_0562/kartor/A 18462-2024 karta.png", "A 18462-2024")</f>
        <v/>
      </c>
      <c r="Y32">
        <f>HYPERLINK("https://klasma.github.io/Logging_0562/kartor_geotiff/A 18462-2024 georefererad karta.tif", "A 18462-2024")</f>
        <v/>
      </c>
      <c r="AA32">
        <f>HYPERLINK("https://klasma.github.io/Logging_0562/klagomål/A 18462-2024 FSC-klagomål.docx", "A 18462-2024")</f>
        <v/>
      </c>
      <c r="AB32">
        <f>HYPERLINK("https://klasma.github.io/Logging_0562/klagomålsmail/A 18462-2024 FSC-klagomål mail.docx", "A 18462-2024")</f>
        <v/>
      </c>
      <c r="AC32">
        <f>HYPERLINK("https://klasma.github.io/Logging_0562/tillsyn/A 18462-2024 tillsynsbegäran.docx", "A 18462-2024")</f>
        <v/>
      </c>
      <c r="AD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46237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Havsörn</t>
        </is>
      </c>
      <c r="W33">
        <f>HYPERLINK("https://klasma.github.io/Logging_0562/artfynd/A 32570-2023 artfynd.xlsx", "A 32570-2023")</f>
        <v/>
      </c>
      <c r="X33">
        <f>HYPERLINK("https://klasma.github.io/Logging_0562/kartor/A 32570-2023 karta.png", "A 32570-2023")</f>
        <v/>
      </c>
      <c r="Y33">
        <f>HYPERLINK("https://klasma.github.io/Logging_0562/kartor_geotiff/A 32570-2023 georefererad karta.tif", "A 32570-2023")</f>
        <v/>
      </c>
      <c r="AA33">
        <f>HYPERLINK("https://klasma.github.io/Logging_0562/klagomål/A 32570-2023 FSC-klagomål.docx", "A 32570-2023")</f>
        <v/>
      </c>
      <c r="AB33">
        <f>HYPERLINK("https://klasma.github.io/Logging_0562/klagomålsmail/A 32570-2023 FSC-klagomål mail.docx", "A 32570-2023")</f>
        <v/>
      </c>
      <c r="AC33">
        <f>HYPERLINK("https://klasma.github.io/Logging_0562/tillsyn/A 32570-2023 tillsynsbegäran.docx", "A 32570-2023")</f>
        <v/>
      </c>
      <c r="AD33">
        <f>HYPERLINK("https://klasma.github.io/Logging_0562/tillsynsmail/A 32570-2023 tillsynsbegäran mail.docx", "A 32570-2023")</f>
        <v/>
      </c>
      <c r="AE33">
        <f>HYPERLINK("https://klasma.github.io/Logging_0562/fåglar/A 32570-2023 prioriterade fågelarter.docx", "A 32570-2023")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46237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46237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60890-2024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46237</v>
      </c>
      <c r="F36" t="inlineStr">
        <is>
          <t>ÖSTERGÖTLANDS LÄN</t>
        </is>
      </c>
      <c r="G36" t="inlineStr">
        <is>
          <t>FINSPÅNG</t>
        </is>
      </c>
      <c r="I36" t="n">
        <v>2.2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Fläcknycklar
Grönvit nattviol</t>
        </is>
      </c>
      <c r="W36">
        <f>HYPERLINK("https://klasma.github.io/Logging_0562/artfynd/A 60890-2024 artfynd.xlsx", "A 60890-2024")</f>
        <v/>
      </c>
      <c r="X36">
        <f>HYPERLINK("https://klasma.github.io/Logging_0562/kartor/A 60890-2024 karta.png", "A 60890-2024")</f>
        <v/>
      </c>
      <c r="Y36">
        <f>HYPERLINK("https://klasma.github.io/Logging_0562/kartor_geotiff/A 60890-2024 georefererad karta.tif", "A 60890-2024")</f>
        <v/>
      </c>
      <c r="AA36">
        <f>HYPERLINK("https://klasma.github.io/Logging_0562/klagomål/A 60890-2024 FSC-klagomål.docx", "A 60890-2024")</f>
        <v/>
      </c>
      <c r="AB36">
        <f>HYPERLINK("https://klasma.github.io/Logging_0562/klagomålsmail/A 60890-2024 FSC-klagomål mail.docx", "A 60890-2024")</f>
        <v/>
      </c>
      <c r="AC36">
        <f>HYPERLINK("https://klasma.github.io/Logging_0562/tillsyn/A 60890-2024 tillsynsbegäran.docx", "A 60890-2024")</f>
        <v/>
      </c>
      <c r="AD36">
        <f>HYPERLINK("https://klasma.github.io/Logging_0562/tillsynsmail/A 60890-2024 tillsynsbegäran mail.docx", "A 60890-2024")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46237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58806-2022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44903</v>
      </c>
      <c r="E38" s="1" t="n">
        <v>46237</v>
      </c>
      <c r="F38" t="inlineStr">
        <is>
          <t>ÖSTERGÖTLANDS LÄN</t>
        </is>
      </c>
      <c r="G38" t="inlineStr">
        <is>
          <t>FINSPÅNG</t>
        </is>
      </c>
      <c r="I38" t="n">
        <v>3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Flagellkvastmossa</t>
        </is>
      </c>
      <c r="W38">
        <f>HYPERLINK("https://klasma.github.io/Logging_0562/artfynd/A 58806-2022 artfynd.xlsx", "A 58806-2022")</f>
        <v/>
      </c>
      <c r="X38">
        <f>HYPERLINK("https://klasma.github.io/Logging_0562/kartor/A 58806-2022 karta.png", "A 58806-2022")</f>
        <v/>
      </c>
      <c r="Y38">
        <f>HYPERLINK("https://klasma.github.io/Logging_0562/kartor_geotiff/A 58806-2022 georefererad karta.tif", "A 58806-2022")</f>
        <v/>
      </c>
      <c r="Z38">
        <f>HYPERLINK("https://klasma.github.io/Logging_0562/knärot/A 58806-2022 karta knärot.png", "A 58806-2022")</f>
        <v/>
      </c>
      <c r="AA38">
        <f>HYPERLINK("https://klasma.github.io/Logging_0562/klagomål/A 58806-2022 FSC-klagomål.docx", "A 58806-2022")</f>
        <v/>
      </c>
      <c r="AB38">
        <f>HYPERLINK("https://klasma.github.io/Logging_0562/klagomålsmail/A 58806-2022 FSC-klagomål mail.docx", "A 58806-2022")</f>
        <v/>
      </c>
      <c r="AC38">
        <f>HYPERLINK("https://klasma.github.io/Logging_0562/tillsyn/A 58806-2022 tillsynsbegäran.docx", "A 58806-2022")</f>
        <v/>
      </c>
      <c r="AD38">
        <f>HYPERLINK("https://klasma.github.io/Logging_0562/tillsynsmail/A 58806-2022 tillsynsbegäran mail.docx", "A 58806-2022")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46237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46237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46237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46237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46237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28395-2024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45477</v>
      </c>
      <c r="E44" s="1" t="n">
        <v>46237</v>
      </c>
      <c r="F44" t="inlineStr">
        <is>
          <t>ÖSTERGÖTLANDS LÄN</t>
        </is>
      </c>
      <c r="G44" t="inlineStr">
        <is>
          <t>FINSPÅNG</t>
        </is>
      </c>
      <c r="H44" t="inlineStr">
        <is>
          <t>Naturvårdsverket</t>
        </is>
      </c>
      <c r="I44" t="n">
        <v>0.6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Fläcknycklar</t>
        </is>
      </c>
      <c r="W44">
        <f>HYPERLINK("https://klasma.github.io/Logging_0562/artfynd/A 28395-2024 artfynd.xlsx", "A 28395-2024")</f>
        <v/>
      </c>
      <c r="X44">
        <f>HYPERLINK("https://klasma.github.io/Logging_0562/kartor/A 28395-2024 karta.png", "A 28395-2024")</f>
        <v/>
      </c>
      <c r="Y44">
        <f>HYPERLINK("https://klasma.github.io/Logging_0562/kartor_geotiff/A 28395-2024 georefererad karta.tif", "A 28395-2024")</f>
        <v/>
      </c>
      <c r="AA44">
        <f>HYPERLINK("https://klasma.github.io/Logging_0562/klagomål/A 28395-2024 FSC-klagomål.docx", "A 28395-2024")</f>
        <v/>
      </c>
      <c r="AB44">
        <f>HYPERLINK("https://klasma.github.io/Logging_0562/klagomålsmail/A 28395-2024 FSC-klagomål mail.docx", "A 28395-2024")</f>
        <v/>
      </c>
      <c r="AC44">
        <f>HYPERLINK("https://klasma.github.io/Logging_0562/tillsyn/A 28395-2024 tillsynsbegäran.docx", "A 28395-2024")</f>
        <v/>
      </c>
      <c r="AD44">
        <f>HYPERLINK("https://klasma.github.io/Logging_0562/tillsynsmail/A 28395-2024 tillsynsbegäran mail.docx", "A 28395-2024")</f>
        <v/>
      </c>
      <c r="AE44">
        <f>HYPERLINK("https://klasma.github.io/Logging_0562/fåglar/A 28395-2024 prioriterade fågelarter.docx", "A 28395-2024")</f>
        <v/>
      </c>
    </row>
    <row r="45" ht="15" customHeight="1">
      <c r="A45" t="inlineStr">
        <is>
          <t>A 54654-2023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46237</v>
      </c>
      <c r="F45" t="inlineStr">
        <is>
          <t>ÖSTERGÖTLANDS LÄN</t>
        </is>
      </c>
      <c r="G45" t="inlineStr">
        <is>
          <t>FINSPÅNG</t>
        </is>
      </c>
      <c r="H45" t="inlineStr">
        <is>
          <t>Holmen skog AB</t>
        </is>
      </c>
      <c r="I45" t="n">
        <v>1.6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Blåmossa
Bronshjon</t>
        </is>
      </c>
      <c r="W45">
        <f>HYPERLINK("https://klasma.github.io/Logging_0562/artfynd/A 54654-2023 artfynd.xlsx", "A 54654-2023")</f>
        <v/>
      </c>
      <c r="X45">
        <f>HYPERLINK("https://klasma.github.io/Logging_0562/kartor/A 54654-2023 karta.png", "A 54654-2023")</f>
        <v/>
      </c>
      <c r="Y45">
        <f>HYPERLINK("https://klasma.github.io/Logging_0562/kartor_geotiff/A 54654-2023 georefererad karta.tif", "A 54654-2023")</f>
        <v/>
      </c>
      <c r="AA45">
        <f>HYPERLINK("https://klasma.github.io/Logging_0562/klagomål/A 54654-2023 FSC-klagomål.docx", "A 54654-2023")</f>
        <v/>
      </c>
      <c r="AB45">
        <f>HYPERLINK("https://klasma.github.io/Logging_0562/klagomålsmail/A 54654-2023 FSC-klagomål mail.docx", "A 54654-2023")</f>
        <v/>
      </c>
      <c r="AC45">
        <f>HYPERLINK("https://klasma.github.io/Logging_0562/tillsyn/A 54654-2023 tillsynsbegäran.docx", "A 54654-2023")</f>
        <v/>
      </c>
      <c r="AD45">
        <f>HYPERLINK("https://klasma.github.io/Logging_0562/tillsynsmail/A 54654-2023 tillsynsbegäran mail.docx", "A 54654-2023")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46237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Revlummer</t>
        </is>
      </c>
      <c r="W46">
        <f>HYPERLINK("https://klasma.github.io/Logging_0562/artfynd/A 25284-2025 artfynd.xlsx", "A 25284-2025")</f>
        <v/>
      </c>
      <c r="X46">
        <f>HYPERLINK("https://klasma.github.io/Logging_0562/kartor/A 25284-2025 karta.png", "A 25284-2025")</f>
        <v/>
      </c>
      <c r="Y46">
        <f>HYPERLINK("https://klasma.github.io/Logging_0562/kartor_geotiff/A 25284-2025 georefererad karta.tif", "A 25284-2025")</f>
        <v/>
      </c>
      <c r="AA46">
        <f>HYPERLINK("https://klasma.github.io/Logging_0562/klagomål/A 25284-2025 FSC-klagomål.docx", "A 25284-2025")</f>
        <v/>
      </c>
      <c r="AB46">
        <f>HYPERLINK("https://klasma.github.io/Logging_0562/klagomålsmail/A 25284-2025 FSC-klagomål mail.docx", "A 25284-2025")</f>
        <v/>
      </c>
      <c r="AC46">
        <f>HYPERLINK("https://klasma.github.io/Logging_0562/tillsyn/A 25284-2025 tillsynsbegäran.docx", "A 25284-2025")</f>
        <v/>
      </c>
      <c r="AD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46237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46237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46237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46237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46237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57662-2022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44897</v>
      </c>
      <c r="E52" s="1" t="n">
        <v>46237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Järnsparv</t>
        </is>
      </c>
      <c r="W52">
        <f>HYPERLINK("https://klasma.github.io/Logging_0562/artfynd/A 57662-2022 artfynd.xlsx", "A 57662-2022")</f>
        <v/>
      </c>
      <c r="X52">
        <f>HYPERLINK("https://klasma.github.io/Logging_0562/kartor/A 57662-2022 karta.png", "A 57662-2022")</f>
        <v/>
      </c>
      <c r="Y52">
        <f>HYPERLINK("https://klasma.github.io/Logging_0562/kartor_geotiff/A 57662-2022 georefererad karta.tif", "A 57662-2022")</f>
        <v/>
      </c>
      <c r="AA52">
        <f>HYPERLINK("https://klasma.github.io/Logging_0562/klagomål/A 57662-2022 FSC-klagomål.docx", "A 57662-2022")</f>
        <v/>
      </c>
      <c r="AB52">
        <f>HYPERLINK("https://klasma.github.io/Logging_0562/klagomålsmail/A 57662-2022 FSC-klagomål mail.docx", "A 57662-2022")</f>
        <v/>
      </c>
      <c r="AC52">
        <f>HYPERLINK("https://klasma.github.io/Logging_0562/tillsyn/A 57662-2022 tillsynsbegäran.docx", "A 57662-2022")</f>
        <v/>
      </c>
      <c r="AD52">
        <f>HYPERLINK("https://klasma.github.io/Logging_0562/tillsynsmail/A 57662-2022 tillsynsbegäran mail.docx", "A 57662-2022")</f>
        <v/>
      </c>
      <c r="AE52">
        <f>HYPERLINK("https://klasma.github.io/Logging_0562/fåglar/A 57662-2022 prioriterade fågelarter.docx", "A 57662-2022")</f>
        <v/>
      </c>
    </row>
    <row r="53" ht="15" customHeight="1">
      <c r="A53" t="inlineStr">
        <is>
          <t>A 61695-2021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44501</v>
      </c>
      <c r="E53" s="1" t="n">
        <v>46237</v>
      </c>
      <c r="F53" t="inlineStr">
        <is>
          <t>ÖSTERGÖTLANDS LÄN</t>
        </is>
      </c>
      <c r="G53" t="inlineStr">
        <is>
          <t>FINSPÅNG</t>
        </is>
      </c>
      <c r="H53" t="inlineStr">
        <is>
          <t>Sveaskog</t>
        </is>
      </c>
      <c r="I53" t="n">
        <v>1.7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Kornknutmossa</t>
        </is>
      </c>
      <c r="W53">
        <f>HYPERLINK("https://klasma.github.io/Logging_0562/artfynd/A 61695-2021 artfynd.xlsx", "A 61695-2021")</f>
        <v/>
      </c>
      <c r="X53">
        <f>HYPERLINK("https://klasma.github.io/Logging_0562/kartor/A 61695-2021 karta.png", "A 61695-2021")</f>
        <v/>
      </c>
      <c r="Y53">
        <f>HYPERLINK("https://klasma.github.io/Logging_0562/kartor_geotiff/A 61695-2021 georefererad karta.tif", "A 61695-2021")</f>
        <v/>
      </c>
      <c r="AA53">
        <f>HYPERLINK("https://klasma.github.io/Logging_0562/klagomål/A 61695-2021 FSC-klagomål.docx", "A 61695-2021")</f>
        <v/>
      </c>
      <c r="AB53">
        <f>HYPERLINK("https://klasma.github.io/Logging_0562/klagomålsmail/A 61695-2021 FSC-klagomål mail.docx", "A 61695-2021")</f>
        <v/>
      </c>
      <c r="AC53">
        <f>HYPERLINK("https://klasma.github.io/Logging_0562/tillsyn/A 61695-2021 tillsynsbegäran.docx", "A 61695-2021")</f>
        <v/>
      </c>
      <c r="AD53">
        <f>HYPERLINK("https://klasma.github.io/Logging_0562/tillsynsmail/A 61695-2021 tillsynsbegäran mail.docx", "A 61695-2021")</f>
        <v/>
      </c>
    </row>
    <row r="54" ht="15" customHeight="1">
      <c r="A54" t="inlineStr">
        <is>
          <t>A 43858-2021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46237</v>
      </c>
      <c r="F54" t="inlineStr">
        <is>
          <t>ÖSTERGÖTLANDS LÄN</t>
        </is>
      </c>
      <c r="G54" t="inlineStr">
        <is>
          <t>FINSPÅNG</t>
        </is>
      </c>
      <c r="H54" t="inlineStr">
        <is>
          <t>Övriga Aktiebolag</t>
        </is>
      </c>
      <c r="I54" t="n">
        <v>12.2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Kavelhirs</t>
        </is>
      </c>
      <c r="W54">
        <f>HYPERLINK("https://klasma.github.io/Logging_0562/artfynd/A 43858-2021 artfynd.xlsx", "A 43858-2021")</f>
        <v/>
      </c>
      <c r="X54">
        <f>HYPERLINK("https://klasma.github.io/Logging_0562/kartor/A 43858-2021 karta.png", "A 43858-2021")</f>
        <v/>
      </c>
      <c r="Y54">
        <f>HYPERLINK("https://klasma.github.io/Logging_0562/kartor_geotiff/A 43858-2021 georefererad karta.tif", "A 43858-2021")</f>
        <v/>
      </c>
      <c r="AA54">
        <f>HYPERLINK("https://klasma.github.io/Logging_0562/klagomål/A 43858-2021 FSC-klagomål.docx", "A 43858-2021")</f>
        <v/>
      </c>
      <c r="AB54">
        <f>HYPERLINK("https://klasma.github.io/Logging_0562/klagomålsmail/A 43858-2021 FSC-klagomål mail.docx", "A 43858-2021")</f>
        <v/>
      </c>
      <c r="AC54">
        <f>HYPERLINK("https://klasma.github.io/Logging_0562/tillsyn/A 43858-2021 tillsynsbegäran.docx", "A 43858-2021")</f>
        <v/>
      </c>
      <c r="AD54">
        <f>HYPERLINK("https://klasma.github.io/Logging_0562/tillsynsmail/A 43858-2021 tillsynsbegäran mail.docx", "A 43858-2021")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46237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54302-2023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46237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HYPERLINK("https://klasma.github.io/Logging_0562/artfynd/A 54302-2023 artfynd.xlsx", "A 54302-2023")</f>
        <v/>
      </c>
      <c r="X56">
        <f>HYPERLINK("https://klasma.github.io/Logging_0562/kartor/A 54302-2023 karta.png", "A 54302-2023")</f>
        <v/>
      </c>
      <c r="Y56">
        <f>HYPERLINK("https://klasma.github.io/Logging_0562/kartor_geotiff/A 54302-2023 georefererad karta.tif", "A 54302-2023")</f>
        <v/>
      </c>
      <c r="AA56">
        <f>HYPERLINK("https://klasma.github.io/Logging_0562/klagomål/A 54302-2023 FSC-klagomål.docx", "A 54302-2023")</f>
        <v/>
      </c>
      <c r="AB56">
        <f>HYPERLINK("https://klasma.github.io/Logging_0562/klagomålsmail/A 54302-2023 FSC-klagomål mail.docx", "A 54302-2023")</f>
        <v/>
      </c>
      <c r="AC56">
        <f>HYPERLINK("https://klasma.github.io/Logging_0562/tillsyn/A 54302-2023 tillsynsbegäran.docx", "A 54302-2023")</f>
        <v/>
      </c>
      <c r="AD56">
        <f>HYPERLINK("https://klasma.github.io/Logging_0562/tillsynsmail/A 54302-2023 tillsynsbegäran mail.docx", "A 54302-2023")</f>
        <v/>
      </c>
    </row>
    <row r="57" ht="15" customHeight="1">
      <c r="A57" t="inlineStr">
        <is>
          <t>A 663-2023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44930</v>
      </c>
      <c r="E57" s="1" t="n">
        <v>46237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HYPERLINK("https://klasma.github.io/Logging_0562/artfynd/A 663-2023 artfynd.xlsx", "A 663-2023")</f>
        <v/>
      </c>
      <c r="X57">
        <f>HYPERLINK("https://klasma.github.io/Logging_0562/kartor/A 663-2023 karta.png", "A 663-2023")</f>
        <v/>
      </c>
      <c r="Y57">
        <f>HYPERLINK("https://klasma.github.io/Logging_0562/kartor_geotiff/A 663-2023 georefererad karta.tif", "A 663-2023")</f>
        <v/>
      </c>
      <c r="AA57">
        <f>HYPERLINK("https://klasma.github.io/Logging_0562/klagomål/A 663-2023 FSC-klagomål.docx", "A 663-2023")</f>
        <v/>
      </c>
      <c r="AB57">
        <f>HYPERLINK("https://klasma.github.io/Logging_0562/klagomålsmail/A 663-2023 FSC-klagomål mail.docx", "A 663-2023")</f>
        <v/>
      </c>
      <c r="AC57">
        <f>HYPERLINK("https://klasma.github.io/Logging_0562/tillsyn/A 663-2023 tillsynsbegäran.docx", "A 663-2023")</f>
        <v/>
      </c>
      <c r="AD57">
        <f>HYPERLINK("https://klasma.github.io/Logging_0562/tillsynsmail/A 663-2023 tillsynsbegäran mail.docx", "A 663-2023")</f>
        <v/>
      </c>
    </row>
    <row r="58" ht="15" customHeight="1">
      <c r="A58" t="inlineStr">
        <is>
          <t>A 61254-2022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44915</v>
      </c>
      <c r="E58" s="1" t="n">
        <v>46237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0.9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HYPERLINK("https://klasma.github.io/Logging_0562/artfynd/A 61254-2022 artfynd.xlsx", "A 61254-2022")</f>
        <v/>
      </c>
      <c r="X58">
        <f>HYPERLINK("https://klasma.github.io/Logging_0562/kartor/A 61254-2022 karta.png", "A 61254-2022")</f>
        <v/>
      </c>
      <c r="Y58">
        <f>HYPERLINK("https://klasma.github.io/Logging_0562/kartor_geotiff/A 61254-2022 georefererad karta.tif", "A 61254-2022")</f>
        <v/>
      </c>
      <c r="AA58">
        <f>HYPERLINK("https://klasma.github.io/Logging_0562/klagomål/A 61254-2022 FSC-klagomål.docx", "A 61254-2022")</f>
        <v/>
      </c>
      <c r="AB58">
        <f>HYPERLINK("https://klasma.github.io/Logging_0562/klagomålsmail/A 61254-2022 FSC-klagomål mail.docx", "A 61254-2022")</f>
        <v/>
      </c>
      <c r="AC58">
        <f>HYPERLINK("https://klasma.github.io/Logging_0562/tillsyn/A 61254-2022 tillsynsbegäran.docx", "A 61254-2022")</f>
        <v/>
      </c>
      <c r="AD58">
        <f>HYPERLINK("https://klasma.github.io/Logging_0562/tillsynsmail/A 61254-2022 tillsynsbegäran mail.docx", "A 61254-2022")</f>
        <v/>
      </c>
    </row>
    <row r="59" ht="15" customHeight="1">
      <c r="A59" t="inlineStr">
        <is>
          <t>A 42837-2024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46237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2</v>
      </c>
      <c r="V59" s="2" t="inlineStr">
        <is>
          <t>Knärot</t>
        </is>
      </c>
      <c r="W59">
        <f>HYPERLINK("https://klasma.github.io/Logging_0562/artfynd/A 42837-2024 artfynd.xlsx", "A 42837-2024")</f>
        <v/>
      </c>
      <c r="X59">
        <f>HYPERLINK("https://klasma.github.io/Logging_0562/kartor/A 42837-2024 karta.png", "A 42837-2024")</f>
        <v/>
      </c>
      <c r="Y59">
        <f>HYPERLINK("https://klasma.github.io/Logging_0562/kartor_geotiff/A 42837-2024 georefererad karta.tif", "A 42837-2024")</f>
        <v/>
      </c>
      <c r="Z59">
        <f>HYPERLINK("https://klasma.github.io/Logging_0562/knärot/A 42837-2024 karta knärot.png", "A 42837-2024")</f>
        <v/>
      </c>
      <c r="AA59">
        <f>HYPERLINK("https://klasma.github.io/Logging_0562/klagomål/A 42837-2024 FSC-klagomål.docx", "A 42837-2024")</f>
        <v/>
      </c>
      <c r="AB59">
        <f>HYPERLINK("https://klasma.github.io/Logging_0562/klagomålsmail/A 42837-2024 FSC-klagomål mail.docx", "A 42837-2024")</f>
        <v/>
      </c>
      <c r="AC59">
        <f>HYPERLINK("https://klasma.github.io/Logging_0562/tillsyn/A 42837-2024 tillsynsbegäran.docx", "A 42837-2024")</f>
        <v/>
      </c>
      <c r="AD59">
        <f>HYPERLINK("https://klasma.github.io/Logging_0562/tillsynsmail/A 42837-2024 tillsynsbegäran mail.docx", "A 42837-2024")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46237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46237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Vit vedfingersvamp</t>
        </is>
      </c>
      <c r="W61">
        <f>HYPERLINK("https://klasma.github.io/Logging_0562/artfynd/A 42366-2025 artfynd.xlsx", "A 42366-2025")</f>
        <v/>
      </c>
      <c r="X61">
        <f>HYPERLINK("https://klasma.github.io/Logging_0562/kartor/A 42366-2025 karta.png", "A 42366-2025")</f>
        <v/>
      </c>
      <c r="Y61">
        <f>HYPERLINK("https://klasma.github.io/Logging_0562/kartor_geotiff/A 42366-2025 georefererad karta.tif", "A 42366-2025")</f>
        <v/>
      </c>
      <c r="AA61">
        <f>HYPERLINK("https://klasma.github.io/Logging_0562/klagomål/A 42366-2025 FSC-klagomål.docx", "A 42366-2025")</f>
        <v/>
      </c>
      <c r="AB61">
        <f>HYPERLINK("https://klasma.github.io/Logging_0562/klagomålsmail/A 42366-2025 FSC-klagomål mail.docx", "A 42366-2025")</f>
        <v/>
      </c>
      <c r="AC61">
        <f>HYPERLINK("https://klasma.github.io/Logging_0562/tillsyn/A 42366-2025 tillsynsbegäran.docx", "A 42366-2025")</f>
        <v/>
      </c>
      <c r="AD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46237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46237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46237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Ängsnycklar</t>
        </is>
      </c>
      <c r="W64">
        <f>HYPERLINK("https://klasma.github.io/Logging_0562/artfynd/A 59061-2024 artfynd.xlsx", "A 59061-2024")</f>
        <v/>
      </c>
      <c r="X64">
        <f>HYPERLINK("https://klasma.github.io/Logging_0562/kartor/A 59061-2024 karta.png", "A 59061-2024")</f>
        <v/>
      </c>
      <c r="Y64">
        <f>HYPERLINK("https://klasma.github.io/Logging_0562/kartor_geotiff/A 59061-2024 georefererad karta.tif", "A 59061-2024")</f>
        <v/>
      </c>
      <c r="AA64">
        <f>HYPERLINK("https://klasma.github.io/Logging_0562/klagomål/A 59061-2024 FSC-klagomål.docx", "A 59061-2024")</f>
        <v/>
      </c>
      <c r="AB64">
        <f>HYPERLINK("https://klasma.github.io/Logging_0562/klagomålsmail/A 59061-2024 FSC-klagomål mail.docx", "A 59061-2024")</f>
        <v/>
      </c>
      <c r="AC64">
        <f>HYPERLINK("https://klasma.github.io/Logging_0562/tillsyn/A 59061-2024 tillsynsbegäran.docx", "A 59061-2024")</f>
        <v/>
      </c>
      <c r="AD64">
        <f>HYPERLINK("https://klasma.github.io/Logging_0562/tillsynsmail/A 59061-2024 tillsynsbegäran mail.docx", "A 59061-2024")</f>
        <v/>
      </c>
    </row>
    <row r="65" ht="15" customHeight="1">
      <c r="A65" t="inlineStr">
        <is>
          <t>A 10203-2022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44622</v>
      </c>
      <c r="E65" s="1" t="n">
        <v>46237</v>
      </c>
      <c r="F65" t="inlineStr">
        <is>
          <t>ÖSTERGÖTLANDS LÄN</t>
        </is>
      </c>
      <c r="G65" t="inlineStr">
        <is>
          <t>FINSPÅNG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Vanlig backsmörblomma</t>
        </is>
      </c>
      <c r="W65">
        <f>HYPERLINK("https://klasma.github.io/Logging_0562/artfynd/A 10203-2022 artfynd.xlsx", "A 10203-2022")</f>
        <v/>
      </c>
      <c r="X65">
        <f>HYPERLINK("https://klasma.github.io/Logging_0562/kartor/A 10203-2022 karta.png", "A 10203-2022")</f>
        <v/>
      </c>
      <c r="Y65">
        <f>HYPERLINK("https://klasma.github.io/Logging_0562/kartor_geotiff/A 10203-2022 georefererad karta.tif", "A 10203-2022")</f>
        <v/>
      </c>
      <c r="AA65">
        <f>HYPERLINK("https://klasma.github.io/Logging_0562/klagomål/A 10203-2022 FSC-klagomål.docx", "A 10203-2022")</f>
        <v/>
      </c>
      <c r="AB65">
        <f>HYPERLINK("https://klasma.github.io/Logging_0562/klagomålsmail/A 10203-2022 FSC-klagomål mail.docx", "A 10203-2022")</f>
        <v/>
      </c>
      <c r="AC65">
        <f>HYPERLINK("https://klasma.github.io/Logging_0562/tillsyn/A 10203-2022 tillsynsbegäran.docx", "A 10203-2022")</f>
        <v/>
      </c>
      <c r="AD65">
        <f>HYPERLINK("https://klasma.github.io/Logging_0562/tillsynsmail/A 10203-2022 tillsynsbegäran mail.docx", "A 10203-2022")</f>
        <v/>
      </c>
    </row>
    <row r="66" ht="15" customHeight="1">
      <c r="A66" t="inlineStr">
        <is>
          <t>A 53673-2024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46237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HYPERLINK("https://klasma.github.io/Logging_0562/artfynd/A 53673-2024 artfynd.xlsx", "A 53673-2024")</f>
        <v/>
      </c>
      <c r="X66">
        <f>HYPERLINK("https://klasma.github.io/Logging_0562/kartor/A 53673-2024 karta.png", "A 53673-2024")</f>
        <v/>
      </c>
      <c r="Y66">
        <f>HYPERLINK("https://klasma.github.io/Logging_0562/kartor_geotiff/A 53673-2024 georefererad karta.tif", "A 53673-2024")</f>
        <v/>
      </c>
      <c r="Z66">
        <f>HYPERLINK("https://klasma.github.io/Logging_0562/knärot/A 53673-2024 karta knärot.png", "A 53673-2024")</f>
        <v/>
      </c>
      <c r="AA66">
        <f>HYPERLINK("https://klasma.github.io/Logging_0562/klagomål/A 53673-2024 FSC-klagomål.docx", "A 53673-2024")</f>
        <v/>
      </c>
      <c r="AB66">
        <f>HYPERLINK("https://klasma.github.io/Logging_0562/klagomålsmail/A 53673-2024 FSC-klagomål mail.docx", "A 53673-2024")</f>
        <v/>
      </c>
      <c r="AC66">
        <f>HYPERLINK("https://klasma.github.io/Logging_0562/tillsyn/A 53673-2024 tillsynsbegäran.docx", "A 53673-2024")</f>
        <v/>
      </c>
      <c r="AD66">
        <f>HYPERLINK("https://klasma.github.io/Logging_0562/tillsynsmail/A 53673-2024 tillsynsbegäran mail.docx", "A 53673-2024")</f>
        <v/>
      </c>
    </row>
    <row r="67" ht="15" customHeight="1">
      <c r="A67" t="inlineStr">
        <is>
          <t>A 22587-2026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46155</v>
      </c>
      <c r="E67" s="1" t="n">
        <v>46237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Gulsparv</t>
        </is>
      </c>
      <c r="W67">
        <f>HYPERLINK("https://klasma.github.io/Logging_0562/artfynd/A 22587-2026 artfynd.xlsx", "A 22587-2026")</f>
        <v/>
      </c>
      <c r="X67">
        <f>HYPERLINK("https://klasma.github.io/Logging_0562/kartor/A 22587-2026 karta.png", "A 22587-2026")</f>
        <v/>
      </c>
      <c r="Y67">
        <f>HYPERLINK("https://klasma.github.io/Logging_0562/kartor_geotiff/A 22587-2026 georefererad karta.tif", "A 22587-2026")</f>
        <v/>
      </c>
      <c r="AA67">
        <f>HYPERLINK("https://klasma.github.io/Logging_0562/klagomål/A 22587-2026 FSC-klagomål.docx", "A 22587-2026")</f>
        <v/>
      </c>
      <c r="AB67">
        <f>HYPERLINK("https://klasma.github.io/Logging_0562/klagomålsmail/A 22587-2026 FSC-klagomål mail.docx", "A 22587-2026")</f>
        <v/>
      </c>
      <c r="AC67">
        <f>HYPERLINK("https://klasma.github.io/Logging_0562/tillsyn/A 22587-2026 tillsynsbegäran.docx", "A 22587-2026")</f>
        <v/>
      </c>
      <c r="AD67">
        <f>HYPERLINK("https://klasma.github.io/Logging_0562/tillsynsmail/A 22587-2026 tillsynsbegäran mail.docx", "A 22587-2026")</f>
        <v/>
      </c>
      <c r="AE67">
        <f>HYPERLINK("https://klasma.github.io/Logging_0562/fåglar/A 22587-2026 prioriterade fågelarter.docx", "A 22587-2026")</f>
        <v/>
      </c>
    </row>
    <row r="68" ht="15" customHeight="1">
      <c r="A68" t="inlineStr">
        <is>
          <t>A 39078-2022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46237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Skogsklocka</t>
        </is>
      </c>
      <c r="W68">
        <f>HYPERLINK("https://klasma.github.io/Logging_0562/artfynd/A 39078-2022 artfynd.xlsx", "A 39078-2022")</f>
        <v/>
      </c>
      <c r="X68">
        <f>HYPERLINK("https://klasma.github.io/Logging_0562/kartor/A 39078-2022 karta.png", "A 39078-2022")</f>
        <v/>
      </c>
      <c r="Y68">
        <f>HYPERLINK("https://klasma.github.io/Logging_0562/kartor_geotiff/A 39078-2022 georefererad karta.tif", "A 39078-2022")</f>
        <v/>
      </c>
      <c r="AA68">
        <f>HYPERLINK("https://klasma.github.io/Logging_0562/klagomål/A 39078-2022 FSC-klagomål.docx", "A 39078-2022")</f>
        <v/>
      </c>
      <c r="AB68">
        <f>HYPERLINK("https://klasma.github.io/Logging_0562/klagomålsmail/A 39078-2022 FSC-klagomål mail.docx", "A 39078-2022")</f>
        <v/>
      </c>
      <c r="AC68">
        <f>HYPERLINK("https://klasma.github.io/Logging_0562/tillsyn/A 39078-2022 tillsynsbegäran.docx", "A 39078-2022")</f>
        <v/>
      </c>
      <c r="AD68">
        <f>HYPERLINK("https://klasma.github.io/Logging_0562/tillsynsmail/A 39078-2022 tillsynsbegäran mail.docx", "A 39078-2022")</f>
        <v/>
      </c>
    </row>
    <row r="69" ht="15" customHeight="1">
      <c r="A69" t="inlineStr">
        <is>
          <t>A 11140-2023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44992</v>
      </c>
      <c r="E69" s="1" t="n">
        <v>46237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Grönvit nattviol</t>
        </is>
      </c>
      <c r="W69">
        <f>HYPERLINK("https://klasma.github.io/Logging_0562/artfynd/A 11140-2023 artfynd.xlsx", "A 11140-2023")</f>
        <v/>
      </c>
      <c r="X69">
        <f>HYPERLINK("https://klasma.github.io/Logging_0562/kartor/A 11140-2023 karta.png", "A 11140-2023")</f>
        <v/>
      </c>
      <c r="Y69">
        <f>HYPERLINK("https://klasma.github.io/Logging_0562/kartor_geotiff/A 11140-2023 georefererad karta.tif", "A 11140-2023")</f>
        <v/>
      </c>
      <c r="AA69">
        <f>HYPERLINK("https://klasma.github.io/Logging_0562/klagomål/A 11140-2023 FSC-klagomål.docx", "A 11140-2023")</f>
        <v/>
      </c>
      <c r="AB69">
        <f>HYPERLINK("https://klasma.github.io/Logging_0562/klagomålsmail/A 11140-2023 FSC-klagomål mail.docx", "A 11140-2023")</f>
        <v/>
      </c>
      <c r="AC69">
        <f>HYPERLINK("https://klasma.github.io/Logging_0562/tillsyn/A 11140-2023 tillsynsbegäran.docx", "A 11140-2023")</f>
        <v/>
      </c>
      <c r="AD69">
        <f>HYPERLINK("https://klasma.github.io/Logging_0562/tillsynsmail/A 11140-2023 tillsynsbegäran mail.docx", "A 11140-2023")</f>
        <v/>
      </c>
    </row>
    <row r="70" ht="15" customHeight="1">
      <c r="A70" t="inlineStr">
        <is>
          <t>A 22439-2023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45070</v>
      </c>
      <c r="E70" s="1" t="n">
        <v>46237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Hasselsnok</t>
        </is>
      </c>
      <c r="W70">
        <f>HYPERLINK("https://klasma.github.io/Logging_0562/artfynd/A 22439-2023 artfynd.xlsx", "A 22439-2023")</f>
        <v/>
      </c>
      <c r="X70">
        <f>HYPERLINK("https://klasma.github.io/Logging_0562/kartor/A 22439-2023 karta.png", "A 22439-2023")</f>
        <v/>
      </c>
      <c r="Y70">
        <f>HYPERLINK("https://klasma.github.io/Logging_0562/kartor_geotiff/A 22439-2023 georefererad karta.tif", "A 22439-2023")</f>
        <v/>
      </c>
      <c r="AA70">
        <f>HYPERLINK("https://klasma.github.io/Logging_0562/klagomål/A 22439-2023 FSC-klagomål.docx", "A 22439-2023")</f>
        <v/>
      </c>
      <c r="AB70">
        <f>HYPERLINK("https://klasma.github.io/Logging_0562/klagomålsmail/A 22439-2023 FSC-klagomål mail.docx", "A 22439-2023")</f>
        <v/>
      </c>
      <c r="AC70">
        <f>HYPERLINK("https://klasma.github.io/Logging_0562/tillsyn/A 22439-2023 tillsynsbegäran.docx", "A 22439-2023")</f>
        <v/>
      </c>
      <c r="AD70">
        <f>HYPERLINK("https://klasma.github.io/Logging_0562/tillsynsmail/A 22439-2023 tillsynsbegäran mail.docx", "A 22439-2023")</f>
        <v/>
      </c>
    </row>
    <row r="71" ht="15" customHeight="1">
      <c r="A71" t="inlineStr">
        <is>
          <t>A 43167-2021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44431</v>
      </c>
      <c r="E71" s="1" t="n">
        <v>46237</v>
      </c>
      <c r="F71" t="inlineStr">
        <is>
          <t>ÖSTERGÖTLANDS LÄN</t>
        </is>
      </c>
      <c r="G71" t="inlineStr">
        <is>
          <t>FINSPÅNG</t>
        </is>
      </c>
      <c r="I71" t="n">
        <v>6.9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Lopplummer (aggregat)</t>
        </is>
      </c>
      <c r="W71">
        <f>HYPERLINK("https://klasma.github.io/Logging_0562/artfynd/A 43167-2021 artfynd.xlsx", "A 43167-2021")</f>
        <v/>
      </c>
      <c r="X71">
        <f>HYPERLINK("https://klasma.github.io/Logging_0562/kartor/A 43167-2021 karta.png", "A 43167-2021")</f>
        <v/>
      </c>
      <c r="Y71">
        <f>HYPERLINK("https://klasma.github.io/Logging_0562/kartor_geotiff/A 43167-2021 georefererad karta.tif", "A 43167-2021")</f>
        <v/>
      </c>
      <c r="AA71">
        <f>HYPERLINK("https://klasma.github.io/Logging_0562/klagomål/A 43167-2021 FSC-klagomål.docx", "A 43167-2021")</f>
        <v/>
      </c>
      <c r="AB71">
        <f>HYPERLINK("https://klasma.github.io/Logging_0562/klagomålsmail/A 43167-2021 FSC-klagomål mail.docx", "A 43167-2021")</f>
        <v/>
      </c>
      <c r="AC71">
        <f>HYPERLINK("https://klasma.github.io/Logging_0562/tillsyn/A 43167-2021 tillsynsbegäran.docx", "A 43167-2021")</f>
        <v/>
      </c>
      <c r="AD71">
        <f>HYPERLINK("https://klasma.github.io/Logging_0562/tillsynsmail/A 43167-2021 tillsynsbegäran mail.docx", "A 43167-2021")</f>
        <v/>
      </c>
    </row>
    <row r="72" ht="15" customHeight="1">
      <c r="A72" t="inlineStr">
        <is>
          <t>A 43166-2021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46237</v>
      </c>
      <c r="F72" t="inlineStr">
        <is>
          <t>ÖSTERGÖTLANDS LÄN</t>
        </is>
      </c>
      <c r="G72" t="inlineStr">
        <is>
          <t>FINSPÅNG</t>
        </is>
      </c>
      <c r="I72" t="n">
        <v>6.3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Plattlummer</t>
        </is>
      </c>
      <c r="W72">
        <f>HYPERLINK("https://klasma.github.io/Logging_0562/artfynd/A 43166-2021 artfynd.xlsx", "A 43166-2021")</f>
        <v/>
      </c>
      <c r="X72">
        <f>HYPERLINK("https://klasma.github.io/Logging_0562/kartor/A 43166-2021 karta.png", "A 43166-2021")</f>
        <v/>
      </c>
      <c r="Y72">
        <f>HYPERLINK("https://klasma.github.io/Logging_0562/kartor_geotiff/A 43166-2021 georefererad karta.tif", "A 43166-2021")</f>
        <v/>
      </c>
      <c r="AA72">
        <f>HYPERLINK("https://klasma.github.io/Logging_0562/klagomål/A 43166-2021 FSC-klagomål.docx", "A 43166-2021")</f>
        <v/>
      </c>
      <c r="AB72">
        <f>HYPERLINK("https://klasma.github.io/Logging_0562/klagomålsmail/A 43166-2021 FSC-klagomål mail.docx", "A 43166-2021")</f>
        <v/>
      </c>
      <c r="AC72">
        <f>HYPERLINK("https://klasma.github.io/Logging_0562/tillsyn/A 43166-2021 tillsynsbegäran.docx", "A 43166-2021")</f>
        <v/>
      </c>
      <c r="AD72">
        <f>HYPERLINK("https://klasma.github.io/Logging_0562/tillsynsmail/A 43166-2021 tillsynsbegäran mail.docx", "A 43166-2021")</f>
        <v/>
      </c>
    </row>
    <row r="73" ht="15" customHeight="1">
      <c r="A73" t="inlineStr">
        <is>
          <t>A 24411-2023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45082</v>
      </c>
      <c r="E73" s="1" t="n">
        <v>46237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Blåmossa</t>
        </is>
      </c>
      <c r="W73">
        <f>HYPERLINK("https://klasma.github.io/Logging_0562/artfynd/A 24411-2023 artfynd.xlsx", "A 24411-2023")</f>
        <v/>
      </c>
      <c r="X73">
        <f>HYPERLINK("https://klasma.github.io/Logging_0562/kartor/A 24411-2023 karta.png", "A 24411-2023")</f>
        <v/>
      </c>
      <c r="Y73">
        <f>HYPERLINK("https://klasma.github.io/Logging_0562/kartor_geotiff/A 24411-2023 georefererad karta.tif", "A 24411-2023")</f>
        <v/>
      </c>
      <c r="AA73">
        <f>HYPERLINK("https://klasma.github.io/Logging_0562/klagomål/A 24411-2023 FSC-klagomål.docx", "A 24411-2023")</f>
        <v/>
      </c>
      <c r="AB73">
        <f>HYPERLINK("https://klasma.github.io/Logging_0562/klagomålsmail/A 24411-2023 FSC-klagomål mail.docx", "A 24411-2023")</f>
        <v/>
      </c>
      <c r="AC73">
        <f>HYPERLINK("https://klasma.github.io/Logging_0562/tillsyn/A 24411-2023 tillsynsbegäran.docx", "A 24411-2023")</f>
        <v/>
      </c>
      <c r="AD73">
        <f>HYPERLINK("https://klasma.github.io/Logging_0562/tillsynsmail/A 24411-2023 tillsynsbegäran mail.docx", "A 24411-2023")</f>
        <v/>
      </c>
    </row>
    <row r="74" ht="15" customHeight="1">
      <c r="A74" t="inlineStr">
        <is>
          <t>A 15123-2025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45744</v>
      </c>
      <c r="E74" s="1" t="n">
        <v>46237</v>
      </c>
      <c r="F74" t="inlineStr">
        <is>
          <t>ÖSTERGÖTLANDS LÄN</t>
        </is>
      </c>
      <c r="G74" t="inlineStr">
        <is>
          <t>FINSPÅNG</t>
        </is>
      </c>
      <c r="H74" t="inlineStr">
        <is>
          <t>Naturvårdsverket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HYPERLINK("https://klasma.github.io/Logging_0562/artfynd/A 15123-2025 artfynd.xlsx", "A 15123-2025")</f>
        <v/>
      </c>
      <c r="X74">
        <f>HYPERLINK("https://klasma.github.io/Logging_0562/kartor/A 15123-2025 karta.png", "A 15123-2025")</f>
        <v/>
      </c>
      <c r="Y74">
        <f>HYPERLINK("https://klasma.github.io/Logging_0562/kartor_geotiff/A 15123-2025 georefererad karta.tif", "A 15123-2025")</f>
        <v/>
      </c>
      <c r="AA74">
        <f>HYPERLINK("https://klasma.github.io/Logging_0562/klagomål/A 15123-2025 FSC-klagomål.docx", "A 15123-2025")</f>
        <v/>
      </c>
      <c r="AB74">
        <f>HYPERLINK("https://klasma.github.io/Logging_0562/klagomålsmail/A 15123-2025 FSC-klagomål mail.docx", "A 15123-2025")</f>
        <v/>
      </c>
      <c r="AC74">
        <f>HYPERLINK("https://klasma.github.io/Logging_0562/tillsyn/A 15123-2025 tillsynsbegäran.docx", "A 15123-2025")</f>
        <v/>
      </c>
      <c r="AD74">
        <f>HYPERLINK("https://klasma.github.io/Logging_0562/tillsynsmail/A 15123-2025 tillsynsbegäran mail.docx", "A 15123-2025")</f>
        <v/>
      </c>
      <c r="AE74">
        <f>HYPERLINK("https://klasma.github.io/Logging_0562/fåglar/A 15123-2025 prioriterade fågelarter.docx", "A 15123-2025")</f>
        <v/>
      </c>
    </row>
    <row r="75" ht="15" customHeight="1">
      <c r="A75" t="inlineStr">
        <is>
          <t>A 6407-2023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46237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HYPERLINK("https://klasma.github.io/Logging_0562/artfynd/A 6407-2023 artfynd.xlsx", "A 6407-2023")</f>
        <v/>
      </c>
      <c r="X75">
        <f>HYPERLINK("https://klasma.github.io/Logging_0562/kartor/A 6407-2023 karta.png", "A 6407-2023")</f>
        <v/>
      </c>
      <c r="Y75">
        <f>HYPERLINK("https://klasma.github.io/Logging_0562/kartor_geotiff/A 6407-2023 georefererad karta.tif", "A 6407-2023")</f>
        <v/>
      </c>
      <c r="AA75">
        <f>HYPERLINK("https://klasma.github.io/Logging_0562/klagomål/A 6407-2023 FSC-klagomål.docx", "A 6407-2023")</f>
        <v/>
      </c>
      <c r="AB75">
        <f>HYPERLINK("https://klasma.github.io/Logging_0562/klagomålsmail/A 6407-2023 FSC-klagomål mail.docx", "A 6407-2023")</f>
        <v/>
      </c>
      <c r="AC75">
        <f>HYPERLINK("https://klasma.github.io/Logging_0562/tillsyn/A 6407-2023 tillsynsbegäran.docx", "A 6407-2023")</f>
        <v/>
      </c>
      <c r="AD75">
        <f>HYPERLINK("https://klasma.github.io/Logging_0562/tillsynsmail/A 6407-2023 tillsynsbegäran mail.docx", "A 6407-2023")</f>
        <v/>
      </c>
      <c r="AE75">
        <f>HYPERLINK("https://klasma.github.io/Logging_0562/fåglar/A 6407-2023 prioriterade fågelarter.docx", "A 6407-2023")</f>
        <v/>
      </c>
    </row>
    <row r="76" ht="15" customHeight="1">
      <c r="A76" t="inlineStr">
        <is>
          <t>A 22259-2024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46237</v>
      </c>
      <c r="F76" t="inlineStr">
        <is>
          <t>ÖSTERGÖTLANDS LÄN</t>
        </is>
      </c>
      <c r="G76" t="inlineStr">
        <is>
          <t>FINSPÅNG</t>
        </is>
      </c>
      <c r="I76" t="n">
        <v>2.7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Gullklöver</t>
        </is>
      </c>
      <c r="W76">
        <f>HYPERLINK("https://klasma.github.io/Logging_0562/artfynd/A 22259-2024 artfynd.xlsx", "A 22259-2024")</f>
        <v/>
      </c>
      <c r="X76">
        <f>HYPERLINK("https://klasma.github.io/Logging_0562/kartor/A 22259-2024 karta.png", "A 22259-2024")</f>
        <v/>
      </c>
      <c r="Y76">
        <f>HYPERLINK("https://klasma.github.io/Logging_0562/kartor_geotiff/A 22259-2024 georefererad karta.tif", "A 22259-2024")</f>
        <v/>
      </c>
      <c r="AA76">
        <f>HYPERLINK("https://klasma.github.io/Logging_0562/klagomål/A 22259-2024 FSC-klagomål.docx", "A 22259-2024")</f>
        <v/>
      </c>
      <c r="AB76">
        <f>HYPERLINK("https://klasma.github.io/Logging_0562/klagomålsmail/A 22259-2024 FSC-klagomål mail.docx", "A 22259-2024")</f>
        <v/>
      </c>
      <c r="AC76">
        <f>HYPERLINK("https://klasma.github.io/Logging_0562/tillsyn/A 22259-2024 tillsynsbegäran.docx", "A 22259-2024")</f>
        <v/>
      </c>
      <c r="AD76">
        <f>HYPERLINK("https://klasma.github.io/Logging_0562/tillsynsmail/A 22259-2024 tillsynsbegäran mail.docx", "A 22259-2024")</f>
        <v/>
      </c>
    </row>
    <row r="77" ht="15" customHeight="1">
      <c r="A77" t="inlineStr">
        <is>
          <t>A 25942-2026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46237</v>
      </c>
      <c r="F77" t="inlineStr">
        <is>
          <t>ÖSTERGÖTLANDS LÄN</t>
        </is>
      </c>
      <c r="G77" t="inlineStr">
        <is>
          <t>FINSPÅNG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HYPERLINK("https://klasma.github.io/Logging_0562/artfynd/A 25942-2026 artfynd.xlsx", "A 25942-2026")</f>
        <v/>
      </c>
      <c r="X77">
        <f>HYPERLINK("https://klasma.github.io/Logging_0562/kartor/A 25942-2026 karta.png", "A 25942-2026")</f>
        <v/>
      </c>
      <c r="Y77">
        <f>HYPERLINK("https://klasma.github.io/Logging_0562/kartor_geotiff/A 25942-2026 georefererad karta.tif", "A 25942-2026")</f>
        <v/>
      </c>
      <c r="AA77">
        <f>HYPERLINK("https://klasma.github.io/Logging_0562/klagomål/A 25942-2026 FSC-klagomål.docx", "A 25942-2026")</f>
        <v/>
      </c>
      <c r="AB77">
        <f>HYPERLINK("https://klasma.github.io/Logging_0562/klagomålsmail/A 25942-2026 FSC-klagomål mail.docx", "A 25942-2026")</f>
        <v/>
      </c>
      <c r="AC77">
        <f>HYPERLINK("https://klasma.github.io/Logging_0562/tillsyn/A 25942-2026 tillsynsbegäran.docx", "A 25942-2026")</f>
        <v/>
      </c>
      <c r="AD77">
        <f>HYPERLINK("https://klasma.github.io/Logging_0562/tillsynsmail/A 25942-2026 tillsynsbegäran mail.docx", "A 25942-2026")</f>
        <v/>
      </c>
    </row>
    <row r="78" ht="15" customHeight="1">
      <c r="A78" t="inlineStr">
        <is>
          <t>A 5427-2026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46050</v>
      </c>
      <c r="E78" s="1" t="n">
        <v>46237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Skogsklocka</t>
        </is>
      </c>
      <c r="W78">
        <f>HYPERLINK("https://klasma.github.io/Logging_0562/artfynd/A 5427-2026 artfynd.xlsx", "A 5427-2026")</f>
        <v/>
      </c>
      <c r="X78">
        <f>HYPERLINK("https://klasma.github.io/Logging_0562/kartor/A 5427-2026 karta.png", "A 5427-2026")</f>
        <v/>
      </c>
      <c r="Y78">
        <f>HYPERLINK("https://klasma.github.io/Logging_0562/kartor_geotiff/A 5427-2026 georefererad karta.tif", "A 5427-2026")</f>
        <v/>
      </c>
      <c r="AA78">
        <f>HYPERLINK("https://klasma.github.io/Logging_0562/klagomål/A 5427-2026 FSC-klagomål.docx", "A 5427-2026")</f>
        <v/>
      </c>
      <c r="AB78">
        <f>HYPERLINK("https://klasma.github.io/Logging_0562/klagomålsmail/A 5427-2026 FSC-klagomål mail.docx", "A 5427-2026")</f>
        <v/>
      </c>
      <c r="AC78">
        <f>HYPERLINK("https://klasma.github.io/Logging_0562/tillsyn/A 5427-2026 tillsynsbegäran.docx", "A 5427-2026")</f>
        <v/>
      </c>
      <c r="AD78">
        <f>HYPERLINK("https://klasma.github.io/Logging_0562/tillsynsmail/A 5427-2026 tillsynsbegäran mail.docx", "A 5427-2026")</f>
        <v/>
      </c>
    </row>
    <row r="79" ht="15" customHeight="1">
      <c r="A79" t="inlineStr">
        <is>
          <t>A 7265-2026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46058</v>
      </c>
      <c r="E79" s="1" t="n">
        <v>46237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Havsörn</t>
        </is>
      </c>
      <c r="W79">
        <f>HYPERLINK("https://klasma.github.io/Logging_0562/artfynd/A 7265-2026 artfynd.xlsx", "A 7265-2026")</f>
        <v/>
      </c>
      <c r="X79">
        <f>HYPERLINK("https://klasma.github.io/Logging_0562/kartor/A 7265-2026 karta.png", "A 7265-2026")</f>
        <v/>
      </c>
      <c r="Y79">
        <f>HYPERLINK("https://klasma.github.io/Logging_0562/kartor_geotiff/A 7265-2026 georefererad karta.tif", "A 7265-2026")</f>
        <v/>
      </c>
      <c r="AA79">
        <f>HYPERLINK("https://klasma.github.io/Logging_0562/klagomål/A 7265-2026 FSC-klagomål.docx", "A 7265-2026")</f>
        <v/>
      </c>
      <c r="AB79">
        <f>HYPERLINK("https://klasma.github.io/Logging_0562/klagomålsmail/A 7265-2026 FSC-klagomål mail.docx", "A 7265-2026")</f>
        <v/>
      </c>
      <c r="AC79">
        <f>HYPERLINK("https://klasma.github.io/Logging_0562/tillsyn/A 7265-2026 tillsynsbegäran.docx", "A 7265-2026")</f>
        <v/>
      </c>
      <c r="AD79">
        <f>HYPERLINK("https://klasma.github.io/Logging_0562/tillsynsmail/A 7265-2026 tillsynsbegäran mail.docx", "A 7265-2026")</f>
        <v/>
      </c>
      <c r="AE79">
        <f>HYPERLINK("https://klasma.github.io/Logging_0562/fåglar/A 7265-2026 prioriterade fågelarter.docx", "A 7265-2026")</f>
        <v/>
      </c>
    </row>
    <row r="80" ht="15" customHeight="1">
      <c r="A80" t="inlineStr">
        <is>
          <t>A 27456-2026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46237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HYPERLINK("https://klasma.github.io/Logging_0562/artfynd/A 27456-2026 artfynd.xlsx", "A 27456-2026")</f>
        <v/>
      </c>
      <c r="X80">
        <f>HYPERLINK("https://klasma.github.io/Logging_0562/kartor/A 27456-2026 karta.png", "A 27456-2026")</f>
        <v/>
      </c>
      <c r="Y80">
        <f>HYPERLINK("https://klasma.github.io/Logging_0562/kartor_geotiff/A 27456-2026 georefererad karta.tif", "A 27456-2026")</f>
        <v/>
      </c>
      <c r="AA80">
        <f>HYPERLINK("https://klasma.github.io/Logging_0562/klagomål/A 27456-2026 FSC-klagomål.docx", "A 27456-2026")</f>
        <v/>
      </c>
      <c r="AB80">
        <f>HYPERLINK("https://klasma.github.io/Logging_0562/klagomålsmail/A 27456-2026 FSC-klagomål mail.docx", "A 27456-2026")</f>
        <v/>
      </c>
      <c r="AC80">
        <f>HYPERLINK("https://klasma.github.io/Logging_0562/tillsyn/A 27456-2026 tillsynsbegäran.docx", "A 27456-2026")</f>
        <v/>
      </c>
      <c r="AD80">
        <f>HYPERLINK("https://klasma.github.io/Logging_0562/tillsynsmail/A 27456-2026 tillsynsbegäran mail.docx", "A 27456-2026")</f>
        <v/>
      </c>
    </row>
    <row r="81" ht="15" customHeight="1">
      <c r="A81" t="inlineStr">
        <is>
          <t>A 42947-2024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45567</v>
      </c>
      <c r="E81" s="1" t="n">
        <v>46237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0.5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HYPERLINK("https://klasma.github.io/Logging_0562/artfynd/A 42947-2024 artfynd.xlsx", "A 42947-2024")</f>
        <v/>
      </c>
      <c r="X81">
        <f>HYPERLINK("https://klasma.github.io/Logging_0562/kartor/A 42947-2024 karta.png", "A 42947-2024")</f>
        <v/>
      </c>
      <c r="Y81">
        <f>HYPERLINK("https://klasma.github.io/Logging_0562/kartor_geotiff/A 42947-2024 georefererad karta.tif", "A 42947-2024")</f>
        <v/>
      </c>
      <c r="Z81">
        <f>HYPERLINK("https://klasma.github.io/Logging_0562/knärot/A 42947-2024 karta knärot.png", "A 42947-2024")</f>
        <v/>
      </c>
      <c r="AA81">
        <f>HYPERLINK("https://klasma.github.io/Logging_0562/klagomål/A 42947-2024 FSC-klagomål.docx", "A 42947-2024")</f>
        <v/>
      </c>
      <c r="AB81">
        <f>HYPERLINK("https://klasma.github.io/Logging_0562/klagomålsmail/A 42947-2024 FSC-klagomål mail.docx", "A 42947-2024")</f>
        <v/>
      </c>
      <c r="AC81">
        <f>HYPERLINK("https://klasma.github.io/Logging_0562/tillsyn/A 42947-2024 tillsynsbegäran.docx", "A 42947-2024")</f>
        <v/>
      </c>
      <c r="AD81">
        <f>HYPERLINK("https://klasma.github.io/Logging_0562/tillsynsmail/A 42947-2024 tillsynsbegäran mail.docx", "A 42947-2024")</f>
        <v/>
      </c>
    </row>
    <row r="82" ht="15" customHeight="1">
      <c r="A82" t="inlineStr">
        <is>
          <t>A 36128-2023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45149</v>
      </c>
      <c r="E82" s="1" t="n">
        <v>46237</v>
      </c>
      <c r="F82" t="inlineStr">
        <is>
          <t>ÖSTERGÖTLANDS LÄN</t>
        </is>
      </c>
      <c r="G82" t="inlineStr">
        <is>
          <t>FINSPÅNG</t>
        </is>
      </c>
      <c r="I82" t="n">
        <v>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Talltita</t>
        </is>
      </c>
      <c r="W82">
        <f>HYPERLINK("https://klasma.github.io/Logging_0562/artfynd/A 36128-2023 artfynd.xlsx", "A 36128-2023")</f>
        <v/>
      </c>
      <c r="X82">
        <f>HYPERLINK("https://klasma.github.io/Logging_0562/kartor/A 36128-2023 karta.png", "A 36128-2023")</f>
        <v/>
      </c>
      <c r="Y82">
        <f>HYPERLINK("https://klasma.github.io/Logging_0562/kartor_geotiff/A 36128-2023 georefererad karta.tif", "A 36128-2023")</f>
        <v/>
      </c>
      <c r="AA82">
        <f>HYPERLINK("https://klasma.github.io/Logging_0562/klagomål/A 36128-2023 FSC-klagomål.docx", "A 36128-2023")</f>
        <v/>
      </c>
      <c r="AB82">
        <f>HYPERLINK("https://klasma.github.io/Logging_0562/klagomålsmail/A 36128-2023 FSC-klagomål mail.docx", "A 36128-2023")</f>
        <v/>
      </c>
      <c r="AC82">
        <f>HYPERLINK("https://klasma.github.io/Logging_0562/tillsyn/A 36128-2023 tillsynsbegäran.docx", "A 36128-2023")</f>
        <v/>
      </c>
      <c r="AD82">
        <f>HYPERLINK("https://klasma.github.io/Logging_0562/tillsynsmail/A 36128-2023 tillsynsbegäran mail.docx", "A 36128-2023")</f>
        <v/>
      </c>
      <c r="AE82">
        <f>HYPERLINK("https://klasma.github.io/Logging_0562/fåglar/A 36128-2023 prioriterade fågelarter.docx", "A 36128-2023")</f>
        <v/>
      </c>
    </row>
    <row r="83" ht="15" customHeight="1">
      <c r="A83" t="inlineStr">
        <is>
          <t>A 53265-2023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46237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Fläcknycklar</t>
        </is>
      </c>
      <c r="W83">
        <f>HYPERLINK("https://klasma.github.io/Logging_0562/artfynd/A 53265-2023 artfynd.xlsx", "A 53265-2023")</f>
        <v/>
      </c>
      <c r="X83">
        <f>HYPERLINK("https://klasma.github.io/Logging_0562/kartor/A 53265-2023 karta.png", "A 53265-2023")</f>
        <v/>
      </c>
      <c r="Y83">
        <f>HYPERLINK("https://klasma.github.io/Logging_0562/kartor_geotiff/A 53265-2023 georefererad karta.tif", "A 53265-2023")</f>
        <v/>
      </c>
      <c r="AA83">
        <f>HYPERLINK("https://klasma.github.io/Logging_0562/klagomål/A 53265-2023 FSC-klagomål.docx", "A 53265-2023")</f>
        <v/>
      </c>
      <c r="AB83">
        <f>HYPERLINK("https://klasma.github.io/Logging_0562/klagomålsmail/A 53265-2023 FSC-klagomål mail.docx", "A 53265-2023")</f>
        <v/>
      </c>
      <c r="AC83">
        <f>HYPERLINK("https://klasma.github.io/Logging_0562/tillsyn/A 53265-2023 tillsynsbegäran.docx", "A 53265-2023")</f>
        <v/>
      </c>
      <c r="AD83">
        <f>HYPERLINK("https://klasma.github.io/Logging_0562/tillsynsmail/A 53265-2023 tillsynsbegäran mail.docx", "A 53265-2023")</f>
        <v/>
      </c>
    </row>
    <row r="84" ht="15" customHeight="1">
      <c r="A84" t="inlineStr">
        <is>
          <t>A 18915-2026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46129</v>
      </c>
      <c r="E84" s="1" t="n">
        <v>46237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6.1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Havsörn</t>
        </is>
      </c>
      <c r="W84">
        <f>HYPERLINK("https://klasma.github.io/Logging_0562/artfynd/A 18915-2026 artfynd.xlsx", "A 18915-2026")</f>
        <v/>
      </c>
      <c r="X84">
        <f>HYPERLINK("https://klasma.github.io/Logging_0562/kartor/A 18915-2026 karta.png", "A 18915-2026")</f>
        <v/>
      </c>
      <c r="Y84">
        <f>HYPERLINK("https://klasma.github.io/Logging_0562/kartor_geotiff/A 18915-2026 georefererad karta.tif", "A 18915-2026")</f>
        <v/>
      </c>
      <c r="AA84">
        <f>HYPERLINK("https://klasma.github.io/Logging_0562/klagomål/A 18915-2026 FSC-klagomål.docx", "A 18915-2026")</f>
        <v/>
      </c>
      <c r="AB84">
        <f>HYPERLINK("https://klasma.github.io/Logging_0562/klagomålsmail/A 18915-2026 FSC-klagomål mail.docx", "A 18915-2026")</f>
        <v/>
      </c>
      <c r="AC84">
        <f>HYPERLINK("https://klasma.github.io/Logging_0562/tillsyn/A 18915-2026 tillsynsbegäran.docx", "A 18915-2026")</f>
        <v/>
      </c>
      <c r="AD84">
        <f>HYPERLINK("https://klasma.github.io/Logging_0562/tillsynsmail/A 18915-2026 tillsynsbegäran mail.docx", "A 18915-2026")</f>
        <v/>
      </c>
      <c r="AE84">
        <f>HYPERLINK("https://klasma.github.io/Logging_0562/fåglar/A 18915-2026 prioriterade fågelarter.docx", "A 18915-2026")</f>
        <v/>
      </c>
    </row>
    <row r="85" ht="15" customHeight="1">
      <c r="A85" t="inlineStr">
        <is>
          <t>A 1177-2024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46237</v>
      </c>
      <c r="F85" t="inlineStr">
        <is>
          <t>ÖSTERGÖTLANDS LÄN</t>
        </is>
      </c>
      <c r="G85" t="inlineStr">
        <is>
          <t>FINSPÅNG</t>
        </is>
      </c>
      <c r="I85" t="n">
        <v>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Knärot</t>
        </is>
      </c>
      <c r="W85">
        <f>HYPERLINK("https://klasma.github.io/Logging_0562/artfynd/A 1177-2024 artfynd.xlsx", "A 1177-2024")</f>
        <v/>
      </c>
      <c r="X85">
        <f>HYPERLINK("https://klasma.github.io/Logging_0562/kartor/A 1177-2024 karta.png", "A 1177-2024")</f>
        <v/>
      </c>
      <c r="Y85">
        <f>HYPERLINK("https://klasma.github.io/Logging_0562/kartor_geotiff/A 1177-2024 georefererad karta.tif", "A 1177-2024")</f>
        <v/>
      </c>
      <c r="Z85">
        <f>HYPERLINK("https://klasma.github.io/Logging_0562/knärot/A 1177-2024 karta knärot.png", "A 1177-2024")</f>
        <v/>
      </c>
      <c r="AA85">
        <f>HYPERLINK("https://klasma.github.io/Logging_0562/klagomål/A 1177-2024 FSC-klagomål.docx", "A 1177-2024")</f>
        <v/>
      </c>
      <c r="AB85">
        <f>HYPERLINK("https://klasma.github.io/Logging_0562/klagomålsmail/A 1177-2024 FSC-klagomål mail.docx", "A 1177-2024")</f>
        <v/>
      </c>
      <c r="AC85">
        <f>HYPERLINK("https://klasma.github.io/Logging_0562/tillsyn/A 1177-2024 tillsynsbegäran.docx", "A 1177-2024")</f>
        <v/>
      </c>
      <c r="AD85">
        <f>HYPERLINK("https://klasma.github.io/Logging_0562/tillsynsmail/A 1177-2024 tillsynsbegäran mail.docx", "A 1177-2024")</f>
        <v/>
      </c>
    </row>
    <row r="86" ht="15" customHeight="1">
      <c r="A86" t="inlineStr">
        <is>
          <t>A 3941-2026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46043</v>
      </c>
      <c r="E86" s="1" t="n">
        <v>46237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Trana</t>
        </is>
      </c>
      <c r="W86">
        <f>HYPERLINK("https://klasma.github.io/Logging_0562/artfynd/A 3941-2026 artfynd.xlsx", "A 3941-2026")</f>
        <v/>
      </c>
      <c r="X86">
        <f>HYPERLINK("https://klasma.github.io/Logging_0562/kartor/A 3941-2026 karta.png", "A 3941-2026")</f>
        <v/>
      </c>
      <c r="Y86">
        <f>HYPERLINK("https://klasma.github.io/Logging_0562/kartor_geotiff/A 3941-2026 georefererad karta.tif", "A 3941-2026")</f>
        <v/>
      </c>
      <c r="AA86">
        <f>HYPERLINK("https://klasma.github.io/Logging_0562/klagomål/A 3941-2026 FSC-klagomål.docx", "A 3941-2026")</f>
        <v/>
      </c>
      <c r="AB86">
        <f>HYPERLINK("https://klasma.github.io/Logging_0562/klagomålsmail/A 3941-2026 FSC-klagomål mail.docx", "A 3941-2026")</f>
        <v/>
      </c>
      <c r="AC86">
        <f>HYPERLINK("https://klasma.github.io/Logging_0562/tillsyn/A 3941-2026 tillsynsbegäran.docx", "A 3941-2026")</f>
        <v/>
      </c>
      <c r="AD86">
        <f>HYPERLINK("https://klasma.github.io/Logging_0562/tillsynsmail/A 3941-2026 tillsynsbegäran mail.docx", "A 3941-2026")</f>
        <v/>
      </c>
      <c r="AE86">
        <f>HYPERLINK("https://klasma.github.io/Logging_0562/fåglar/A 3941-2026 prioriterade fågelarter.docx", "A 3941-2026")</f>
        <v/>
      </c>
    </row>
    <row r="87" ht="15" customHeight="1">
      <c r="A87" t="inlineStr">
        <is>
          <t>A 40385-2024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46237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HYPERLINK("https://klasma.github.io/Logging_0562/artfynd/A 40385-2024 artfynd.xlsx", "A 40385-2024")</f>
        <v/>
      </c>
      <c r="X87">
        <f>HYPERLINK("https://klasma.github.io/Logging_0562/kartor/A 40385-2024 karta.png", "A 40385-2024")</f>
        <v/>
      </c>
      <c r="Y87">
        <f>HYPERLINK("https://klasma.github.io/Logging_0562/kartor_geotiff/A 40385-2024 georefererad karta.tif", "A 40385-2024")</f>
        <v/>
      </c>
      <c r="AA87">
        <f>HYPERLINK("https://klasma.github.io/Logging_0562/klagomål/A 40385-2024 FSC-klagomål.docx", "A 40385-2024")</f>
        <v/>
      </c>
      <c r="AB87">
        <f>HYPERLINK("https://klasma.github.io/Logging_0562/klagomålsmail/A 40385-2024 FSC-klagomål mail.docx", "A 40385-2024")</f>
        <v/>
      </c>
      <c r="AC87">
        <f>HYPERLINK("https://klasma.github.io/Logging_0562/tillsyn/A 40385-2024 tillsynsbegäran.docx", "A 40385-2024")</f>
        <v/>
      </c>
      <c r="AD87">
        <f>HYPERLINK("https://klasma.github.io/Logging_0562/tillsynsmail/A 40385-2024 tillsynsbegäran mail.docx", "A 40385-2024")</f>
        <v/>
      </c>
      <c r="AE87">
        <f>HYPERLINK("https://klasma.github.io/Logging_0562/fåglar/A 40385-2024 prioriterade fågelarter.docx", "A 40385-2024")</f>
        <v/>
      </c>
    </row>
    <row r="88" ht="15" customHeight="1">
      <c r="A88" t="inlineStr">
        <is>
          <t>A 22555-2024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45447</v>
      </c>
      <c r="E88" s="1" t="n">
        <v>46237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26.7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Hasselsnok</t>
        </is>
      </c>
      <c r="W88">
        <f>HYPERLINK("https://klasma.github.io/Logging_0562/artfynd/A 22555-2024 artfynd.xlsx", "A 22555-2024")</f>
        <v/>
      </c>
      <c r="X88">
        <f>HYPERLINK("https://klasma.github.io/Logging_0562/kartor/A 22555-2024 karta.png", "A 22555-2024")</f>
        <v/>
      </c>
      <c r="Y88">
        <f>HYPERLINK("https://klasma.github.io/Logging_0562/kartor_geotiff/A 22555-2024 georefererad karta.tif", "A 22555-2024")</f>
        <v/>
      </c>
      <c r="AA88">
        <f>HYPERLINK("https://klasma.github.io/Logging_0562/klagomål/A 22555-2024 FSC-klagomål.docx", "A 22555-2024")</f>
        <v/>
      </c>
      <c r="AB88">
        <f>HYPERLINK("https://klasma.github.io/Logging_0562/klagomålsmail/A 22555-2024 FSC-klagomål mail.docx", "A 22555-2024")</f>
        <v/>
      </c>
      <c r="AC88">
        <f>HYPERLINK("https://klasma.github.io/Logging_0562/tillsyn/A 22555-2024 tillsynsbegäran.docx", "A 22555-2024")</f>
        <v/>
      </c>
      <c r="AD88">
        <f>HYPERLINK("https://klasma.github.io/Logging_0562/tillsynsmail/A 22555-2024 tillsynsbegäran mail.docx", "A 22555-2024")</f>
        <v/>
      </c>
    </row>
    <row r="89" ht="15" customHeight="1">
      <c r="A89" t="inlineStr">
        <is>
          <t>A 27861-2025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46237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3.1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HYPERLINK("https://klasma.github.io/Logging_0562/artfynd/A 27861-2025 artfynd.xlsx", "A 27861-2025")</f>
        <v/>
      </c>
      <c r="X89">
        <f>HYPERLINK("https://klasma.github.io/Logging_0562/kartor/A 27861-2025 karta.png", "A 27861-2025")</f>
        <v/>
      </c>
      <c r="Y89">
        <f>HYPERLINK("https://klasma.github.io/Logging_0562/kartor_geotiff/A 27861-2025 georefererad karta.tif", "A 27861-2025")</f>
        <v/>
      </c>
      <c r="AA89">
        <f>HYPERLINK("https://klasma.github.io/Logging_0562/klagomål/A 27861-2025 FSC-klagomål.docx", "A 27861-2025")</f>
        <v/>
      </c>
      <c r="AB89">
        <f>HYPERLINK("https://klasma.github.io/Logging_0562/klagomålsmail/A 27861-2025 FSC-klagomål mail.docx", "A 27861-2025")</f>
        <v/>
      </c>
      <c r="AC89">
        <f>HYPERLINK("https://klasma.github.io/Logging_0562/tillsyn/A 27861-2025 tillsynsbegäran.docx", "A 27861-2025")</f>
        <v/>
      </c>
      <c r="AD89">
        <f>HYPERLINK("https://klasma.github.io/Logging_0562/tillsynsmail/A 27861-2025 tillsynsbegäran mail.docx", "A 27861-2025")</f>
        <v/>
      </c>
    </row>
    <row r="90" ht="15" customHeight="1">
      <c r="A90" t="inlineStr">
        <is>
          <t>A 34310-2025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46237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HYPERLINK("https://klasma.github.io/Logging_0562/artfynd/A 34310-2025 artfynd.xlsx", "A 34310-2025")</f>
        <v/>
      </c>
      <c r="X90">
        <f>HYPERLINK("https://klasma.github.io/Logging_0562/kartor/A 34310-2025 karta.png", "A 34310-2025")</f>
        <v/>
      </c>
      <c r="Y90">
        <f>HYPERLINK("https://klasma.github.io/Logging_0562/kartor_geotiff/A 34310-2025 georefererad karta.tif", "A 34310-2025")</f>
        <v/>
      </c>
      <c r="AA90">
        <f>HYPERLINK("https://klasma.github.io/Logging_0562/klagomål/A 34310-2025 FSC-klagomål.docx", "A 34310-2025")</f>
        <v/>
      </c>
      <c r="AB90">
        <f>HYPERLINK("https://klasma.github.io/Logging_0562/klagomålsmail/A 34310-2025 FSC-klagomål mail.docx", "A 34310-2025")</f>
        <v/>
      </c>
      <c r="AC90">
        <f>HYPERLINK("https://klasma.github.io/Logging_0562/tillsyn/A 34310-2025 tillsynsbegäran.docx", "A 34310-2025")</f>
        <v/>
      </c>
      <c r="AD90">
        <f>HYPERLINK("https://klasma.github.io/Logging_0562/tillsynsmail/A 34310-2025 tillsynsbegäran mail.docx", "A 34310-2025")</f>
        <v/>
      </c>
    </row>
    <row r="91" ht="15" customHeight="1">
      <c r="A91" t="inlineStr">
        <is>
          <t>A 34220-2025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46237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HYPERLINK("https://klasma.github.io/Logging_0562/artfynd/A 34220-2025 artfynd.xlsx", "A 34220-2025")</f>
        <v/>
      </c>
      <c r="X91">
        <f>HYPERLINK("https://klasma.github.io/Logging_0562/kartor/A 34220-2025 karta.png", "A 34220-2025")</f>
        <v/>
      </c>
      <c r="Y91">
        <f>HYPERLINK("https://klasma.github.io/Logging_0562/kartor_geotiff/A 34220-2025 georefererad karta.tif", "A 34220-2025")</f>
        <v/>
      </c>
      <c r="AA91">
        <f>HYPERLINK("https://klasma.github.io/Logging_0562/klagomål/A 34220-2025 FSC-klagomål.docx", "A 34220-2025")</f>
        <v/>
      </c>
      <c r="AB91">
        <f>HYPERLINK("https://klasma.github.io/Logging_0562/klagomålsmail/A 34220-2025 FSC-klagomål mail.docx", "A 34220-2025")</f>
        <v/>
      </c>
      <c r="AC91">
        <f>HYPERLINK("https://klasma.github.io/Logging_0562/tillsyn/A 34220-2025 tillsynsbegäran.docx", "A 34220-2025")</f>
        <v/>
      </c>
      <c r="AD91">
        <f>HYPERLINK("https://klasma.github.io/Logging_0562/tillsynsmail/A 34220-2025 tillsynsbegäran mail.docx", "A 34220-2025")</f>
        <v/>
      </c>
    </row>
    <row r="92" ht="15" customHeight="1">
      <c r="A92" t="inlineStr">
        <is>
          <t>A 37748-2025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45880</v>
      </c>
      <c r="E92" s="1" t="n">
        <v>46237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2.5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HYPERLINK("https://klasma.github.io/Logging_0562/artfynd/A 37748-2025 artfynd.xlsx", "A 37748-2025")</f>
        <v/>
      </c>
      <c r="X92">
        <f>HYPERLINK("https://klasma.github.io/Logging_0562/kartor/A 37748-2025 karta.png", "A 37748-2025")</f>
        <v/>
      </c>
      <c r="Y92">
        <f>HYPERLINK("https://klasma.github.io/Logging_0562/kartor_geotiff/A 37748-2025 georefererad karta.tif", "A 37748-2025")</f>
        <v/>
      </c>
      <c r="AA92">
        <f>HYPERLINK("https://klasma.github.io/Logging_0562/klagomål/A 37748-2025 FSC-klagomål.docx", "A 37748-2025")</f>
        <v/>
      </c>
      <c r="AB92">
        <f>HYPERLINK("https://klasma.github.io/Logging_0562/klagomålsmail/A 37748-2025 FSC-klagomål mail.docx", "A 37748-2025")</f>
        <v/>
      </c>
      <c r="AC92">
        <f>HYPERLINK("https://klasma.github.io/Logging_0562/tillsyn/A 37748-2025 tillsynsbegäran.docx", "A 37748-2025")</f>
        <v/>
      </c>
      <c r="AD92">
        <f>HYPERLINK("https://klasma.github.io/Logging_0562/tillsynsmail/A 37748-2025 tillsynsbegäran mail.docx", "A 37748-2025")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46237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46237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46237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46237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46237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46237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46237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46237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46237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46237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44864</v>
      </c>
      <c r="E103" s="1" t="n">
        <v>46237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46237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46237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46237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46237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44438</v>
      </c>
      <c r="E108" s="1" t="n">
        <v>46237</v>
      </c>
      <c r="F108" t="inlineStr">
        <is>
          <t>ÖSTERGÖTLANDS LÄN</t>
        </is>
      </c>
      <c r="G108" t="inlineStr">
        <is>
          <t>FINSPÅNG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46237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46237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46237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46237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Naturvårdsverket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46237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46237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46237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46237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46237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46237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44462</v>
      </c>
      <c r="E119" s="1" t="n">
        <v>46237</v>
      </c>
      <c r="F119" t="inlineStr">
        <is>
          <t>ÖSTERGÖTLANDS LÄN</t>
        </is>
      </c>
      <c r="G119" t="inlineStr">
        <is>
          <t>FINSPÅNG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46237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46237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46237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46237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46237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46237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67767-2021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46237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46237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46237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46237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73659-2021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46237</v>
      </c>
      <c r="F130" t="inlineStr">
        <is>
          <t>ÖSTERGÖTLANDS LÄN</t>
        </is>
      </c>
      <c r="G130" t="inlineStr">
        <is>
          <t>FINSPÅNG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46237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46237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46237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46237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46237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46237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46237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46237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46237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46237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46237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46237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46237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46237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46237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46237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46237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46237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46237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46237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44412</v>
      </c>
      <c r="E151" s="1" t="n">
        <v>46237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Holmen skog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44753</v>
      </c>
      <c r="E152" s="1" t="n">
        <v>46237</v>
      </c>
      <c r="F152" t="inlineStr">
        <is>
          <t>ÖSTERGÖTLANDS LÄN</t>
        </is>
      </c>
      <c r="G152" t="inlineStr">
        <is>
          <t>FINSPÅNG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36075-2022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44802</v>
      </c>
      <c r="E153" s="1" t="n">
        <v>46237</v>
      </c>
      <c r="F153" t="inlineStr">
        <is>
          <t>ÖSTERGÖTLANDS LÄN</t>
        </is>
      </c>
      <c r="G153" t="inlineStr">
        <is>
          <t>FINSPÅNG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46237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43908-2021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46237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  <c r="Z155">
        <f>HYPERLINK("https://klasma.github.io/Logging_0562/knärot/A 43908-2021 karta knärot.png", "A 43908-2021")</f>
        <v/>
      </c>
      <c r="AA155">
        <f>HYPERLINK("https://klasma.github.io/Logging_0562/klagomål/A 43908-2021 FSC-klagomål.docx", "A 43908-2021")</f>
        <v/>
      </c>
      <c r="AB155">
        <f>HYPERLINK("https://klasma.github.io/Logging_0562/klagomålsmail/A 43908-2021 FSC-klagomål mail.docx", "A 43908-2021")</f>
        <v/>
      </c>
      <c r="AC155">
        <f>HYPERLINK("https://klasma.github.io/Logging_0562/tillsyn/A 43908-2021 tillsynsbegäran.docx", "A 43908-2021")</f>
        <v/>
      </c>
      <c r="AD155">
        <f>HYPERLINK("https://klasma.github.io/Logging_0562/tillsynsmail/A 43908-2021 tillsynsbegäran mail.docx", "A 43908-2021")</f>
        <v/>
      </c>
    </row>
    <row r="156" ht="15" customHeight="1">
      <c r="A156" t="inlineStr">
        <is>
          <t>A 32324-2022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46237</v>
      </c>
      <c r="F156" t="inlineStr">
        <is>
          <t>ÖSTERGÖTLANDS LÄN</t>
        </is>
      </c>
      <c r="G156" t="inlineStr">
        <is>
          <t>FINSPÅNG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46237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46237</v>
      </c>
      <c r="F158" t="inlineStr">
        <is>
          <t>ÖSTERGÖTLANDS LÄN</t>
        </is>
      </c>
      <c r="G158" t="inlineStr">
        <is>
          <t>FINSPÅNG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44462</v>
      </c>
      <c r="E159" s="1" t="n">
        <v>46237</v>
      </c>
      <c r="F159" t="inlineStr">
        <is>
          <t>ÖSTERGÖTLANDS LÄN</t>
        </is>
      </c>
      <c r="G159" t="inlineStr">
        <is>
          <t>FINSPÅNG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46237</v>
      </c>
      <c r="F160" t="inlineStr">
        <is>
          <t>ÖSTERGÖTLANDS LÄN</t>
        </is>
      </c>
      <c r="G160" t="inlineStr">
        <is>
          <t>FINSPÅNG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46237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44595</v>
      </c>
      <c r="E162" s="1" t="n">
        <v>46237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46237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44582</v>
      </c>
      <c r="E164" s="1" t="n">
        <v>46237</v>
      </c>
      <c r="F164" t="inlineStr">
        <is>
          <t>ÖSTERGÖTLANDS LÄN</t>
        </is>
      </c>
      <c r="G164" t="inlineStr">
        <is>
          <t>FINSPÅNG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46237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44816</v>
      </c>
      <c r="E166" s="1" t="n">
        <v>46237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46237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46237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46237</v>
      </c>
      <c r="F169" t="inlineStr">
        <is>
          <t>ÖSTERGÖTLANDS LÄN</t>
        </is>
      </c>
      <c r="G169" t="inlineStr">
        <is>
          <t>FINSPÅNG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44434</v>
      </c>
      <c r="E170" s="1" t="n">
        <v>46237</v>
      </c>
      <c r="F170" t="inlineStr">
        <is>
          <t>ÖSTERGÖTLANDS LÄN</t>
        </is>
      </c>
      <c r="G170" t="inlineStr">
        <is>
          <t>FINSPÅNG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44425</v>
      </c>
      <c r="E171" s="1" t="n">
        <v>46237</v>
      </c>
      <c r="F171" t="inlineStr">
        <is>
          <t>ÖSTERGÖTLANDS LÄN</t>
        </is>
      </c>
      <c r="G171" t="inlineStr">
        <is>
          <t>FINSPÅNG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46237</v>
      </c>
      <c r="F172" t="inlineStr">
        <is>
          <t>ÖSTERGÖTLANDS LÄN</t>
        </is>
      </c>
      <c r="G172" t="inlineStr">
        <is>
          <t>FINSPÅNG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69717-2021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46237</v>
      </c>
      <c r="F173" t="inlineStr">
        <is>
          <t>ÖSTERGÖTLANDS LÄN</t>
        </is>
      </c>
      <c r="G173" t="inlineStr">
        <is>
          <t>FINSPÅNG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46237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46237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44588</v>
      </c>
      <c r="E176" s="1" t="n">
        <v>46237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Övriga Aktiebolag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46237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53028-2022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46237</v>
      </c>
      <c r="F178" t="inlineStr">
        <is>
          <t>ÖSTERGÖTLANDS LÄN</t>
        </is>
      </c>
      <c r="G178" t="inlineStr">
        <is>
          <t>FINSPÅNG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44463</v>
      </c>
      <c r="E179" s="1" t="n">
        <v>46237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46237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44831</v>
      </c>
      <c r="E181" s="1" t="n">
        <v>46237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46237</v>
      </c>
      <c r="F182" t="inlineStr">
        <is>
          <t>ÖSTERGÖTLANDS LÄN</t>
        </is>
      </c>
      <c r="G182" t="inlineStr">
        <is>
          <t>FINSPÅNG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46237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44630</v>
      </c>
      <c r="E184" s="1" t="n">
        <v>46237</v>
      </c>
      <c r="F184" t="inlineStr">
        <is>
          <t>ÖSTERGÖTLANDS LÄN</t>
        </is>
      </c>
      <c r="G184" t="inlineStr">
        <is>
          <t>FINSPÅNG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44469</v>
      </c>
      <c r="E185" s="1" t="n">
        <v>46237</v>
      </c>
      <c r="F185" t="inlineStr">
        <is>
          <t>ÖSTERGÖTLANDS LÄN</t>
        </is>
      </c>
      <c r="G185" t="inlineStr">
        <is>
          <t>FINSPÅNG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55744-2021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44476</v>
      </c>
      <c r="E186" s="1" t="n">
        <v>46237</v>
      </c>
      <c r="F186" t="inlineStr">
        <is>
          <t>ÖSTERGÖTLANDS LÄN</t>
        </is>
      </c>
      <c r="G186" t="inlineStr">
        <is>
          <t>FINSPÅNG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46237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6402-2022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44600</v>
      </c>
      <c r="E188" s="1" t="n">
        <v>46237</v>
      </c>
      <c r="F188" t="inlineStr">
        <is>
          <t>ÖSTERGÖTLANDS LÄN</t>
        </is>
      </c>
      <c r="G188" t="inlineStr">
        <is>
          <t>FINSPÅNG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46237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44635</v>
      </c>
      <c r="E190" s="1" t="n">
        <v>46237</v>
      </c>
      <c r="F190" t="inlineStr">
        <is>
          <t>ÖSTERGÖTLANDS LÄN</t>
        </is>
      </c>
      <c r="G190" t="inlineStr">
        <is>
          <t>FINSPÅNG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46237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41932-2021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44425</v>
      </c>
      <c r="E192" s="1" t="n">
        <v>46237</v>
      </c>
      <c r="F192" t="inlineStr">
        <is>
          <t>ÖSTERGÖTLANDS LÄN</t>
        </is>
      </c>
      <c r="G192" t="inlineStr">
        <is>
          <t>FINSPÅNG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39043-2021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44412</v>
      </c>
      <c r="E193" s="1" t="n">
        <v>46237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46237</v>
      </c>
      <c r="F194" t="inlineStr">
        <is>
          <t>ÖSTERGÖTLANDS LÄN</t>
        </is>
      </c>
      <c r="G194" t="inlineStr">
        <is>
          <t>FINSPÅNG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41805-2021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44425</v>
      </c>
      <c r="E195" s="1" t="n">
        <v>46237</v>
      </c>
      <c r="F195" t="inlineStr">
        <is>
          <t>ÖSTERGÖTLANDS LÄN</t>
        </is>
      </c>
      <c r="G195" t="inlineStr">
        <is>
          <t>FINSPÅNG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45551</v>
      </c>
      <c r="E196" s="1" t="n">
        <v>46237</v>
      </c>
      <c r="F196" t="inlineStr">
        <is>
          <t>ÖSTERGÖTLANDS LÄN</t>
        </is>
      </c>
      <c r="G196" t="inlineStr">
        <is>
          <t>FINSPÅNG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46237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45095</v>
      </c>
      <c r="E198" s="1" t="n">
        <v>46237</v>
      </c>
      <c r="F198" t="inlineStr">
        <is>
          <t>ÖSTERGÖTLANDS LÄN</t>
        </is>
      </c>
      <c r="G198" t="inlineStr">
        <is>
          <t>FINSPÅNG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46237</v>
      </c>
      <c r="F199" t="inlineStr">
        <is>
          <t>ÖSTERGÖTLANDS LÄN</t>
        </is>
      </c>
      <c r="G199" t="inlineStr">
        <is>
          <t>FINSPÅNG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46237</v>
      </c>
      <c r="F200" t="inlineStr">
        <is>
          <t>ÖSTERGÖTLANDS LÄN</t>
        </is>
      </c>
      <c r="G200" t="inlineStr">
        <is>
          <t>FINSPÅNG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44713</v>
      </c>
      <c r="E201" s="1" t="n">
        <v>46237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46237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44468</v>
      </c>
      <c r="E203" s="1" t="n">
        <v>46237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45523</v>
      </c>
      <c r="E204" s="1" t="n">
        <v>46237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46237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46237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46237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44438</v>
      </c>
      <c r="E208" s="1" t="n">
        <v>46237</v>
      </c>
      <c r="F208" t="inlineStr">
        <is>
          <t>ÖSTERGÖTLANDS LÄN</t>
        </is>
      </c>
      <c r="G208" t="inlineStr">
        <is>
          <t>FINSPÅNG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44438</v>
      </c>
      <c r="E209" s="1" t="n">
        <v>46237</v>
      </c>
      <c r="F209" t="inlineStr">
        <is>
          <t>ÖSTERGÖTLANDS LÄN</t>
        </is>
      </c>
      <c r="G209" t="inlineStr">
        <is>
          <t>FINSPÅNG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44742</v>
      </c>
      <c r="E210" s="1" t="n">
        <v>46237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46237</v>
      </c>
      <c r="F211" t="inlineStr">
        <is>
          <t>ÖSTERGÖTLANDS LÄN</t>
        </is>
      </c>
      <c r="G211" t="inlineStr">
        <is>
          <t>FINSPÅNG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46405-2021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44444</v>
      </c>
      <c r="E212" s="1" t="n">
        <v>46237</v>
      </c>
      <c r="F212" t="inlineStr">
        <is>
          <t>ÖSTERGÖTLANDS LÄN</t>
        </is>
      </c>
      <c r="G212" t="inlineStr">
        <is>
          <t>FINSPÅNG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46237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44860</v>
      </c>
      <c r="E214" s="1" t="n">
        <v>46237</v>
      </c>
      <c r="F214" t="inlineStr">
        <is>
          <t>ÖSTERGÖTLANDS LÄN</t>
        </is>
      </c>
      <c r="G214" t="inlineStr">
        <is>
          <t>FINSPÅNG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51633-2021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46237</v>
      </c>
      <c r="F215" t="inlineStr">
        <is>
          <t>ÖSTERGÖTLANDS LÄN</t>
        </is>
      </c>
      <c r="G215" t="inlineStr">
        <is>
          <t>FINSPÅNG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44859</v>
      </c>
      <c r="E216" s="1" t="n">
        <v>46237</v>
      </c>
      <c r="F216" t="inlineStr">
        <is>
          <t>ÖSTERGÖTLANDS LÄN</t>
        </is>
      </c>
      <c r="G216" t="inlineStr">
        <is>
          <t>FINSPÅNG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45328</v>
      </c>
      <c r="E217" s="1" t="n">
        <v>46237</v>
      </c>
      <c r="F217" t="inlineStr">
        <is>
          <t>ÖSTERGÖTLANDS LÄN</t>
        </is>
      </c>
      <c r="G217" t="inlineStr">
        <is>
          <t>FINSPÅNG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44678</v>
      </c>
      <c r="E218" s="1" t="n">
        <v>46237</v>
      </c>
      <c r="F218" t="inlineStr">
        <is>
          <t>ÖSTERGÖTLANDS LÄN</t>
        </is>
      </c>
      <c r="G218" t="inlineStr">
        <is>
          <t>FINSPÅNG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45467</v>
      </c>
      <c r="E219" s="1" t="n">
        <v>46237</v>
      </c>
      <c r="F219" t="inlineStr">
        <is>
          <t>ÖSTERGÖTLANDS LÄN</t>
        </is>
      </c>
      <c r="G219" t="inlineStr">
        <is>
          <t>FINSPÅNG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55812-2021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44476</v>
      </c>
      <c r="E220" s="1" t="n">
        <v>46237</v>
      </c>
      <c r="F220" t="inlineStr">
        <is>
          <t>ÖSTERGÖTLANDS LÄN</t>
        </is>
      </c>
      <c r="G220" t="inlineStr">
        <is>
          <t>FINSPÅNG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44441</v>
      </c>
      <c r="E221" s="1" t="n">
        <v>46237</v>
      </c>
      <c r="F221" t="inlineStr">
        <is>
          <t>ÖSTERGÖTLANDS LÄN</t>
        </is>
      </c>
      <c r="G221" t="inlineStr">
        <is>
          <t>FINSPÅNG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55620-2021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44476</v>
      </c>
      <c r="E222" s="1" t="n">
        <v>46237</v>
      </c>
      <c r="F222" t="inlineStr">
        <is>
          <t>ÖSTERGÖTLANDS LÄN</t>
        </is>
      </c>
      <c r="G222" t="inlineStr">
        <is>
          <t>FINSPÅNG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46237</v>
      </c>
      <c r="F223" t="inlineStr">
        <is>
          <t>ÖSTERGÖTLANDS LÄN</t>
        </is>
      </c>
      <c r="G223" t="inlineStr">
        <is>
          <t>FINSPÅNG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44732</v>
      </c>
      <c r="E224" s="1" t="n">
        <v>46237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44704</v>
      </c>
      <c r="E225" s="1" t="n">
        <v>46237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44564</v>
      </c>
      <c r="E226" s="1" t="n">
        <v>46237</v>
      </c>
      <c r="F226" t="inlineStr">
        <is>
          <t>ÖSTERGÖTLANDS LÄN</t>
        </is>
      </c>
      <c r="G226" t="inlineStr">
        <is>
          <t>FINSPÅNG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44642</v>
      </c>
      <c r="E227" s="1" t="n">
        <v>46237</v>
      </c>
      <c r="F227" t="inlineStr">
        <is>
          <t>ÖSTERGÖTLANDS LÄN</t>
        </is>
      </c>
      <c r="G227" t="inlineStr">
        <is>
          <t>FINSPÅNG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44949</v>
      </c>
      <c r="E228" s="1" t="n">
        <v>46237</v>
      </c>
      <c r="F228" t="inlineStr">
        <is>
          <t>ÖSTERGÖTLANDS LÄN</t>
        </is>
      </c>
      <c r="G228" t="inlineStr">
        <is>
          <t>FINSPÅNG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44659</v>
      </c>
      <c r="E229" s="1" t="n">
        <v>46237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44949</v>
      </c>
      <c r="E230" s="1" t="n">
        <v>46237</v>
      </c>
      <c r="F230" t="inlineStr">
        <is>
          <t>ÖSTERGÖTLANDS LÄN</t>
        </is>
      </c>
      <c r="G230" t="inlineStr">
        <is>
          <t>FINSPÅNG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44949</v>
      </c>
      <c r="E231" s="1" t="n">
        <v>46237</v>
      </c>
      <c r="F231" t="inlineStr">
        <is>
          <t>ÖSTERGÖTLANDS LÄN</t>
        </is>
      </c>
      <c r="G231" t="inlineStr">
        <is>
          <t>FINSPÅNG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46237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46237</v>
      </c>
      <c r="F233" t="inlineStr">
        <is>
          <t>ÖSTERGÖTLANDS LÄN</t>
        </is>
      </c>
      <c r="G233" t="inlineStr">
        <is>
          <t>FINSPÅNG</t>
        </is>
      </c>
      <c r="I233" t="n">
        <v>11.8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46237</v>
      </c>
      <c r="F234" t="inlineStr">
        <is>
          <t>ÖSTERGÖTLANDS LÄN</t>
        </is>
      </c>
      <c r="G234" t="inlineStr">
        <is>
          <t>FINSPÅNG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46237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46237</v>
      </c>
      <c r="F236" t="inlineStr">
        <is>
          <t>ÖSTERGÖTLANDS LÄN</t>
        </is>
      </c>
      <c r="G236" t="inlineStr">
        <is>
          <t>FINSPÅNG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29630-2022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44754</v>
      </c>
      <c r="E237" s="1" t="n">
        <v>46237</v>
      </c>
      <c r="F237" t="inlineStr">
        <is>
          <t>ÖSTERGÖTLANDS LÄN</t>
        </is>
      </c>
      <c r="G237" t="inlineStr">
        <is>
          <t>FINSPÅNG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45883</v>
      </c>
      <c r="E238" s="1" t="n">
        <v>46237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19160-2024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45428</v>
      </c>
      <c r="E239" s="1" t="n">
        <v>46237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46237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36100-2022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44802</v>
      </c>
      <c r="E241" s="1" t="n">
        <v>46237</v>
      </c>
      <c r="F241" t="inlineStr">
        <is>
          <t>ÖSTERGÖTLANDS LÄN</t>
        </is>
      </c>
      <c r="G241" t="inlineStr">
        <is>
          <t>FINSPÅNG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46237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Övriga Aktiebolag</t>
        </is>
      </c>
      <c r="I242" t="n">
        <v>13.6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45407-2022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44844</v>
      </c>
      <c r="E243" s="1" t="n">
        <v>46237</v>
      </c>
      <c r="F243" t="inlineStr">
        <is>
          <t>ÖSTERGÖTLANDS LÄN</t>
        </is>
      </c>
      <c r="G243" t="inlineStr">
        <is>
          <t>FINSPÅNG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45411-2022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44844</v>
      </c>
      <c r="E244" s="1" t="n">
        <v>46237</v>
      </c>
      <c r="F244" t="inlineStr">
        <is>
          <t>ÖSTERGÖTLANDS LÄN</t>
        </is>
      </c>
      <c r="G244" t="inlineStr">
        <is>
          <t>FINSPÅNG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46237</v>
      </c>
      <c r="F245" t="inlineStr">
        <is>
          <t>ÖSTERGÖTLANDS LÄN</t>
        </is>
      </c>
      <c r="G245" t="inlineStr">
        <is>
          <t>FINSPÅNG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44840</v>
      </c>
      <c r="E246" s="1" t="n">
        <v>46237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45042</v>
      </c>
      <c r="E247" s="1" t="n">
        <v>46237</v>
      </c>
      <c r="F247" t="inlineStr">
        <is>
          <t>ÖSTERGÖTLANDS LÄN</t>
        </is>
      </c>
      <c r="G247" t="inlineStr">
        <is>
          <t>FINSPÅNG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73260-2021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44550</v>
      </c>
      <c r="E248" s="1" t="n">
        <v>46237</v>
      </c>
      <c r="F248" t="inlineStr">
        <is>
          <t>ÖSTERGÖTLANDS LÄN</t>
        </is>
      </c>
      <c r="G248" t="inlineStr">
        <is>
          <t>FINSPÅNG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46237</v>
      </c>
      <c r="F249" t="inlineStr">
        <is>
          <t>ÖSTERGÖTLANDS LÄN</t>
        </is>
      </c>
      <c r="G249" t="inlineStr">
        <is>
          <t>FINSPÅNG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32044-2022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44778</v>
      </c>
      <c r="E250" s="1" t="n">
        <v>46237</v>
      </c>
      <c r="F250" t="inlineStr">
        <is>
          <t>ÖSTERGÖTLANDS LÄN</t>
        </is>
      </c>
      <c r="G250" t="inlineStr">
        <is>
          <t>FINSPÅNG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63321-2021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44508</v>
      </c>
      <c r="E251" s="1" t="n">
        <v>46237</v>
      </c>
      <c r="F251" t="inlineStr">
        <is>
          <t>ÖSTERGÖTLANDS LÄN</t>
        </is>
      </c>
      <c r="G251" t="inlineStr">
        <is>
          <t>FINSPÅNG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15473-2022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44662</v>
      </c>
      <c r="E252" s="1" t="n">
        <v>46237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46237</v>
      </c>
      <c r="F253" t="inlineStr">
        <is>
          <t>ÖSTERGÖTLANDS LÄN</t>
        </is>
      </c>
      <c r="G253" t="inlineStr">
        <is>
          <t>FINSPÅNG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44656</v>
      </c>
      <c r="E254" s="1" t="n">
        <v>46237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40544-2021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44420</v>
      </c>
      <c r="E255" s="1" t="n">
        <v>46237</v>
      </c>
      <c r="F255" t="inlineStr">
        <is>
          <t>ÖSTERGÖTLANDS LÄN</t>
        </is>
      </c>
      <c r="G255" t="inlineStr">
        <is>
          <t>FINSPÅNG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44833</v>
      </c>
      <c r="E256" s="1" t="n">
        <v>46237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Övriga Aktiebolag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36406-2024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45535</v>
      </c>
      <c r="E257" s="1" t="n">
        <v>46237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Kommuner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31176-2022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44770</v>
      </c>
      <c r="E258" s="1" t="n">
        <v>46237</v>
      </c>
      <c r="F258" t="inlineStr">
        <is>
          <t>ÖSTERGÖTLANDS LÄN</t>
        </is>
      </c>
      <c r="G258" t="inlineStr">
        <is>
          <t>FINSPÅNG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46237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46237</v>
      </c>
      <c r="F260" t="inlineStr">
        <is>
          <t>ÖSTERGÖTLANDS LÄN</t>
        </is>
      </c>
      <c r="G260" t="inlineStr">
        <is>
          <t>FINSPÅNG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44865</v>
      </c>
      <c r="E261" s="1" t="n">
        <v>46237</v>
      </c>
      <c r="F261" t="inlineStr">
        <is>
          <t>ÖSTERGÖTLANDS LÄN</t>
        </is>
      </c>
      <c r="G261" t="inlineStr">
        <is>
          <t>FINSPÅNG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45541</v>
      </c>
      <c r="E262" s="1" t="n">
        <v>46237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46237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45362</v>
      </c>
      <c r="E264" s="1" t="n">
        <v>46237</v>
      </c>
      <c r="F264" t="inlineStr">
        <is>
          <t>ÖSTERGÖTLANDS LÄN</t>
        </is>
      </c>
      <c r="G264" t="inlineStr">
        <is>
          <t>FINSPÅNG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61994-2022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44918</v>
      </c>
      <c r="E265" s="1" t="n">
        <v>46237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44887</v>
      </c>
      <c r="E266" s="1" t="n">
        <v>46237</v>
      </c>
      <c r="F266" t="inlineStr">
        <is>
          <t>ÖSTERGÖTLANDS LÄN</t>
        </is>
      </c>
      <c r="G266" t="inlineStr">
        <is>
          <t>FINSPÅNG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44887</v>
      </c>
      <c r="E267" s="1" t="n">
        <v>46237</v>
      </c>
      <c r="F267" t="inlineStr">
        <is>
          <t>ÖSTERGÖTLANDS LÄN</t>
        </is>
      </c>
      <c r="G267" t="inlineStr">
        <is>
          <t>FINSPÅNG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45374</v>
      </c>
      <c r="E268" s="1" t="n">
        <v>46237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Kyrkan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44930</v>
      </c>
      <c r="E269" s="1" t="n">
        <v>46237</v>
      </c>
      <c r="F269" t="inlineStr">
        <is>
          <t>ÖSTERGÖTLANDS LÄN</t>
        </is>
      </c>
      <c r="G269" t="inlineStr">
        <is>
          <t>FINSPÅNG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46237</v>
      </c>
      <c r="F270" t="inlineStr">
        <is>
          <t>ÖSTERGÖTLANDS LÄN</t>
        </is>
      </c>
      <c r="G270" t="inlineStr">
        <is>
          <t>FINSPÅNG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45622</v>
      </c>
      <c r="E271" s="1" t="n">
        <v>46237</v>
      </c>
      <c r="F271" t="inlineStr">
        <is>
          <t>ÖSTERGÖTLANDS LÄN</t>
        </is>
      </c>
      <c r="G271" t="inlineStr">
        <is>
          <t>FINSPÅNG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46237</v>
      </c>
      <c r="F272" t="inlineStr">
        <is>
          <t>ÖSTERGÖTLANDS LÄN</t>
        </is>
      </c>
      <c r="G272" t="inlineStr">
        <is>
          <t>FINSPÅNG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45740</v>
      </c>
      <c r="E273" s="1" t="n">
        <v>46237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44637</v>
      </c>
      <c r="E274" s="1" t="n">
        <v>46237</v>
      </c>
      <c r="F274" t="inlineStr">
        <is>
          <t>ÖSTERGÖTLANDS LÄN</t>
        </is>
      </c>
      <c r="G274" t="inlineStr">
        <is>
          <t>FINSPÅNG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46237</v>
      </c>
      <c r="F275" t="inlineStr">
        <is>
          <t>ÖSTERGÖTLANDS LÄN</t>
        </is>
      </c>
      <c r="G275" t="inlineStr">
        <is>
          <t>FINSPÅNG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45642</v>
      </c>
      <c r="E276" s="1" t="n">
        <v>46237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44806</v>
      </c>
      <c r="E277" s="1" t="n">
        <v>46237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611-2023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44930</v>
      </c>
      <c r="E278" s="1" t="n">
        <v>46237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46237</v>
      </c>
      <c r="F279" t="inlineStr">
        <is>
          <t>ÖSTERGÖTLANDS LÄN</t>
        </is>
      </c>
      <c r="G279" t="inlineStr">
        <is>
          <t>FINSPÅNG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44816</v>
      </c>
      <c r="E280" s="1" t="n">
        <v>46237</v>
      </c>
      <c r="F280" t="inlineStr">
        <is>
          <t>ÖSTERGÖTLANDS LÄN</t>
        </is>
      </c>
      <c r="G280" t="inlineStr">
        <is>
          <t>FINSPÅNG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45744</v>
      </c>
      <c r="E281" s="1" t="n">
        <v>46237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Naturvårdsverket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45744</v>
      </c>
      <c r="E282" s="1" t="n">
        <v>46237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45258</v>
      </c>
      <c r="E283" s="1" t="n">
        <v>46237</v>
      </c>
      <c r="F283" t="inlineStr">
        <is>
          <t>ÖSTERGÖTLANDS LÄN</t>
        </is>
      </c>
      <c r="G283" t="inlineStr">
        <is>
          <t>FINSPÅNG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12472-2024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46237</v>
      </c>
      <c r="F284" t="inlineStr">
        <is>
          <t>ÖSTERGÖTLANDS LÄN</t>
        </is>
      </c>
      <c r="G284" t="inlineStr">
        <is>
          <t>FINSPÅNG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46237</v>
      </c>
      <c r="F285" t="inlineStr">
        <is>
          <t>ÖSTERGÖTLANDS LÄN</t>
        </is>
      </c>
      <c r="G285" t="inlineStr">
        <is>
          <t>FINSPÅNG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46237</v>
      </c>
      <c r="F286" t="inlineStr">
        <is>
          <t>ÖSTERGÖTLANDS LÄN</t>
        </is>
      </c>
      <c r="G286" t="inlineStr">
        <is>
          <t>FINSPÅNG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46237</v>
      </c>
      <c r="F287" t="inlineStr">
        <is>
          <t>ÖSTERGÖTLANDS LÄN</t>
        </is>
      </c>
      <c r="G287" t="inlineStr">
        <is>
          <t>FINSPÅNG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56264-2022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44887</v>
      </c>
      <c r="E288" s="1" t="n">
        <v>46237</v>
      </c>
      <c r="F288" t="inlineStr">
        <is>
          <t>ÖSTERGÖTLANDS LÄN</t>
        </is>
      </c>
      <c r="G288" t="inlineStr">
        <is>
          <t>FINSPÅNG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45260</v>
      </c>
      <c r="E289" s="1" t="n">
        <v>46237</v>
      </c>
      <c r="F289" t="inlineStr">
        <is>
          <t>ÖSTERGÖTLANDS LÄN</t>
        </is>
      </c>
      <c r="G289" t="inlineStr">
        <is>
          <t>FINSPÅNG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44953</v>
      </c>
      <c r="E290" s="1" t="n">
        <v>46237</v>
      </c>
      <c r="F290" t="inlineStr">
        <is>
          <t>ÖSTERGÖTLANDS LÄN</t>
        </is>
      </c>
      <c r="G290" t="inlineStr">
        <is>
          <t>FINSPÅNG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45021</v>
      </c>
      <c r="E291" s="1" t="n">
        <v>46237</v>
      </c>
      <c r="F291" t="inlineStr">
        <is>
          <t>ÖSTERGÖTLANDS LÄN</t>
        </is>
      </c>
      <c r="G291" t="inlineStr">
        <is>
          <t>FINSPÅNG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46237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45447</v>
      </c>
      <c r="E293" s="1" t="n">
        <v>46237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39740-2023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45167</v>
      </c>
      <c r="E294" s="1" t="n">
        <v>46237</v>
      </c>
      <c r="F294" t="inlineStr">
        <is>
          <t>ÖSTERGÖTLANDS LÄN</t>
        </is>
      </c>
      <c r="G294" t="inlineStr">
        <is>
          <t>FINSPÅNG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46237</v>
      </c>
      <c r="F295" t="inlineStr">
        <is>
          <t>ÖSTERGÖTLANDS LÄN</t>
        </is>
      </c>
      <c r="G295" t="inlineStr">
        <is>
          <t>FINSPÅNG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46237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46237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46237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Övriga Aktiebolag</t>
        </is>
      </c>
      <c r="I298" t="n">
        <v>12.3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44966</v>
      </c>
      <c r="E299" s="1" t="n">
        <v>46237</v>
      </c>
      <c r="F299" t="inlineStr">
        <is>
          <t>ÖSTERGÖTLANDS LÄN</t>
        </is>
      </c>
      <c r="G299" t="inlineStr">
        <is>
          <t>FINSPÅNG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46237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21719-2024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45442</v>
      </c>
      <c r="E301" s="1" t="n">
        <v>46237</v>
      </c>
      <c r="F301" t="inlineStr">
        <is>
          <t>ÖSTERGÖTLANDS LÄN</t>
        </is>
      </c>
      <c r="G301" t="inlineStr">
        <is>
          <t>FINSPÅNG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30921-2022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44767</v>
      </c>
      <c r="E302" s="1" t="n">
        <v>46237</v>
      </c>
      <c r="F302" t="inlineStr">
        <is>
          <t>ÖSTERGÖTLANDS LÄN</t>
        </is>
      </c>
      <c r="G302" t="inlineStr">
        <is>
          <t>FINSPÅNG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45621</v>
      </c>
      <c r="E303" s="1" t="n">
        <v>46237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10184-2023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44986</v>
      </c>
      <c r="E304" s="1" t="n">
        <v>46237</v>
      </c>
      <c r="F304" t="inlineStr">
        <is>
          <t>ÖSTERGÖTLANDS LÄN</t>
        </is>
      </c>
      <c r="G304" t="inlineStr">
        <is>
          <t>FINSPÅNG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46237</v>
      </c>
      <c r="F305" t="inlineStr">
        <is>
          <t>ÖSTERGÖTLANDS LÄN</t>
        </is>
      </c>
      <c r="G305" t="inlineStr">
        <is>
          <t>FINSPÅNG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44957</v>
      </c>
      <c r="E306" s="1" t="n">
        <v>46237</v>
      </c>
      <c r="F306" t="inlineStr">
        <is>
          <t>ÖSTERGÖTLANDS LÄN</t>
        </is>
      </c>
      <c r="G306" t="inlineStr">
        <is>
          <t>FINSPÅNG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59468-2021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44491</v>
      </c>
      <c r="E307" s="1" t="n">
        <v>46237</v>
      </c>
      <c r="F307" t="inlineStr">
        <is>
          <t>ÖSTERGÖTLANDS LÄN</t>
        </is>
      </c>
      <c r="G307" t="inlineStr">
        <is>
          <t>FINSPÅNG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9339-2022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46237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60038-2023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45258</v>
      </c>
      <c r="E309" s="1" t="n">
        <v>46237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60169-2023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46237</v>
      </c>
      <c r="F310" t="inlineStr">
        <is>
          <t>ÖSTERGÖTLANDS LÄN</t>
        </is>
      </c>
      <c r="G310" t="inlineStr">
        <is>
          <t>FINSPÅNG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44677</v>
      </c>
      <c r="E311" s="1" t="n">
        <v>46237</v>
      </c>
      <c r="F311" t="inlineStr">
        <is>
          <t>ÖSTERGÖTLANDS LÄN</t>
        </is>
      </c>
      <c r="G311" t="inlineStr">
        <is>
          <t>FINSPÅNG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46237</v>
      </c>
      <c r="F312" t="inlineStr">
        <is>
          <t>ÖSTERGÖTLANDS LÄN</t>
        </is>
      </c>
      <c r="G312" t="inlineStr">
        <is>
          <t>FINSPÅNG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46237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46237</v>
      </c>
      <c r="F314" t="inlineStr">
        <is>
          <t>ÖSTERGÖTLANDS LÄN</t>
        </is>
      </c>
      <c r="G314" t="inlineStr">
        <is>
          <t>FINSPÅNG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45707</v>
      </c>
      <c r="E315" s="1" t="n">
        <v>46237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Allmännings- och besparingsskogar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46237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45323</v>
      </c>
      <c r="E317" s="1" t="n">
        <v>46237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46237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56425-2022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44891</v>
      </c>
      <c r="E319" s="1" t="n">
        <v>46237</v>
      </c>
      <c r="F319" t="inlineStr">
        <is>
          <t>ÖSTERGÖTLANDS LÄN</t>
        </is>
      </c>
      <c r="G319" t="inlineStr">
        <is>
          <t>FINSPÅNG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46237</v>
      </c>
      <c r="F320" t="inlineStr">
        <is>
          <t>ÖSTERGÖTLANDS LÄN</t>
        </is>
      </c>
      <c r="G320" t="inlineStr">
        <is>
          <t>FINSPÅNG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45554</v>
      </c>
      <c r="E321" s="1" t="n">
        <v>46237</v>
      </c>
      <c r="F321" t="inlineStr">
        <is>
          <t>ÖSTERGÖTLANDS LÄN</t>
        </is>
      </c>
      <c r="G321" t="inlineStr">
        <is>
          <t>FINSPÅNG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45898</v>
      </c>
      <c r="E322" s="1" t="n">
        <v>46237</v>
      </c>
      <c r="F322" t="inlineStr">
        <is>
          <t>ÖSTERGÖTLANDS LÄN</t>
        </is>
      </c>
      <c r="G322" t="inlineStr">
        <is>
          <t>FINSPÅNG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73260-2021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44550</v>
      </c>
      <c r="E323" s="1" t="n">
        <v>46237</v>
      </c>
      <c r="F323" t="inlineStr">
        <is>
          <t>ÖSTERGÖTLANDS LÄN</t>
        </is>
      </c>
      <c r="G323" t="inlineStr">
        <is>
          <t>FINSPÅNG</t>
        </is>
      </c>
      <c r="I323" t="n">
        <v>10.3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46237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53572-2023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46237</v>
      </c>
      <c r="F325" t="inlineStr">
        <is>
          <t>ÖSTERGÖTLANDS LÄN</t>
        </is>
      </c>
      <c r="G325" t="inlineStr">
        <is>
          <t>FINSPÅNG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40372-2024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45555</v>
      </c>
      <c r="E326" s="1" t="n">
        <v>46237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46237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46237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46237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45904</v>
      </c>
      <c r="E330" s="1" t="n">
        <v>46237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46237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46237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46237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45516</v>
      </c>
      <c r="E334" s="1" t="n">
        <v>46237</v>
      </c>
      <c r="F334" t="inlineStr">
        <is>
          <t>ÖSTERGÖTLANDS LÄN</t>
        </is>
      </c>
      <c r="G334" t="inlineStr">
        <is>
          <t>FINSPÅNG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45428</v>
      </c>
      <c r="E335" s="1" t="n">
        <v>46237</v>
      </c>
      <c r="F335" t="inlineStr">
        <is>
          <t>ÖSTERGÖTLANDS LÄN</t>
        </is>
      </c>
      <c r="G335" t="inlineStr">
        <is>
          <t>FINSPÅNG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46237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46237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45229</v>
      </c>
      <c r="E338" s="1" t="n">
        <v>46237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46237</v>
      </c>
      <c r="F339" t="inlineStr">
        <is>
          <t>ÖSTERGÖTLANDS LÄN</t>
        </is>
      </c>
      <c r="G339" t="inlineStr">
        <is>
          <t>FINSPÅNG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46237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46237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46237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46237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46237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45343</v>
      </c>
      <c r="E345" s="1" t="n">
        <v>46237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46237</v>
      </c>
      <c r="F346" t="inlineStr">
        <is>
          <t>ÖSTERGÖTLANDS LÄN</t>
        </is>
      </c>
      <c r="G346" t="inlineStr">
        <is>
          <t>FINSPÅNG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45441</v>
      </c>
      <c r="E347" s="1" t="n">
        <v>46237</v>
      </c>
      <c r="F347" t="inlineStr">
        <is>
          <t>ÖSTERGÖTLANDS LÄN</t>
        </is>
      </c>
      <c r="G347" t="inlineStr">
        <is>
          <t>FINSPÅNG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47836-2021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44448</v>
      </c>
      <c r="E348" s="1" t="n">
        <v>46237</v>
      </c>
      <c r="F348" t="inlineStr">
        <is>
          <t>ÖSTERGÖTLANDS LÄN</t>
        </is>
      </c>
      <c r="G348" t="inlineStr">
        <is>
          <t>FINSPÅNG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46237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45179</v>
      </c>
      <c r="E350" s="1" t="n">
        <v>46237</v>
      </c>
      <c r="F350" t="inlineStr">
        <is>
          <t>ÖSTERGÖTLANDS LÄN</t>
        </is>
      </c>
      <c r="G350" t="inlineStr">
        <is>
          <t>FINSPÅNG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45179</v>
      </c>
      <c r="E351" s="1" t="n">
        <v>46237</v>
      </c>
      <c r="F351" t="inlineStr">
        <is>
          <t>ÖSTERGÖTLANDS LÄN</t>
        </is>
      </c>
      <c r="G351" t="inlineStr">
        <is>
          <t>FINSPÅNG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45560</v>
      </c>
      <c r="E352" s="1" t="n">
        <v>46237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45719</v>
      </c>
      <c r="E353" s="1" t="n">
        <v>46237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45554</v>
      </c>
      <c r="E354" s="1" t="n">
        <v>46237</v>
      </c>
      <c r="F354" t="inlineStr">
        <is>
          <t>ÖSTERGÖTLANDS LÄN</t>
        </is>
      </c>
      <c r="G354" t="inlineStr">
        <is>
          <t>FINSPÅNG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44734</v>
      </c>
      <c r="E355" s="1" t="n">
        <v>46237</v>
      </c>
      <c r="F355" t="inlineStr">
        <is>
          <t>ÖSTERGÖTLANDS LÄN</t>
        </is>
      </c>
      <c r="G355" t="inlineStr">
        <is>
          <t>FINSPÅNG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44732</v>
      </c>
      <c r="E356" s="1" t="n">
        <v>46237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61998-2022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44918</v>
      </c>
      <c r="E357" s="1" t="n">
        <v>46237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45705</v>
      </c>
      <c r="E358" s="1" t="n">
        <v>46237</v>
      </c>
      <c r="F358" t="inlineStr">
        <is>
          <t>ÖSTERGÖTLANDS LÄN</t>
        </is>
      </c>
      <c r="G358" t="inlineStr">
        <is>
          <t>FINSPÅNG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45832</v>
      </c>
      <c r="E359" s="1" t="n">
        <v>46237</v>
      </c>
      <c r="F359" t="inlineStr">
        <is>
          <t>ÖSTERGÖTLANDS LÄN</t>
        </is>
      </c>
      <c r="G359" t="inlineStr">
        <is>
          <t>FINSPÅNG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46237</v>
      </c>
      <c r="F360" t="inlineStr">
        <is>
          <t>ÖSTERGÖTLANDS LÄN</t>
        </is>
      </c>
      <c r="G360" t="inlineStr">
        <is>
          <t>FINSPÅNG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8937-2022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44614</v>
      </c>
      <c r="E361" s="1" t="n">
        <v>46237</v>
      </c>
      <c r="F361" t="inlineStr">
        <is>
          <t>ÖSTERGÖTLANDS LÄN</t>
        </is>
      </c>
      <c r="G361" t="inlineStr">
        <is>
          <t>FINSPÅNG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18657-2024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45426</v>
      </c>
      <c r="E362" s="1" t="n">
        <v>46237</v>
      </c>
      <c r="F362" t="inlineStr">
        <is>
          <t>ÖSTERGÖTLANDS LÄN</t>
        </is>
      </c>
      <c r="G362" t="inlineStr">
        <is>
          <t>FINSPÅNG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45095</v>
      </c>
      <c r="E363" s="1" t="n">
        <v>46237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Övriga Aktiebolag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44679</v>
      </c>
      <c r="E364" s="1" t="n">
        <v>46237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Övriga Aktiebolag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46237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51435-2024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45604</v>
      </c>
      <c r="E366" s="1" t="n">
        <v>46237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53123-2021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44467</v>
      </c>
      <c r="E367" s="1" t="n">
        <v>46237</v>
      </c>
      <c r="F367" t="inlineStr">
        <is>
          <t>ÖSTERGÖTLANDS LÄN</t>
        </is>
      </c>
      <c r="G367" t="inlineStr">
        <is>
          <t>FINSPÅNG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14454-2022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44653</v>
      </c>
      <c r="E368" s="1" t="n">
        <v>46237</v>
      </c>
      <c r="F368" t="inlineStr">
        <is>
          <t>ÖSTERGÖTLANDS LÄN</t>
        </is>
      </c>
      <c r="G368" t="inlineStr">
        <is>
          <t>FINSPÅNG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46237</v>
      </c>
      <c r="F369" t="inlineStr">
        <is>
          <t>ÖSTERGÖTLANDS LÄN</t>
        </is>
      </c>
      <c r="G369" t="inlineStr">
        <is>
          <t>FINSPÅNG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29923-2023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46237</v>
      </c>
      <c r="F370" t="inlineStr">
        <is>
          <t>ÖSTERGÖTLANDS LÄN</t>
        </is>
      </c>
      <c r="G370" t="inlineStr">
        <is>
          <t>FINSPÅNG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45415</v>
      </c>
      <c r="E371" s="1" t="n">
        <v>46237</v>
      </c>
      <c r="F371" t="inlineStr">
        <is>
          <t>ÖSTERGÖTLANDS LÄN</t>
        </is>
      </c>
      <c r="G371" t="inlineStr">
        <is>
          <t>FINSPÅNG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45070</v>
      </c>
      <c r="E372" s="1" t="n">
        <v>46237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46237</v>
      </c>
      <c r="F373" t="inlineStr">
        <is>
          <t>ÖSTERGÖTLANDS LÄN</t>
        </is>
      </c>
      <c r="G373" t="inlineStr">
        <is>
          <t>FINSPÅNG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64103-2023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45279</v>
      </c>
      <c r="E374" s="1" t="n">
        <v>46237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45421</v>
      </c>
      <c r="E375" s="1" t="n">
        <v>46237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7269-2024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45344</v>
      </c>
      <c r="E376" s="1" t="n">
        <v>46237</v>
      </c>
      <c r="F376" t="inlineStr">
        <is>
          <t>ÖSTERGÖTLANDS LÄN</t>
        </is>
      </c>
      <c r="G376" t="inlineStr">
        <is>
          <t>FINSPÅNG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45257</v>
      </c>
      <c r="E377" s="1" t="n">
        <v>46237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46237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45301</v>
      </c>
      <c r="E379" s="1" t="n">
        <v>46237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47567-2025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45931</v>
      </c>
      <c r="E380" s="1" t="n">
        <v>46237</v>
      </c>
      <c r="F380" t="inlineStr">
        <is>
          <t>ÖSTERGÖTLANDS LÄN</t>
        </is>
      </c>
      <c r="G380" t="inlineStr">
        <is>
          <t>FINSPÅNG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45095</v>
      </c>
      <c r="E381" s="1" t="n">
        <v>46237</v>
      </c>
      <c r="F381" t="inlineStr">
        <is>
          <t>ÖSTERGÖTLANDS LÄN</t>
        </is>
      </c>
      <c r="G381" t="inlineStr">
        <is>
          <t>FINSPÅNG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20821-2026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46237</v>
      </c>
      <c r="F382" t="inlineStr">
        <is>
          <t>ÖSTERGÖTLANDS LÄN</t>
        </is>
      </c>
      <c r="G382" t="inlineStr">
        <is>
          <t>FINSPÅNG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45086</v>
      </c>
      <c r="E383" s="1" t="n">
        <v>46237</v>
      </c>
      <c r="F383" t="inlineStr">
        <is>
          <t>ÖSTERGÖTLANDS LÄN</t>
        </is>
      </c>
      <c r="G383" t="inlineStr">
        <is>
          <t>FINSPÅNG</t>
        </is>
      </c>
      <c r="I383" t="n">
        <v>10.1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45935</v>
      </c>
      <c r="E384" s="1" t="n">
        <v>46237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Övriga Aktiebolag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46237</v>
      </c>
      <c r="F385" t="inlineStr">
        <is>
          <t>ÖSTERGÖTLANDS LÄN</t>
        </is>
      </c>
      <c r="G385" t="inlineStr">
        <is>
          <t>FINSPÅNG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46237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58984-2022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44903</v>
      </c>
      <c r="E387" s="1" t="n">
        <v>46237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45055</v>
      </c>
      <c r="E388" s="1" t="n">
        <v>46237</v>
      </c>
      <c r="F388" t="inlineStr">
        <is>
          <t>ÖSTERGÖTLANDS LÄN</t>
        </is>
      </c>
      <c r="G388" t="inlineStr">
        <is>
          <t>FINSPÅNG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46237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Övriga Aktiebolag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45075</v>
      </c>
      <c r="E390" s="1" t="n">
        <v>46237</v>
      </c>
      <c r="F390" t="inlineStr">
        <is>
          <t>ÖSTERGÖTLANDS LÄN</t>
        </is>
      </c>
      <c r="G390" t="inlineStr">
        <is>
          <t>FINSPÅNG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45846</v>
      </c>
      <c r="E391" s="1" t="n">
        <v>46237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44995</v>
      </c>
      <c r="E392" s="1" t="n">
        <v>46237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45095</v>
      </c>
      <c r="E393" s="1" t="n">
        <v>46237</v>
      </c>
      <c r="F393" t="inlineStr">
        <is>
          <t>ÖSTERGÖTLANDS LÄN</t>
        </is>
      </c>
      <c r="G393" t="inlineStr">
        <is>
          <t>FINSPÅNG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45639</v>
      </c>
      <c r="E394" s="1" t="n">
        <v>46237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18585-2024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45425</v>
      </c>
      <c r="E395" s="1" t="n">
        <v>46237</v>
      </c>
      <c r="F395" t="inlineStr">
        <is>
          <t>ÖSTERGÖTLANDS LÄN</t>
        </is>
      </c>
      <c r="G395" t="inlineStr">
        <is>
          <t>FINSPÅNG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45665</v>
      </c>
      <c r="E396" s="1" t="n">
        <v>46237</v>
      </c>
      <c r="F396" t="inlineStr">
        <is>
          <t>ÖSTERGÖTLANDS LÄN</t>
        </is>
      </c>
      <c r="G396" t="inlineStr">
        <is>
          <t>FINSPÅNG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57854-2022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44898</v>
      </c>
      <c r="E397" s="1" t="n">
        <v>46237</v>
      </c>
      <c r="F397" t="inlineStr">
        <is>
          <t>ÖSTERGÖTLANDS LÄN</t>
        </is>
      </c>
      <c r="G397" t="inlineStr">
        <is>
          <t>FINSPÅNG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45009</v>
      </c>
      <c r="E398" s="1" t="n">
        <v>46237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42106-2023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45177</v>
      </c>
      <c r="E399" s="1" t="n">
        <v>46237</v>
      </c>
      <c r="F399" t="inlineStr">
        <is>
          <t>ÖSTERGÖTLANDS LÄN</t>
        </is>
      </c>
      <c r="G399" t="inlineStr">
        <is>
          <t>FINSPÅNG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45456</v>
      </c>
      <c r="E400" s="1" t="n">
        <v>46237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50395-2025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45944</v>
      </c>
      <c r="E401" s="1" t="n">
        <v>46237</v>
      </c>
      <c r="F401" t="inlineStr">
        <is>
          <t>ÖSTERGÖTLANDS LÄN</t>
        </is>
      </c>
      <c r="G401" t="inlineStr">
        <is>
          <t>FINSPÅNG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44865</v>
      </c>
      <c r="E402" s="1" t="n">
        <v>46237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45516</v>
      </c>
      <c r="E403" s="1" t="n">
        <v>46237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Kommuner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46237</v>
      </c>
      <c r="F404" t="inlineStr">
        <is>
          <t>ÖSTERGÖTLANDS LÄN</t>
        </is>
      </c>
      <c r="G404" t="inlineStr">
        <is>
          <t>FINSPÅNG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28386-2026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46237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Kommuner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45142</v>
      </c>
      <c r="E406" s="1" t="n">
        <v>46237</v>
      </c>
      <c r="F406" t="inlineStr">
        <is>
          <t>ÖSTERGÖTLANDS LÄN</t>
        </is>
      </c>
      <c r="G406" t="inlineStr">
        <is>
          <t>FINSPÅNG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46237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Övriga Aktiebolag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51508-2025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46237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45616</v>
      </c>
      <c r="E409" s="1" t="n">
        <v>46237</v>
      </c>
      <c r="F409" t="inlineStr">
        <is>
          <t>ÖSTERGÖTLANDS LÄN</t>
        </is>
      </c>
      <c r="G409" t="inlineStr">
        <is>
          <t>FINSPÅNG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45616</v>
      </c>
      <c r="E410" s="1" t="n">
        <v>46237</v>
      </c>
      <c r="F410" t="inlineStr">
        <is>
          <t>ÖSTERGÖTLANDS LÄN</t>
        </is>
      </c>
      <c r="G410" t="inlineStr">
        <is>
          <t>FINSPÅNG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60749-2022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44914</v>
      </c>
      <c r="E411" s="1" t="n">
        <v>46237</v>
      </c>
      <c r="F411" t="inlineStr">
        <is>
          <t>ÖSTERGÖTLANDS LÄN</t>
        </is>
      </c>
      <c r="G411" t="inlineStr">
        <is>
          <t>FINSPÅNG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48691-2024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45593</v>
      </c>
      <c r="E412" s="1" t="n">
        <v>46237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Övriga Aktiebolag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61447-2024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45646</v>
      </c>
      <c r="E413" s="1" t="n">
        <v>46237</v>
      </c>
      <c r="F413" t="inlineStr">
        <is>
          <t>ÖSTERGÖTLANDS LÄN</t>
        </is>
      </c>
      <c r="G413" t="inlineStr">
        <is>
          <t>FINSPÅNG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46237</v>
      </c>
      <c r="F414" t="inlineStr">
        <is>
          <t>ÖSTERGÖTLANDS LÄN</t>
        </is>
      </c>
      <c r="G414" t="inlineStr">
        <is>
          <t>FINSPÅNG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44774</v>
      </c>
      <c r="E415" s="1" t="n">
        <v>46237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45095</v>
      </c>
      <c r="E416" s="1" t="n">
        <v>46237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Övriga Aktiebolag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45095</v>
      </c>
      <c r="E417" s="1" t="n">
        <v>46237</v>
      </c>
      <c r="F417" t="inlineStr">
        <is>
          <t>ÖSTERGÖTLANDS LÄN</t>
        </is>
      </c>
      <c r="G417" t="inlineStr">
        <is>
          <t>FINSPÅNG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43534-2023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46237</v>
      </c>
      <c r="F418" t="inlineStr">
        <is>
          <t>ÖSTERGÖTLANDS LÄN</t>
        </is>
      </c>
      <c r="G418" t="inlineStr">
        <is>
          <t>FINSPÅNG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8403-2025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45709</v>
      </c>
      <c r="E419" s="1" t="n">
        <v>46237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11867-2025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46237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45955</v>
      </c>
      <c r="E421" s="1" t="n">
        <v>46237</v>
      </c>
      <c r="F421" t="inlineStr">
        <is>
          <t>ÖSTERGÖTLANDS LÄN</t>
        </is>
      </c>
      <c r="G421" t="inlineStr">
        <is>
          <t>FINSPÅNG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53675-2024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46237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44973</v>
      </c>
      <c r="E423" s="1" t="n">
        <v>46237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45002</v>
      </c>
      <c r="E424" s="1" t="n">
        <v>46237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45530</v>
      </c>
      <c r="E425" s="1" t="n">
        <v>46237</v>
      </c>
      <c r="F425" t="inlineStr">
        <is>
          <t>ÖSTERGÖTLANDS LÄN</t>
        </is>
      </c>
      <c r="G425" t="inlineStr">
        <is>
          <t>FINSPÅNG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53545-2025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46237</v>
      </c>
      <c r="F426" t="inlineStr">
        <is>
          <t>ÖSTERGÖTLANDS LÄN</t>
        </is>
      </c>
      <c r="G426" t="inlineStr">
        <is>
          <t>FINSPÅNG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44974</v>
      </c>
      <c r="E427" s="1" t="n">
        <v>46237</v>
      </c>
      <c r="F427" t="inlineStr">
        <is>
          <t>ÖSTERGÖTLANDS LÄN</t>
        </is>
      </c>
      <c r="G427" t="inlineStr">
        <is>
          <t>FINSPÅNG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46237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45744</v>
      </c>
      <c r="E429" s="1" t="n">
        <v>46237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45147</v>
      </c>
      <c r="E430" s="1" t="n">
        <v>46237</v>
      </c>
      <c r="F430" t="inlineStr">
        <is>
          <t>ÖSTERGÖTLANDS LÄN</t>
        </is>
      </c>
      <c r="G430" t="inlineStr">
        <is>
          <t>FINSPÅNG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34119-2025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45845</v>
      </c>
      <c r="E431" s="1" t="n">
        <v>46237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44950</v>
      </c>
      <c r="E432" s="1" t="n">
        <v>46237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30271-2022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44759</v>
      </c>
      <c r="E433" s="1" t="n">
        <v>46237</v>
      </c>
      <c r="F433" t="inlineStr">
        <is>
          <t>ÖSTERGÖTLANDS LÄN</t>
        </is>
      </c>
      <c r="G433" t="inlineStr">
        <is>
          <t>FINSPÅNG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45243-2022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44840</v>
      </c>
      <c r="E434" s="1" t="n">
        <v>46237</v>
      </c>
      <c r="F434" t="inlineStr">
        <is>
          <t>ÖSTERGÖTLANDS LÄN</t>
        </is>
      </c>
      <c r="G434" t="inlineStr">
        <is>
          <t>FINSPÅNG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41397-2021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44424</v>
      </c>
      <c r="E435" s="1" t="n">
        <v>46237</v>
      </c>
      <c r="F435" t="inlineStr">
        <is>
          <t>ÖSTERGÖTLANDS LÄN</t>
        </is>
      </c>
      <c r="G435" t="inlineStr">
        <is>
          <t>FINSPÅNG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45692</v>
      </c>
      <c r="E436" s="1" t="n">
        <v>46237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45688</v>
      </c>
      <c r="E437" s="1" t="n">
        <v>46237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55612-2021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44476</v>
      </c>
      <c r="E438" s="1" t="n">
        <v>46237</v>
      </c>
      <c r="F438" t="inlineStr">
        <is>
          <t>ÖSTERGÖTLANDS LÄN</t>
        </is>
      </c>
      <c r="G438" t="inlineStr">
        <is>
          <t>FINSPÅNG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54609-2021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44473</v>
      </c>
      <c r="E439" s="1" t="n">
        <v>46237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Sveaskog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45969</v>
      </c>
      <c r="E440" s="1" t="n">
        <v>46237</v>
      </c>
      <c r="F440" t="inlineStr">
        <is>
          <t>ÖSTERGÖTLANDS LÄN</t>
        </is>
      </c>
      <c r="G440" t="inlineStr">
        <is>
          <t>FINSPÅNG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40194-2022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44820</v>
      </c>
      <c r="E441" s="1" t="n">
        <v>46237</v>
      </c>
      <c r="F441" t="inlineStr">
        <is>
          <t>ÖSTERGÖTLANDS LÄN</t>
        </is>
      </c>
      <c r="G441" t="inlineStr">
        <is>
          <t>FINSPÅNG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55431-2025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46237</v>
      </c>
      <c r="F442" t="inlineStr">
        <is>
          <t>ÖSTERGÖTLANDS LÄN</t>
        </is>
      </c>
      <c r="G442" t="inlineStr">
        <is>
          <t>FINSPÅNG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45041</v>
      </c>
      <c r="E443" s="1" t="n">
        <v>46237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Naturvårdsverket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45082</v>
      </c>
      <c r="E444" s="1" t="n">
        <v>46237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46237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22938-2026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46237</v>
      </c>
      <c r="F446" t="inlineStr">
        <is>
          <t>ÖSTERGÖTLANDS LÄN</t>
        </is>
      </c>
      <c r="G446" t="inlineStr">
        <is>
          <t>FINSPÅNG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45688</v>
      </c>
      <c r="E447" s="1" t="n">
        <v>46237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46237</v>
      </c>
      <c r="F448" t="inlineStr">
        <is>
          <t>ÖSTERGÖTLANDS LÄN</t>
        </is>
      </c>
      <c r="G448" t="inlineStr">
        <is>
          <t>FINSPÅNG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46237</v>
      </c>
      <c r="F449" t="inlineStr">
        <is>
          <t>ÖSTERGÖTLANDS LÄN</t>
        </is>
      </c>
      <c r="G449" t="inlineStr">
        <is>
          <t>FINSPÅNG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50510-2024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45601</v>
      </c>
      <c r="E450" s="1" t="n">
        <v>46237</v>
      </c>
      <c r="F450" t="inlineStr">
        <is>
          <t>ÖSTERGÖTLANDS LÄN</t>
        </is>
      </c>
      <c r="G450" t="inlineStr">
        <is>
          <t>FINSPÅNG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43318-2022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44834</v>
      </c>
      <c r="E451" s="1" t="n">
        <v>46237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4083-2024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45323</v>
      </c>
      <c r="E452" s="1" t="n">
        <v>46237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49677-2022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46237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9.6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44973</v>
      </c>
      <c r="E454" s="1" t="n">
        <v>46237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53821-2022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44880</v>
      </c>
      <c r="E455" s="1" t="n">
        <v>46237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56404-2025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46237</v>
      </c>
      <c r="F456" t="inlineStr">
        <is>
          <t>ÖSTERGÖTLANDS LÄN</t>
        </is>
      </c>
      <c r="G456" t="inlineStr">
        <is>
          <t>FINSPÅNG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8611-2025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45710</v>
      </c>
      <c r="E457" s="1" t="n">
        <v>46237</v>
      </c>
      <c r="F457" t="inlineStr">
        <is>
          <t>ÖSTERGÖTLANDS LÄN</t>
        </is>
      </c>
      <c r="G457" t="inlineStr">
        <is>
          <t>FINSPÅNG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45314-2023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45191</v>
      </c>
      <c r="E458" s="1" t="n">
        <v>46237</v>
      </c>
      <c r="F458" t="inlineStr">
        <is>
          <t>ÖSTERGÖTLANDS LÄN</t>
        </is>
      </c>
      <c r="G458" t="inlineStr">
        <is>
          <t>FINSPÅNG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46237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Kyrkan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45979</v>
      </c>
      <c r="E460" s="1" t="n">
        <v>46237</v>
      </c>
      <c r="F460" t="inlineStr">
        <is>
          <t>ÖSTERGÖTLANDS LÄN</t>
        </is>
      </c>
      <c r="G460" t="inlineStr">
        <is>
          <t>FINSPÅNG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45770</v>
      </c>
      <c r="E461" s="1" t="n">
        <v>46237</v>
      </c>
      <c r="F461" t="inlineStr">
        <is>
          <t>ÖSTERGÖTLANDS LÄN</t>
        </is>
      </c>
      <c r="G461" t="inlineStr">
        <is>
          <t>FINSPÅNG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54727-2023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45236</v>
      </c>
      <c r="E462" s="1" t="n">
        <v>46237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54730-2023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45236</v>
      </c>
      <c r="E463" s="1" t="n">
        <v>46237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57666-2025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45980</v>
      </c>
      <c r="E464" s="1" t="n">
        <v>46237</v>
      </c>
      <c r="F464" t="inlineStr">
        <is>
          <t>ÖSTERGÖTLANDS LÄN</t>
        </is>
      </c>
      <c r="G464" t="inlineStr">
        <is>
          <t>FINSPÅNG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54923-2022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44886</v>
      </c>
      <c r="E465" s="1" t="n">
        <v>46237</v>
      </c>
      <c r="F465" t="inlineStr">
        <is>
          <t>ÖSTERGÖTLANDS LÄN</t>
        </is>
      </c>
      <c r="G465" t="inlineStr">
        <is>
          <t>FINSPÅNG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22354-2023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45070</v>
      </c>
      <c r="E466" s="1" t="n">
        <v>46237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42651-2024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45566</v>
      </c>
      <c r="E467" s="1" t="n">
        <v>46237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42779-2023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45181</v>
      </c>
      <c r="E468" s="1" t="n">
        <v>46237</v>
      </c>
      <c r="F468" t="inlineStr">
        <is>
          <t>ÖSTERGÖTLANDS LÄN</t>
        </is>
      </c>
      <c r="G468" t="inlineStr">
        <is>
          <t>FINSPÅNG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18445-2023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45042</v>
      </c>
      <c r="E469" s="1" t="n">
        <v>46237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45042</v>
      </c>
      <c r="E470" s="1" t="n">
        <v>46237</v>
      </c>
      <c r="F470" t="inlineStr">
        <is>
          <t>ÖSTERGÖTLANDS LÄN</t>
        </is>
      </c>
      <c r="G470" t="inlineStr">
        <is>
          <t>FINSPÅNG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11839-2025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46237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44876</v>
      </c>
      <c r="E472" s="1" t="n">
        <v>46237</v>
      </c>
      <c r="F472" t="inlineStr">
        <is>
          <t>ÖSTERGÖTLANDS LÄN</t>
        </is>
      </c>
      <c r="G472" t="inlineStr">
        <is>
          <t>FINSPÅNG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46203</v>
      </c>
      <c r="E473" s="1" t="n">
        <v>46237</v>
      </c>
      <c r="F473" t="inlineStr">
        <is>
          <t>ÖSTERGÖTLANDS LÄN</t>
        </is>
      </c>
      <c r="G473" t="inlineStr">
        <is>
          <t>FINSPÅNG</t>
        </is>
      </c>
      <c r="I473" t="n">
        <v>13.3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45983</v>
      </c>
      <c r="E474" s="1" t="n">
        <v>46237</v>
      </c>
      <c r="F474" t="inlineStr">
        <is>
          <t>ÖSTERGÖTLANDS LÄN</t>
        </is>
      </c>
      <c r="G474" t="inlineStr">
        <is>
          <t>FINSPÅNG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45983</v>
      </c>
      <c r="E475" s="1" t="n">
        <v>46237</v>
      </c>
      <c r="F475" t="inlineStr">
        <is>
          <t>ÖSTERGÖTLANDS LÄN</t>
        </is>
      </c>
      <c r="G475" t="inlineStr">
        <is>
          <t>FINSPÅNG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45983</v>
      </c>
      <c r="E476" s="1" t="n">
        <v>46237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58709-2025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46237</v>
      </c>
      <c r="F477" t="inlineStr">
        <is>
          <t>ÖSTERGÖTLANDS LÄN</t>
        </is>
      </c>
      <c r="G477" t="inlineStr">
        <is>
          <t>FINSPÅNG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29731-2026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46237</v>
      </c>
      <c r="F478" t="inlineStr">
        <is>
          <t>ÖSTERGÖTLANDS LÄN</t>
        </is>
      </c>
      <c r="G478" t="inlineStr">
        <is>
          <t>FINSPÅNG</t>
        </is>
      </c>
      <c r="I478" t="n">
        <v>18.6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12814-2022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44642</v>
      </c>
      <c r="E479" s="1" t="n">
        <v>46237</v>
      </c>
      <c r="F479" t="inlineStr">
        <is>
          <t>ÖSTERGÖTLANDS LÄN</t>
        </is>
      </c>
      <c r="G479" t="inlineStr">
        <is>
          <t>FINSPÅNG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70505-2021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44536</v>
      </c>
      <c r="E480" s="1" t="n">
        <v>46237</v>
      </c>
      <c r="F480" t="inlineStr">
        <is>
          <t>ÖSTERGÖTLANDS LÄN</t>
        </is>
      </c>
      <c r="G480" t="inlineStr">
        <is>
          <t>FINSPÅNG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45983</v>
      </c>
      <c r="E481" s="1" t="n">
        <v>46237</v>
      </c>
      <c r="F481" t="inlineStr">
        <is>
          <t>ÖSTERGÖTLANDS LÄN</t>
        </is>
      </c>
      <c r="G481" t="inlineStr">
        <is>
          <t>FINSPÅNG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58796-2025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46237</v>
      </c>
      <c r="F482" t="inlineStr">
        <is>
          <t>ÖSTERGÖTLANDS LÄN</t>
        </is>
      </c>
      <c r="G482" t="inlineStr">
        <is>
          <t>FINSPÅNG</t>
        </is>
      </c>
      <c r="I482" t="n">
        <v>9.300000000000001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46237</v>
      </c>
      <c r="F483" t="inlineStr">
        <is>
          <t>ÖSTERGÖTLANDS LÄN</t>
        </is>
      </c>
      <c r="G483" t="inlineStr">
        <is>
          <t>FINSPÅNG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13375-2025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45735</v>
      </c>
      <c r="E484" s="1" t="n">
        <v>46237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45237</v>
      </c>
      <c r="E485" s="1" t="n">
        <v>46237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Kyrkan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45076</v>
      </c>
      <c r="E486" s="1" t="n">
        <v>46237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13378-2025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45735</v>
      </c>
      <c r="E487" s="1" t="n">
        <v>46237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45257</v>
      </c>
      <c r="E488" s="1" t="n">
        <v>46237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52731-2023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45225</v>
      </c>
      <c r="E489" s="1" t="n">
        <v>46237</v>
      </c>
      <c r="F489" t="inlineStr">
        <is>
          <t>ÖSTERGÖTLANDS LÄN</t>
        </is>
      </c>
      <c r="G489" t="inlineStr">
        <is>
          <t>FINSPÅNG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46237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6.6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36110-2023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45149</v>
      </c>
      <c r="E491" s="1" t="n">
        <v>46237</v>
      </c>
      <c r="F491" t="inlineStr">
        <is>
          <t>ÖSTERGÖTLANDS LÄN</t>
        </is>
      </c>
      <c r="G491" t="inlineStr">
        <is>
          <t>FINSPÅNG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44944</v>
      </c>
      <c r="E492" s="1" t="n">
        <v>46237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44595</v>
      </c>
      <c r="E493" s="1" t="n">
        <v>46237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Övriga Aktiebolag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54404-2023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45233</v>
      </c>
      <c r="E494" s="1" t="n">
        <v>46237</v>
      </c>
      <c r="F494" t="inlineStr">
        <is>
          <t>ÖSTERGÖTLANDS LÄN</t>
        </is>
      </c>
      <c r="G494" t="inlineStr">
        <is>
          <t>FINSPÅNG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45179</v>
      </c>
      <c r="E495" s="1" t="n">
        <v>46237</v>
      </c>
      <c r="F495" t="inlineStr">
        <is>
          <t>ÖSTERGÖTLANDS LÄN</t>
        </is>
      </c>
      <c r="G495" t="inlineStr">
        <is>
          <t>FINSPÅNG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40306-2021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44419</v>
      </c>
      <c r="E496" s="1" t="n">
        <v>46237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44564</v>
      </c>
      <c r="E497" s="1" t="n">
        <v>46237</v>
      </c>
      <c r="F497" t="inlineStr">
        <is>
          <t>ÖSTERGÖTLANDS LÄN</t>
        </is>
      </c>
      <c r="G497" t="inlineStr">
        <is>
          <t>FINSPÅNG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46237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45095</v>
      </c>
      <c r="E499" s="1" t="n">
        <v>46237</v>
      </c>
      <c r="F499" t="inlineStr">
        <is>
          <t>ÖSTERGÖTLANDS LÄN</t>
        </is>
      </c>
      <c r="G499" t="inlineStr">
        <is>
          <t>FINSPÅNG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45082</v>
      </c>
      <c r="E500" s="1" t="n">
        <v>46237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45082</v>
      </c>
      <c r="E501" s="1" t="n">
        <v>46237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14560-2023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45013</v>
      </c>
      <c r="E502" s="1" t="n">
        <v>46237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45086</v>
      </c>
      <c r="E503" s="1" t="n">
        <v>46237</v>
      </c>
      <c r="F503" t="inlineStr">
        <is>
          <t>ÖSTERGÖTLANDS LÄN</t>
        </is>
      </c>
      <c r="G503" t="inlineStr">
        <is>
          <t>FINSPÅNG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61202-2025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46237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4351-2022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44589</v>
      </c>
      <c r="E505" s="1" t="n">
        <v>46237</v>
      </c>
      <c r="F505" t="inlineStr">
        <is>
          <t>ÖSTERGÖTLANDS LÄN</t>
        </is>
      </c>
      <c r="G505" t="inlineStr">
        <is>
          <t>FINSPÅNG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11481-2023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44993</v>
      </c>
      <c r="E506" s="1" t="n">
        <v>46237</v>
      </c>
      <c r="F506" t="inlineStr">
        <is>
          <t>ÖSTERGÖTLANDS LÄN</t>
        </is>
      </c>
      <c r="G506" t="inlineStr">
        <is>
          <t>FINSPÅNG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16229-2024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45407</v>
      </c>
      <c r="E507" s="1" t="n">
        <v>46237</v>
      </c>
      <c r="F507" t="inlineStr">
        <is>
          <t>ÖSTERGÖTLANDS LÄN</t>
        </is>
      </c>
      <c r="G507" t="inlineStr">
        <is>
          <t>FINSPÅNG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58142-2022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44900</v>
      </c>
      <c r="E508" s="1" t="n">
        <v>46237</v>
      </c>
      <c r="F508" t="inlineStr">
        <is>
          <t>ÖSTERGÖTLANDS LÄN</t>
        </is>
      </c>
      <c r="G508" t="inlineStr">
        <is>
          <t>FINSPÅNG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46237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46237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43744-2021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44433</v>
      </c>
      <c r="E511" s="1" t="n">
        <v>46237</v>
      </c>
      <c r="F511" t="inlineStr">
        <is>
          <t>ÖSTERGÖTLANDS LÄN</t>
        </is>
      </c>
      <c r="G511" t="inlineStr">
        <is>
          <t>FINSPÅNG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61605-2025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46002</v>
      </c>
      <c r="E512" s="1" t="n">
        <v>46237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46002</v>
      </c>
      <c r="E513" s="1" t="n">
        <v>46237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46237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46237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10412-2023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44987</v>
      </c>
      <c r="E516" s="1" t="n">
        <v>46237</v>
      </c>
      <c r="F516" t="inlineStr">
        <is>
          <t>ÖSTERGÖTLANDS LÄN</t>
        </is>
      </c>
      <c r="G516" t="inlineStr">
        <is>
          <t>FINSPÅNG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62235-2025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46003</v>
      </c>
      <c r="E517" s="1" t="n">
        <v>46237</v>
      </c>
      <c r="F517" t="inlineStr">
        <is>
          <t>ÖSTERGÖTLANDS LÄN</t>
        </is>
      </c>
      <c r="G517" t="inlineStr">
        <is>
          <t>FINSPÅNG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45357</v>
      </c>
      <c r="E518" s="1" t="n">
        <v>46237</v>
      </c>
      <c r="F518" t="inlineStr">
        <is>
          <t>ÖSTERGÖTLANDS LÄN</t>
        </is>
      </c>
      <c r="G518" t="inlineStr">
        <is>
          <t>FINSPÅNG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62242-2025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46006</v>
      </c>
      <c r="E519" s="1" t="n">
        <v>46237</v>
      </c>
      <c r="F519" t="inlineStr">
        <is>
          <t>ÖSTERGÖTLANDS LÄN</t>
        </is>
      </c>
      <c r="G519" t="inlineStr">
        <is>
          <t>FINSPÅNG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56309-2022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44887</v>
      </c>
      <c r="E520" s="1" t="n">
        <v>46237</v>
      </c>
      <c r="F520" t="inlineStr">
        <is>
          <t>ÖSTERGÖTLANDS LÄN</t>
        </is>
      </c>
      <c r="G520" t="inlineStr">
        <is>
          <t>FINSPÅNG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60547-2023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45259</v>
      </c>
      <c r="E521" s="1" t="n">
        <v>46237</v>
      </c>
      <c r="F521" t="inlineStr">
        <is>
          <t>ÖSTERGÖTLANDS LÄN</t>
        </is>
      </c>
      <c r="G521" t="inlineStr">
        <is>
          <t>FINSPÅNG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58011-2023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46237</v>
      </c>
      <c r="F522" t="inlineStr">
        <is>
          <t>ÖSTERGÖTLANDS LÄN</t>
        </is>
      </c>
      <c r="G522" t="inlineStr">
        <is>
          <t>FINSPÅNG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46237</v>
      </c>
      <c r="F523" t="inlineStr">
        <is>
          <t>ÖSTERGÖTLANDS LÄN</t>
        </is>
      </c>
      <c r="G523" t="inlineStr">
        <is>
          <t>FINSPÅNG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63585-2023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45275</v>
      </c>
      <c r="E524" s="1" t="n">
        <v>46237</v>
      </c>
      <c r="F524" t="inlineStr">
        <is>
          <t>ÖSTERGÖTLANDS LÄN</t>
        </is>
      </c>
      <c r="G524" t="inlineStr">
        <is>
          <t>FINSPÅNG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25678-2024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45463</v>
      </c>
      <c r="E525" s="1" t="n">
        <v>46237</v>
      </c>
      <c r="F525" t="inlineStr">
        <is>
          <t>ÖSTERGÖTLANDS LÄN</t>
        </is>
      </c>
      <c r="G525" t="inlineStr">
        <is>
          <t>FINSPÅNG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44995</v>
      </c>
      <c r="E526" s="1" t="n">
        <v>46237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45677</v>
      </c>
      <c r="E527" s="1" t="n">
        <v>46237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45422</v>
      </c>
      <c r="E528" s="1" t="n">
        <v>46237</v>
      </c>
      <c r="F528" t="inlineStr">
        <is>
          <t>ÖSTERGÖTLANDS LÄN</t>
        </is>
      </c>
      <c r="G528" t="inlineStr">
        <is>
          <t>FINSPÅNG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28556-2023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45103</v>
      </c>
      <c r="E529" s="1" t="n">
        <v>46237</v>
      </c>
      <c r="F529" t="inlineStr">
        <is>
          <t>ÖSTERGÖTLANDS LÄN</t>
        </is>
      </c>
      <c r="G529" t="inlineStr">
        <is>
          <t>FINSPÅNG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49904-2023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45214</v>
      </c>
      <c r="E530" s="1" t="n">
        <v>46237</v>
      </c>
      <c r="F530" t="inlineStr">
        <is>
          <t>ÖSTERGÖTLANDS LÄN</t>
        </is>
      </c>
      <c r="G530" t="inlineStr">
        <is>
          <t>FINSPÅNG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45421</v>
      </c>
      <c r="E531" s="1" t="n">
        <v>46237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18171-2024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45420</v>
      </c>
      <c r="E532" s="1" t="n">
        <v>46237</v>
      </c>
      <c r="F532" t="inlineStr">
        <is>
          <t>ÖSTERGÖTLANDS LÄN</t>
        </is>
      </c>
      <c r="G532" t="inlineStr">
        <is>
          <t>FINSPÅNG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46237</v>
      </c>
      <c r="F533" t="inlineStr">
        <is>
          <t>ÖSTERGÖTLANDS LÄN</t>
        </is>
      </c>
      <c r="G533" t="inlineStr">
        <is>
          <t>FINSPÅNG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46237</v>
      </c>
      <c r="F534" t="inlineStr">
        <is>
          <t>ÖSTERGÖTLANDS LÄN</t>
        </is>
      </c>
      <c r="G534" t="inlineStr">
        <is>
          <t>FINSPÅNG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46237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45125</v>
      </c>
      <c r="E536" s="1" t="n">
        <v>46237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16975-2023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45033</v>
      </c>
      <c r="E537" s="1" t="n">
        <v>46237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Naturvårdsverket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28559-2023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46237</v>
      </c>
      <c r="F538" t="inlineStr">
        <is>
          <t>ÖSTERGÖTLANDS LÄN</t>
        </is>
      </c>
      <c r="G538" t="inlineStr">
        <is>
          <t>FINSPÅNG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4753-2025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45688</v>
      </c>
      <c r="E539" s="1" t="n">
        <v>46237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15952-2023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45022</v>
      </c>
      <c r="E540" s="1" t="n">
        <v>46237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46237</v>
      </c>
      <c r="F541" t="inlineStr">
        <is>
          <t>ÖSTERGÖTLANDS LÄN</t>
        </is>
      </c>
      <c r="G541" t="inlineStr">
        <is>
          <t>FINSPÅNG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46237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45267</v>
      </c>
      <c r="E543" s="1" t="n">
        <v>46237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46209</v>
      </c>
      <c r="E544" s="1" t="n">
        <v>46237</v>
      </c>
      <c r="F544" t="inlineStr">
        <is>
          <t>ÖSTERGÖTLANDS LÄN</t>
        </is>
      </c>
      <c r="G544" t="inlineStr">
        <is>
          <t>FINSPÅNG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45202</v>
      </c>
      <c r="E545" s="1" t="n">
        <v>46237</v>
      </c>
      <c r="F545" t="inlineStr">
        <is>
          <t>ÖSTERGÖTLANDS LÄN</t>
        </is>
      </c>
      <c r="G545" t="inlineStr">
        <is>
          <t>FINSPÅNG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31801-2023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45118</v>
      </c>
      <c r="E546" s="1" t="n">
        <v>46237</v>
      </c>
      <c r="F546" t="inlineStr">
        <is>
          <t>ÖSTERGÖTLANDS LÄN</t>
        </is>
      </c>
      <c r="G546" t="inlineStr">
        <is>
          <t>FINSPÅNG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44966</v>
      </c>
      <c r="E547" s="1" t="n">
        <v>46237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52730-2023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45225</v>
      </c>
      <c r="E548" s="1" t="n">
        <v>46237</v>
      </c>
      <c r="F548" t="inlineStr">
        <is>
          <t>ÖSTERGÖTLANDS LÄN</t>
        </is>
      </c>
      <c r="G548" t="inlineStr">
        <is>
          <t>FINSPÅNG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58141-2022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46237</v>
      </c>
      <c r="F549" t="inlineStr">
        <is>
          <t>ÖSTERGÖTLANDS LÄN</t>
        </is>
      </c>
      <c r="G549" t="inlineStr">
        <is>
          <t>FINSPÅNG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31151-2026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46237</v>
      </c>
      <c r="F550" t="inlineStr">
        <is>
          <t>ÖSTERGÖTLANDS LÄN</t>
        </is>
      </c>
      <c r="G550" t="inlineStr">
        <is>
          <t>FINSPÅNG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9418-2023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44981</v>
      </c>
      <c r="E551" s="1" t="n">
        <v>46237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62168-2022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44922</v>
      </c>
      <c r="E552" s="1" t="n">
        <v>46237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45311-2023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45191</v>
      </c>
      <c r="E553" s="1" t="n">
        <v>46237</v>
      </c>
      <c r="F553" t="inlineStr">
        <is>
          <t>ÖSTERGÖTLANDS LÄN</t>
        </is>
      </c>
      <c r="G553" t="inlineStr">
        <is>
          <t>FINSPÅNG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45178</v>
      </c>
      <c r="E554" s="1" t="n">
        <v>46237</v>
      </c>
      <c r="F554" t="inlineStr">
        <is>
          <t>ÖSTERGÖTLANDS LÄN</t>
        </is>
      </c>
      <c r="G554" t="inlineStr">
        <is>
          <t>FINSPÅNG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45293</v>
      </c>
      <c r="E555" s="1" t="n">
        <v>46237</v>
      </c>
      <c r="F555" t="inlineStr">
        <is>
          <t>ÖSTERGÖTLANDS LÄN</t>
        </is>
      </c>
      <c r="G555" t="inlineStr">
        <is>
          <t>FINSPÅNG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42111-2023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46237</v>
      </c>
      <c r="F556" t="inlineStr">
        <is>
          <t>ÖSTERGÖTLANDS LÄN</t>
        </is>
      </c>
      <c r="G556" t="inlineStr">
        <is>
          <t>FINSPÅNG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55956-2024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45623</v>
      </c>
      <c r="E557" s="1" t="n">
        <v>46237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45639</v>
      </c>
      <c r="E558" s="1" t="n">
        <v>46237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46317-2023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45197</v>
      </c>
      <c r="E559" s="1" t="n">
        <v>46237</v>
      </c>
      <c r="F559" t="inlineStr">
        <is>
          <t>ÖSTERGÖTLANDS LÄN</t>
        </is>
      </c>
      <c r="G559" t="inlineStr">
        <is>
          <t>FINSPÅNG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45391</v>
      </c>
      <c r="E560" s="1" t="n">
        <v>46237</v>
      </c>
      <c r="F560" t="inlineStr">
        <is>
          <t>ÖSTERGÖTLANDS LÄN</t>
        </is>
      </c>
      <c r="G560" t="inlineStr">
        <is>
          <t>FINSPÅNG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58367-2023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46237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61359-2023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46237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46218</v>
      </c>
      <c r="E563" s="1" t="n">
        <v>46237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Sveaskog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46176</v>
      </c>
      <c r="E564" s="1" t="n">
        <v>46237</v>
      </c>
      <c r="F564" t="inlineStr">
        <is>
          <t>ÖSTERGÖTLANDS LÄN</t>
        </is>
      </c>
      <c r="G564" t="inlineStr">
        <is>
          <t>FINSPÅNG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25864-2026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46176</v>
      </c>
      <c r="E565" s="1" t="n">
        <v>46237</v>
      </c>
      <c r="F565" t="inlineStr">
        <is>
          <t>ÖSTERGÖTLANDS LÄN</t>
        </is>
      </c>
      <c r="G565" t="inlineStr">
        <is>
          <t>FINSPÅNG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44949</v>
      </c>
      <c r="E566" s="1" t="n">
        <v>46237</v>
      </c>
      <c r="F566" t="inlineStr">
        <is>
          <t>ÖSTERGÖTLANDS LÄN</t>
        </is>
      </c>
      <c r="G566" t="inlineStr">
        <is>
          <t>FINSPÅNG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35276-2025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45853</v>
      </c>
      <c r="E567" s="1" t="n">
        <v>46237</v>
      </c>
      <c r="F567" t="inlineStr">
        <is>
          <t>ÖSTERGÖTLANDS LÄN</t>
        </is>
      </c>
      <c r="G567" t="inlineStr">
        <is>
          <t>FINSPÅNG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7743-2023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44973</v>
      </c>
      <c r="E568" s="1" t="n">
        <v>46237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46237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44922</v>
      </c>
      <c r="E570" s="1" t="n">
        <v>46237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46030</v>
      </c>
      <c r="E571" s="1" t="n">
        <v>46237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28732-2023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45103</v>
      </c>
      <c r="E572" s="1" t="n">
        <v>46237</v>
      </c>
      <c r="F572" t="inlineStr">
        <is>
          <t>ÖSTERGÖTLANDS LÄN</t>
        </is>
      </c>
      <c r="G572" t="inlineStr">
        <is>
          <t>FINSPÅNG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46218</v>
      </c>
      <c r="E573" s="1" t="n">
        <v>46237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Sveaskog</t>
        </is>
      </c>
      <c r="I573" t="n">
        <v>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46237</v>
      </c>
      <c r="F574" t="inlineStr">
        <is>
          <t>ÖSTERGÖTLANDS LÄN</t>
        </is>
      </c>
      <c r="G574" t="inlineStr">
        <is>
          <t>FINSPÅNG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25860-2026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46176</v>
      </c>
      <c r="E575" s="1" t="n">
        <v>46237</v>
      </c>
      <c r="F575" t="inlineStr">
        <is>
          <t>ÖSTERGÖTLANDS LÄN</t>
        </is>
      </c>
      <c r="G575" t="inlineStr">
        <is>
          <t>FINSPÅNG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46031</v>
      </c>
      <c r="E576" s="1" t="n">
        <v>46237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Kyrkan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6575-2024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45341</v>
      </c>
      <c r="E577" s="1" t="n">
        <v>46237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Övriga Aktiebolag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24833-2026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46237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Sveaskog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45293</v>
      </c>
      <c r="E579" s="1" t="n">
        <v>46237</v>
      </c>
      <c r="F579" t="inlineStr">
        <is>
          <t>ÖSTERGÖTLANDS LÄN</t>
        </is>
      </c>
      <c r="G579" t="inlineStr">
        <is>
          <t>FINSPÅNG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32431-2023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45110</v>
      </c>
      <c r="E580" s="1" t="n">
        <v>46237</v>
      </c>
      <c r="F580" t="inlineStr">
        <is>
          <t>ÖSTERGÖTLANDS LÄN</t>
        </is>
      </c>
      <c r="G580" t="inlineStr">
        <is>
          <t>FINSPÅNG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13826-2024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45391</v>
      </c>
      <c r="E581" s="1" t="n">
        <v>46237</v>
      </c>
      <c r="F581" t="inlineStr">
        <is>
          <t>ÖSTERGÖTLANDS LÄN</t>
        </is>
      </c>
      <c r="G581" t="inlineStr">
        <is>
          <t>FINSPÅNG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46034</v>
      </c>
      <c r="E582" s="1" t="n">
        <v>46237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17321-2022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44678</v>
      </c>
      <c r="E583" s="1" t="n">
        <v>46237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24835-2026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46174</v>
      </c>
      <c r="E584" s="1" t="n">
        <v>46237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Sveaskog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46237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46034</v>
      </c>
      <c r="E586" s="1" t="n">
        <v>46237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13229-2023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45002</v>
      </c>
      <c r="E587" s="1" t="n">
        <v>46237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Kyrkan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46036</v>
      </c>
      <c r="E588" s="1" t="n">
        <v>46237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25629-2026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46237</v>
      </c>
      <c r="F589" t="inlineStr">
        <is>
          <t>ÖSTERGÖTLANDS LÄN</t>
        </is>
      </c>
      <c r="G589" t="inlineStr">
        <is>
          <t>FINSPÅNG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46036</v>
      </c>
      <c r="E590" s="1" t="n">
        <v>46237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14022-2023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45008</v>
      </c>
      <c r="E591" s="1" t="n">
        <v>46237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46237</v>
      </c>
      <c r="F592" t="inlineStr">
        <is>
          <t>ÖSTERGÖTLANDS LÄN</t>
        </is>
      </c>
      <c r="G592" t="inlineStr">
        <is>
          <t>FINSPÅNG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45078</v>
      </c>
      <c r="E593" s="1" t="n">
        <v>46237</v>
      </c>
      <c r="F593" t="inlineStr">
        <is>
          <t>ÖSTERGÖTLANDS LÄN</t>
        </is>
      </c>
      <c r="G593" t="inlineStr">
        <is>
          <t>FINSPÅNG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11541-2023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44993</v>
      </c>
      <c r="E594" s="1" t="n">
        <v>46237</v>
      </c>
      <c r="F594" t="inlineStr">
        <is>
          <t>ÖSTERGÖTLANDS LÄN</t>
        </is>
      </c>
      <c r="G594" t="inlineStr">
        <is>
          <t>FINSPÅNG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33804-2023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45133</v>
      </c>
      <c r="E595" s="1" t="n">
        <v>46237</v>
      </c>
      <c r="F595" t="inlineStr">
        <is>
          <t>ÖSTERGÖTLANDS LÄN</t>
        </is>
      </c>
      <c r="G595" t="inlineStr">
        <is>
          <t>FINSPÅNG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73655-2021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44551</v>
      </c>
      <c r="E596" s="1" t="n">
        <v>46237</v>
      </c>
      <c r="F596" t="inlineStr">
        <is>
          <t>ÖSTERGÖTLANDS LÄN</t>
        </is>
      </c>
      <c r="G596" t="inlineStr">
        <is>
          <t>FINSPÅNG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45447</v>
      </c>
      <c r="E597" s="1" t="n">
        <v>46237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39655-2023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45167</v>
      </c>
      <c r="E598" s="1" t="n">
        <v>46237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Kyrkan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46040</v>
      </c>
      <c r="E599" s="1" t="n">
        <v>46237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46040</v>
      </c>
      <c r="E600" s="1" t="n">
        <v>46237</v>
      </c>
      <c r="F600" t="inlineStr">
        <is>
          <t>ÖSTERGÖTLANDS LÄN</t>
        </is>
      </c>
      <c r="G600" t="inlineStr">
        <is>
          <t>FINSPÅNG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44937</v>
      </c>
      <c r="E601" s="1" t="n">
        <v>46237</v>
      </c>
      <c r="F601" t="inlineStr">
        <is>
          <t>ÖSTERGÖTLANDS LÄN</t>
        </is>
      </c>
      <c r="G601" t="inlineStr">
        <is>
          <t>FINSPÅNG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45314</v>
      </c>
      <c r="E602" s="1" t="n">
        <v>46237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46237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44981</v>
      </c>
      <c r="E604" s="1" t="n">
        <v>46237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46237</v>
      </c>
      <c r="F605" t="inlineStr">
        <is>
          <t>ÖSTERGÖTLANDS LÄN</t>
        </is>
      </c>
      <c r="G605" t="inlineStr">
        <is>
          <t>FINSPÅNG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46237</v>
      </c>
      <c r="F606" t="inlineStr">
        <is>
          <t>ÖSTERGÖTLANDS LÄN</t>
        </is>
      </c>
      <c r="G606" t="inlineStr">
        <is>
          <t>FINSPÅNG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46237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46237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25760-2026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46178</v>
      </c>
      <c r="E609" s="1" t="n">
        <v>46237</v>
      </c>
      <c r="F609" t="inlineStr">
        <is>
          <t>ÖSTERGÖTLANDS LÄN</t>
        </is>
      </c>
      <c r="G609" t="inlineStr">
        <is>
          <t>FINSPÅNG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46237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18295-2023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45041</v>
      </c>
      <c r="E611" s="1" t="n">
        <v>46237</v>
      </c>
      <c r="F611" t="inlineStr">
        <is>
          <t>ÖSTERGÖTLANDS LÄN</t>
        </is>
      </c>
      <c r="G611" t="inlineStr">
        <is>
          <t>FINSPÅNG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21655-2023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46237</v>
      </c>
      <c r="F612" t="inlineStr">
        <is>
          <t>ÖSTERGÖTLANDS LÄN</t>
        </is>
      </c>
      <c r="G612" t="inlineStr">
        <is>
          <t>FINSPÅNG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31025-2023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46237</v>
      </c>
      <c r="F613" t="inlineStr">
        <is>
          <t>ÖSTERGÖTLANDS LÄN</t>
        </is>
      </c>
      <c r="G613" t="inlineStr">
        <is>
          <t>FINSPÅNG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46050</v>
      </c>
      <c r="E614" s="1" t="n">
        <v>46237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45601</v>
      </c>
      <c r="E615" s="1" t="n">
        <v>46237</v>
      </c>
      <c r="F615" t="inlineStr">
        <is>
          <t>ÖSTERGÖTLANDS LÄN</t>
        </is>
      </c>
      <c r="G615" t="inlineStr">
        <is>
          <t>FINSPÅNG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46049</v>
      </c>
      <c r="E616" s="1" t="n">
        <v>46237</v>
      </c>
      <c r="F616" t="inlineStr">
        <is>
          <t>ÖSTERGÖTLANDS LÄN</t>
        </is>
      </c>
      <c r="G616" t="inlineStr">
        <is>
          <t>FINSPÅNG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17994-2023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45040</v>
      </c>
      <c r="E617" s="1" t="n">
        <v>46237</v>
      </c>
      <c r="F617" t="inlineStr">
        <is>
          <t>ÖSTERGÖTLANDS LÄN</t>
        </is>
      </c>
      <c r="G617" t="inlineStr">
        <is>
          <t>FINSPÅNG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48767-2024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45593</v>
      </c>
      <c r="E618" s="1" t="n">
        <v>46237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15614-2023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45020</v>
      </c>
      <c r="E619" s="1" t="n">
        <v>46237</v>
      </c>
      <c r="F619" t="inlineStr">
        <is>
          <t>ÖSTERGÖTLANDS LÄN</t>
        </is>
      </c>
      <c r="G619" t="inlineStr">
        <is>
          <t>FINSPÅNG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48652-2024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45593</v>
      </c>
      <c r="E620" s="1" t="n">
        <v>46237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Övriga Aktiebolag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46052</v>
      </c>
      <c r="E621" s="1" t="n">
        <v>46237</v>
      </c>
      <c r="F621" t="inlineStr">
        <is>
          <t>ÖSTERGÖTLANDS LÄN</t>
        </is>
      </c>
      <c r="G621" t="inlineStr">
        <is>
          <t>FINSPÅNG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46225</v>
      </c>
      <c r="E622" s="1" t="n">
        <v>46237</v>
      </c>
      <c r="F622" t="inlineStr">
        <is>
          <t>ÖSTERGÖTLANDS LÄN</t>
        </is>
      </c>
      <c r="G622" t="inlineStr">
        <is>
          <t>FINSPÅNG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46226</v>
      </c>
      <c r="E623" s="1" t="n">
        <v>46237</v>
      </c>
      <c r="F623" t="inlineStr">
        <is>
          <t>ÖSTERGÖTLANDS LÄN</t>
        </is>
      </c>
      <c r="G623" t="inlineStr">
        <is>
          <t>FINSPÅNG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46226</v>
      </c>
      <c r="E624" s="1" t="n">
        <v>46237</v>
      </c>
      <c r="F624" t="inlineStr">
        <is>
          <t>ÖSTERGÖTLANDS LÄN</t>
        </is>
      </c>
      <c r="G624" t="inlineStr">
        <is>
          <t>FINSPÅNG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21907-2023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45068</v>
      </c>
      <c r="E625" s="1" t="n">
        <v>46237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46055</v>
      </c>
      <c r="E626" s="1" t="n">
        <v>46237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36192-2023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45149</v>
      </c>
      <c r="E627" s="1" t="n">
        <v>46237</v>
      </c>
      <c r="F627" t="inlineStr">
        <is>
          <t>ÖSTERGÖTLANDS LÄN</t>
        </is>
      </c>
      <c r="G627" t="inlineStr">
        <is>
          <t>FINSPÅNG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7274-2026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46058</v>
      </c>
      <c r="E628" s="1" t="n">
        <v>46237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46237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Övriga Aktiebolag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7193-2026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46058</v>
      </c>
      <c r="E630" s="1" t="n">
        <v>46237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54581-2024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45617</v>
      </c>
      <c r="E631" s="1" t="n">
        <v>46237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45302</v>
      </c>
      <c r="E632" s="1" t="n">
        <v>46237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44942</v>
      </c>
      <c r="E633" s="1" t="n">
        <v>46237</v>
      </c>
      <c r="F633" t="inlineStr">
        <is>
          <t>ÖSTERGÖTLANDS LÄN</t>
        </is>
      </c>
      <c r="G633" t="inlineStr">
        <is>
          <t>FINSPÅNG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31668-2026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46225</v>
      </c>
      <c r="E634" s="1" t="n">
        <v>46237</v>
      </c>
      <c r="F634" t="inlineStr">
        <is>
          <t>ÖSTERGÖTLANDS LÄN</t>
        </is>
      </c>
      <c r="G634" t="inlineStr">
        <is>
          <t>FINSPÅNG</t>
        </is>
      </c>
      <c r="I634" t="n">
        <v>10.5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7559-2026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46060</v>
      </c>
      <c r="E635" s="1" t="n">
        <v>46237</v>
      </c>
      <c r="F635" t="inlineStr">
        <is>
          <t>ÖSTERGÖTLANDS LÄN</t>
        </is>
      </c>
      <c r="G635" t="inlineStr">
        <is>
          <t>FINSPÅNG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10206-2022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44622</v>
      </c>
      <c r="E636" s="1" t="n">
        <v>46237</v>
      </c>
      <c r="F636" t="inlineStr">
        <is>
          <t>ÖSTERGÖTLANDS LÄN</t>
        </is>
      </c>
      <c r="G636" t="inlineStr">
        <is>
          <t>FINSPÅNG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46058</v>
      </c>
      <c r="E637" s="1" t="n">
        <v>46237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Övriga Aktiebolag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46064</v>
      </c>
      <c r="E638" s="1" t="n">
        <v>46237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Sveaskog</t>
        </is>
      </c>
      <c r="I638" t="n">
        <v>6.9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27018-2026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46237</v>
      </c>
      <c r="F639" t="inlineStr">
        <is>
          <t>ÖSTERGÖTLANDS LÄN</t>
        </is>
      </c>
      <c r="G639" t="inlineStr">
        <is>
          <t>FINSPÅNG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8228-2026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46064</v>
      </c>
      <c r="E640" s="1" t="n">
        <v>46237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Sveaskog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8245-2026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46237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44564</v>
      </c>
      <c r="E642" s="1" t="n">
        <v>46237</v>
      </c>
      <c r="F642" t="inlineStr">
        <is>
          <t>ÖSTERGÖTLANDS LÄN</t>
        </is>
      </c>
      <c r="G642" t="inlineStr">
        <is>
          <t>FINSPÅNG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44958</v>
      </c>
      <c r="E643" s="1" t="n">
        <v>46237</v>
      </c>
      <c r="F643" t="inlineStr">
        <is>
          <t>ÖSTERGÖTLANDS LÄN</t>
        </is>
      </c>
      <c r="G643" t="inlineStr">
        <is>
          <t>FINSPÅNG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27698-2023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45095</v>
      </c>
      <c r="E644" s="1" t="n">
        <v>46237</v>
      </c>
      <c r="F644" t="inlineStr">
        <is>
          <t>ÖSTERGÖTLANDS LÄN</t>
        </is>
      </c>
      <c r="G644" t="inlineStr">
        <is>
          <t>FINSPÅNG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8083-2026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46237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8270-2026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46064</v>
      </c>
      <c r="E646" s="1" t="n">
        <v>46237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Sveaskog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8079-2026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46237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8238-2026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46064</v>
      </c>
      <c r="E648" s="1" t="n">
        <v>46237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8266-2026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46064</v>
      </c>
      <c r="E649" s="1" t="n">
        <v>46237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Sveaskog</t>
        </is>
      </c>
      <c r="I649" t="n">
        <v>10.5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65742-2021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44516</v>
      </c>
      <c r="E650" s="1" t="n">
        <v>46237</v>
      </c>
      <c r="F650" t="inlineStr">
        <is>
          <t>ÖSTERGÖTLANDS LÄN</t>
        </is>
      </c>
      <c r="G650" t="inlineStr">
        <is>
          <t>FINSPÅNG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18134-2023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45040</v>
      </c>
      <c r="E651" s="1" t="n">
        <v>46237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8529-2026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46065</v>
      </c>
      <c r="E652" s="1" t="n">
        <v>46237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26905-2026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46185</v>
      </c>
      <c r="E653" s="1" t="n">
        <v>46237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9554-2022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44617</v>
      </c>
      <c r="E654" s="1" t="n">
        <v>46237</v>
      </c>
      <c r="F654" t="inlineStr">
        <is>
          <t>ÖSTERGÖTLANDS LÄN</t>
        </is>
      </c>
      <c r="G654" t="inlineStr">
        <is>
          <t>FINSPÅNG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53670-2024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45615</v>
      </c>
      <c r="E655" s="1" t="n">
        <v>46237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8553-2026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46065</v>
      </c>
      <c r="E656" s="1" t="n">
        <v>46237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9084-2026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46237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52561-2024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45609</v>
      </c>
      <c r="E658" s="1" t="n">
        <v>46237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9173-2026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46070</v>
      </c>
      <c r="E659" s="1" t="n">
        <v>46237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46237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40065-2024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45554</v>
      </c>
      <c r="E661" s="1" t="n">
        <v>46237</v>
      </c>
      <c r="F661" t="inlineStr">
        <is>
          <t>ÖSTERGÖTLANDS LÄN</t>
        </is>
      </c>
      <c r="G661" t="inlineStr">
        <is>
          <t>FINSPÅNG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27369-2026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46188</v>
      </c>
      <c r="E662" s="1" t="n">
        <v>46237</v>
      </c>
      <c r="F662" t="inlineStr">
        <is>
          <t>ÖSTERGÖTLANDS LÄN</t>
        </is>
      </c>
      <c r="G662" t="inlineStr">
        <is>
          <t>FINSPÅNG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46232</v>
      </c>
      <c r="E663" s="1" t="n">
        <v>46237</v>
      </c>
      <c r="F663" t="inlineStr">
        <is>
          <t>ÖSTERGÖTLANDS LÄN</t>
        </is>
      </c>
      <c r="G663" t="inlineStr">
        <is>
          <t>FINSPÅNG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39415-2024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45551</v>
      </c>
      <c r="E664" s="1" t="n">
        <v>46237</v>
      </c>
      <c r="F664" t="inlineStr">
        <is>
          <t>ÖSTERGÖTLANDS LÄN</t>
        </is>
      </c>
      <c r="G664" t="inlineStr">
        <is>
          <t>FINSPÅNG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44939</v>
      </c>
      <c r="E665" s="1" t="n">
        <v>46237</v>
      </c>
      <c r="F665" t="inlineStr">
        <is>
          <t>ÖSTERGÖTLANDS LÄN</t>
        </is>
      </c>
      <c r="G665" t="inlineStr">
        <is>
          <t>FINSPÅNG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47317-2023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45202</v>
      </c>
      <c r="E666" s="1" t="n">
        <v>46237</v>
      </c>
      <c r="F666" t="inlineStr">
        <is>
          <t>ÖSTERGÖTLANDS LÄN</t>
        </is>
      </c>
      <c r="G666" t="inlineStr">
        <is>
          <t>FINSPÅNG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10215-2022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44622</v>
      </c>
      <c r="E667" s="1" t="n">
        <v>46237</v>
      </c>
      <c r="F667" t="inlineStr">
        <is>
          <t>ÖSTERGÖTLANDS LÄN</t>
        </is>
      </c>
      <c r="G667" t="inlineStr">
        <is>
          <t>FINSPÅNG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9934-2026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46073</v>
      </c>
      <c r="E668" s="1" t="n">
        <v>46237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10296-2026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46076</v>
      </c>
      <c r="E669" s="1" t="n">
        <v>46237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46237</v>
      </c>
      <c r="F670" t="inlineStr">
        <is>
          <t>ÖSTERGÖTLANDS LÄN</t>
        </is>
      </c>
      <c r="G670" t="inlineStr">
        <is>
          <t>FINSPÅNG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10313-2026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46076</v>
      </c>
      <c r="E671" s="1" t="n">
        <v>46237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6.4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10872-2026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46078</v>
      </c>
      <c r="E672" s="1" t="n">
        <v>46237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11063-2026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46079</v>
      </c>
      <c r="E673" s="1" t="n">
        <v>46237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23724-2023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45077</v>
      </c>
      <c r="E674" s="1" t="n">
        <v>46237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48466-2023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45206</v>
      </c>
      <c r="E675" s="1" t="n">
        <v>46237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3096-2023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44946</v>
      </c>
      <c r="E676" s="1" t="n">
        <v>46237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44946</v>
      </c>
      <c r="E677" s="1" t="n">
        <v>46237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11251-2026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46080</v>
      </c>
      <c r="E678" s="1" t="n">
        <v>46237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24806-2023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45084</v>
      </c>
      <c r="E679" s="1" t="n">
        <v>46237</v>
      </c>
      <c r="F679" t="inlineStr">
        <is>
          <t>ÖSTERGÖTLANDS LÄN</t>
        </is>
      </c>
      <c r="G679" t="inlineStr">
        <is>
          <t>FINSPÅNG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24012-2024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45456</v>
      </c>
      <c r="E680" s="1" t="n">
        <v>46237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41328-2023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45174</v>
      </c>
      <c r="E681" s="1" t="n">
        <v>46237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Kyrkan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11146-2026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46080</v>
      </c>
      <c r="E682" s="1" t="n">
        <v>46237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Kyrkan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46080</v>
      </c>
      <c r="E683" s="1" t="n">
        <v>46237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45082</v>
      </c>
      <c r="E684" s="1" t="n">
        <v>46237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11211-2026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46080</v>
      </c>
      <c r="E685" s="1" t="n">
        <v>46237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11248-2026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46080</v>
      </c>
      <c r="E686" s="1" t="n">
        <v>46237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61114-2024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45645</v>
      </c>
      <c r="E687" s="1" t="n">
        <v>46237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45299</v>
      </c>
      <c r="E688" s="1" t="n">
        <v>46237</v>
      </c>
      <c r="F688" t="inlineStr">
        <is>
          <t>ÖSTERGÖTLANDS LÄN</t>
        </is>
      </c>
      <c r="G688" t="inlineStr">
        <is>
          <t>FINSPÅNG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10258-2025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45720</v>
      </c>
      <c r="E689" s="1" t="n">
        <v>46237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11807-2026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46237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11814-2026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46085</v>
      </c>
      <c r="E691" s="1" t="n">
        <v>46237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58313-2023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45250</v>
      </c>
      <c r="E692" s="1" t="n">
        <v>46237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48443-2023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45206</v>
      </c>
      <c r="E693" s="1" t="n">
        <v>46237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34758-2022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44795</v>
      </c>
      <c r="E694" s="1" t="n">
        <v>46237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Övriga Aktiebolag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11839-2026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46085</v>
      </c>
      <c r="E695" s="1" t="n">
        <v>46237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11813-2026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46237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44964</v>
      </c>
      <c r="E697" s="1" t="n">
        <v>46237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9635-2025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45715</v>
      </c>
      <c r="E698" s="1" t="n">
        <v>46237</v>
      </c>
      <c r="F698" t="inlineStr">
        <is>
          <t>ÖSTERGÖTLANDS LÄN</t>
        </is>
      </c>
      <c r="G698" t="inlineStr">
        <is>
          <t>FINSPÅNG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11730-2022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44634</v>
      </c>
      <c r="E699" s="1" t="n">
        <v>46237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18349-2025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45762</v>
      </c>
      <c r="E700" s="1" t="n">
        <v>46237</v>
      </c>
      <c r="F700" t="inlineStr">
        <is>
          <t>ÖSTERGÖTLANDS LÄN</t>
        </is>
      </c>
      <c r="G700" t="inlineStr">
        <is>
          <t>FINSPÅNG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52007-2024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45607</v>
      </c>
      <c r="E701" s="1" t="n">
        <v>46237</v>
      </c>
      <c r="F701" t="inlineStr">
        <is>
          <t>ÖSTERGÖTLANDS LÄN</t>
        </is>
      </c>
      <c r="G701" t="inlineStr">
        <is>
          <t>FINSPÅNG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52008-2024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45607</v>
      </c>
      <c r="E702" s="1" t="n">
        <v>46237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13365-2026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46237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13768-2026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46097</v>
      </c>
      <c r="E704" s="1" t="n">
        <v>46237</v>
      </c>
      <c r="F704" t="inlineStr">
        <is>
          <t>ÖSTERGÖTLANDS LÄN</t>
        </is>
      </c>
      <c r="G704" t="inlineStr">
        <is>
          <t>FINSPÅNG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58991-2021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44490</v>
      </c>
      <c r="E705" s="1" t="n">
        <v>46237</v>
      </c>
      <c r="F705" t="inlineStr">
        <is>
          <t>ÖSTERGÖTLANDS LÄN</t>
        </is>
      </c>
      <c r="G705" t="inlineStr">
        <is>
          <t>FINSPÅNG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14064-2026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46099</v>
      </c>
      <c r="E706" s="1" t="n">
        <v>46237</v>
      </c>
      <c r="F706" t="inlineStr">
        <is>
          <t>ÖSTERGÖTLANDS LÄN</t>
        </is>
      </c>
      <c r="G706" t="inlineStr">
        <is>
          <t>FINSPÅNG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14078-2026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46237</v>
      </c>
      <c r="F707" t="inlineStr">
        <is>
          <t>ÖSTERGÖTLANDS LÄN</t>
        </is>
      </c>
      <c r="G707" t="inlineStr">
        <is>
          <t>FINSPÅNG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46099</v>
      </c>
      <c r="E708" s="1" t="n">
        <v>46237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Sveaskog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14125-2026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46237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Sveaskog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14117-2026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46099</v>
      </c>
      <c r="E710" s="1" t="n">
        <v>46237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Sveaskog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35570-2023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45147</v>
      </c>
      <c r="E711" s="1" t="n">
        <v>46237</v>
      </c>
      <c r="F711" t="inlineStr">
        <is>
          <t>ÖSTERGÖTLANDS LÄN</t>
        </is>
      </c>
      <c r="G711" t="inlineStr">
        <is>
          <t>FINSPÅNG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19609-2025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45770</v>
      </c>
      <c r="E712" s="1" t="n">
        <v>46237</v>
      </c>
      <c r="F712" t="inlineStr">
        <is>
          <t>ÖSTERGÖTLANDS LÄN</t>
        </is>
      </c>
      <c r="G712" t="inlineStr">
        <is>
          <t>FINSPÅNG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15900-2025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45749</v>
      </c>
      <c r="E713" s="1" t="n">
        <v>46237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59702-2024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45639</v>
      </c>
      <c r="E714" s="1" t="n">
        <v>46237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8438-2025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45709</v>
      </c>
      <c r="E715" s="1" t="n">
        <v>46237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48790-2023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45209</v>
      </c>
      <c r="E716" s="1" t="n">
        <v>46237</v>
      </c>
      <c r="F716" t="inlineStr">
        <is>
          <t>ÖSTERGÖTLANDS LÄN</t>
        </is>
      </c>
      <c r="G716" t="inlineStr">
        <is>
          <t>FINSPÅNG</t>
        </is>
      </c>
      <c r="I716" t="n">
        <v>14.6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48793-2023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45209</v>
      </c>
      <c r="E717" s="1" t="n">
        <v>46237</v>
      </c>
      <c r="F717" t="inlineStr">
        <is>
          <t>ÖSTERGÖTLANDS LÄN</t>
        </is>
      </c>
      <c r="G717" t="inlineStr">
        <is>
          <t>FINSPÅNG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42705-2024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45566</v>
      </c>
      <c r="E718" s="1" t="n">
        <v>46237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42711-2024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45566</v>
      </c>
      <c r="E719" s="1" t="n">
        <v>46237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14031-2025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45740</v>
      </c>
      <c r="E720" s="1" t="n">
        <v>46237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56420-2023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45243</v>
      </c>
      <c r="E721" s="1" t="n">
        <v>46237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15490-2026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46106</v>
      </c>
      <c r="E722" s="1" t="n">
        <v>46237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45660</v>
      </c>
      <c r="E723" s="1" t="n">
        <v>46237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Övriga Aktiebolag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28722-2023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45103</v>
      </c>
      <c r="E724" s="1" t="n">
        <v>46237</v>
      </c>
      <c r="F724" t="inlineStr">
        <is>
          <t>ÖSTERGÖTLANDS LÄN</t>
        </is>
      </c>
      <c r="G724" t="inlineStr">
        <is>
          <t>FINSPÅNG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59287-2023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45253</v>
      </c>
      <c r="E725" s="1" t="n">
        <v>46237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28558-2023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45103</v>
      </c>
      <c r="E726" s="1" t="n">
        <v>46237</v>
      </c>
      <c r="F726" t="inlineStr">
        <is>
          <t>ÖSTERGÖTLANDS LÄN</t>
        </is>
      </c>
      <c r="G726" t="inlineStr">
        <is>
          <t>FINSPÅNG</t>
        </is>
      </c>
      <c r="I726" t="n">
        <v>11.1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54299-2023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45232</v>
      </c>
      <c r="E727" s="1" t="n">
        <v>46237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16355-2026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46237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15824-2022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44664</v>
      </c>
      <c r="E729" s="1" t="n">
        <v>46237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52557-2024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45609</v>
      </c>
      <c r="E730" s="1" t="n">
        <v>46237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16849-2026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46113</v>
      </c>
      <c r="E731" s="1" t="n">
        <v>46237</v>
      </c>
      <c r="F731" t="inlineStr">
        <is>
          <t>ÖSTERGÖTLANDS LÄN</t>
        </is>
      </c>
      <c r="G731" t="inlineStr">
        <is>
          <t>FINSPÅNG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63482-2023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45274</v>
      </c>
      <c r="E732" s="1" t="n">
        <v>46237</v>
      </c>
      <c r="F732" t="inlineStr">
        <is>
          <t>ÖSTERGÖTLANDS LÄN</t>
        </is>
      </c>
      <c r="G732" t="inlineStr">
        <is>
          <t>FINSPÅNG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16902-2026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46113</v>
      </c>
      <c r="E733" s="1" t="n">
        <v>46237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17068-2026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46114</v>
      </c>
      <c r="E734" s="1" t="n">
        <v>46237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17008-2026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46114</v>
      </c>
      <c r="E735" s="1" t="n">
        <v>46237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30920-2022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44767</v>
      </c>
      <c r="E736" s="1" t="n">
        <v>46237</v>
      </c>
      <c r="F736" t="inlineStr">
        <is>
          <t>ÖSTERGÖTLANDS LÄN</t>
        </is>
      </c>
      <c r="G736" t="inlineStr">
        <is>
          <t>FINSPÅNG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16996-2026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46114</v>
      </c>
      <c r="E737" s="1" t="n">
        <v>46237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10252-2025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45720</v>
      </c>
      <c r="E738" s="1" t="n">
        <v>46237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26247-2022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44735</v>
      </c>
      <c r="E739" s="1" t="n">
        <v>46237</v>
      </c>
      <c r="F739" t="inlineStr">
        <is>
          <t>ÖSTERGÖTLANDS LÄN</t>
        </is>
      </c>
      <c r="G739" t="inlineStr">
        <is>
          <t>FINSPÅNG</t>
        </is>
      </c>
      <c r="I739" t="n">
        <v>10.1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42678-2024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45566</v>
      </c>
      <c r="E740" s="1" t="n">
        <v>46237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42699-2024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45566</v>
      </c>
      <c r="E741" s="1" t="n">
        <v>46237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42682-2024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46237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17545-2026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46120</v>
      </c>
      <c r="E743" s="1" t="n">
        <v>46237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17594-2026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46121</v>
      </c>
      <c r="E744" s="1" t="n">
        <v>46237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Sveaskog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13392-2025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45735</v>
      </c>
      <c r="E745" s="1" t="n">
        <v>46237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13457-2025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45736</v>
      </c>
      <c r="E746" s="1" t="n">
        <v>46237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18086-2026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46125</v>
      </c>
      <c r="E747" s="1" t="n">
        <v>46237</v>
      </c>
      <c r="F747" t="inlineStr">
        <is>
          <t>ÖSTERGÖTLANDS LÄN</t>
        </is>
      </c>
      <c r="G747" t="inlineStr">
        <is>
          <t>FINSPÅNG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17769-2026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46122</v>
      </c>
      <c r="E748" s="1" t="n">
        <v>46237</v>
      </c>
      <c r="F748" t="inlineStr">
        <is>
          <t>ÖSTERGÖTLANDS LÄN</t>
        </is>
      </c>
      <c r="G748" t="inlineStr">
        <is>
          <t>FINSPÅNG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25195-2022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44729</v>
      </c>
      <c r="E749" s="1" t="n">
        <v>46237</v>
      </c>
      <c r="F749" t="inlineStr">
        <is>
          <t>ÖSTERGÖTLANDS LÄN</t>
        </is>
      </c>
      <c r="G749" t="inlineStr">
        <is>
          <t>FINSPÅNG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36191-2023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45149</v>
      </c>
      <c r="E750" s="1" t="n">
        <v>46237</v>
      </c>
      <c r="F750" t="inlineStr">
        <is>
          <t>ÖSTERGÖTLANDS LÄN</t>
        </is>
      </c>
      <c r="G750" t="inlineStr">
        <is>
          <t>FINSPÅNG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59799-2023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45257</v>
      </c>
      <c r="E751" s="1" t="n">
        <v>46237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35343-2024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45530</v>
      </c>
      <c r="E752" s="1" t="n">
        <v>46237</v>
      </c>
      <c r="F752" t="inlineStr">
        <is>
          <t>ÖSTERGÖTLANDS LÄN</t>
        </is>
      </c>
      <c r="G752" t="inlineStr">
        <is>
          <t>FINSPÅNG</t>
        </is>
      </c>
      <c r="I752" t="n">
        <v>7.2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46129</v>
      </c>
      <c r="E753" s="1" t="n">
        <v>46237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2741-2024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45314</v>
      </c>
      <c r="E754" s="1" t="n">
        <v>46237</v>
      </c>
      <c r="F754" t="inlineStr">
        <is>
          <t>ÖSTERGÖTLANDS LÄN</t>
        </is>
      </c>
      <c r="G754" t="inlineStr">
        <is>
          <t>FINSPÅNG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16680-2022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44672</v>
      </c>
      <c r="E755" s="1" t="n">
        <v>46237</v>
      </c>
      <c r="F755" t="inlineStr">
        <is>
          <t>ÖSTERGÖTLANDS LÄN</t>
        </is>
      </c>
      <c r="G755" t="inlineStr">
        <is>
          <t>FINSPÅNG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45308</v>
      </c>
      <c r="E756" s="1" t="n">
        <v>46237</v>
      </c>
      <c r="F756" t="inlineStr">
        <is>
          <t>ÖSTERGÖTLANDS LÄN</t>
        </is>
      </c>
      <c r="G756" t="inlineStr">
        <is>
          <t>FINSPÅNG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18725-2026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46128</v>
      </c>
      <c r="E757" s="1" t="n">
        <v>46237</v>
      </c>
      <c r="F757" t="inlineStr">
        <is>
          <t>ÖSTERGÖTLANDS LÄN</t>
        </is>
      </c>
      <c r="G757" t="inlineStr">
        <is>
          <t>FINSPÅNG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40319-2022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44823</v>
      </c>
      <c r="E758" s="1" t="n">
        <v>46237</v>
      </c>
      <c r="F758" t="inlineStr">
        <is>
          <t>ÖSTERGÖTLANDS LÄN</t>
        </is>
      </c>
      <c r="G758" t="inlineStr">
        <is>
          <t>FINSPÅNG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55980-2024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45623</v>
      </c>
      <c r="E759" s="1" t="n">
        <v>46237</v>
      </c>
      <c r="F759" t="inlineStr">
        <is>
          <t>ÖSTERGÖTLANDS LÄN</t>
        </is>
      </c>
      <c r="G759" t="inlineStr">
        <is>
          <t>FINSPÅNG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38613-2022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44813</v>
      </c>
      <c r="E760" s="1" t="n">
        <v>46237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43051-2022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44833</v>
      </c>
      <c r="E761" s="1" t="n">
        <v>46237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26195-2024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45468</v>
      </c>
      <c r="E762" s="1" t="n">
        <v>46237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12483-2024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45379</v>
      </c>
      <c r="E763" s="1" t="n">
        <v>46237</v>
      </c>
      <c r="F763" t="inlineStr">
        <is>
          <t>ÖSTERGÖTLANDS LÄN</t>
        </is>
      </c>
      <c r="G763" t="inlineStr">
        <is>
          <t>FINSPÅNG</t>
        </is>
      </c>
      <c r="I763" t="n">
        <v>11.9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2145-2024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45309</v>
      </c>
      <c r="E764" s="1" t="n">
        <v>46237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2152-2024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45309</v>
      </c>
      <c r="E765" s="1" t="n">
        <v>46237</v>
      </c>
      <c r="F765" t="inlineStr">
        <is>
          <t>ÖSTERGÖTLANDS LÄN</t>
        </is>
      </c>
      <c r="G765" t="inlineStr">
        <is>
          <t>FINSPÅNG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2164-2024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45309</v>
      </c>
      <c r="E766" s="1" t="n">
        <v>46237</v>
      </c>
      <c r="F766" t="inlineStr">
        <is>
          <t>ÖSTERGÖTLANDS LÄN</t>
        </is>
      </c>
      <c r="G766" t="inlineStr">
        <is>
          <t>FINSPÅNG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60249-2024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45642</v>
      </c>
      <c r="E767" s="1" t="n">
        <v>46237</v>
      </c>
      <c r="F767" t="inlineStr">
        <is>
          <t>ÖSTERGÖTLANDS LÄN</t>
        </is>
      </c>
      <c r="G767" t="inlineStr">
        <is>
          <t>FINSPÅNG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25188-2023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45086</v>
      </c>
      <c r="E768" s="1" t="n">
        <v>46237</v>
      </c>
      <c r="F768" t="inlineStr">
        <is>
          <t>ÖSTERGÖTLANDS LÄN</t>
        </is>
      </c>
      <c r="G768" t="inlineStr">
        <is>
          <t>FINSPÅNG</t>
        </is>
      </c>
      <c r="I768" t="n">
        <v>5.8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59838-2023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45257</v>
      </c>
      <c r="E769" s="1" t="n">
        <v>46237</v>
      </c>
      <c r="F769" t="inlineStr">
        <is>
          <t>ÖSTERGÖTLANDS LÄN</t>
        </is>
      </c>
      <c r="G769" t="inlineStr">
        <is>
          <t>FINSPÅNG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7825-2025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45706</v>
      </c>
      <c r="E770" s="1" t="n">
        <v>46237</v>
      </c>
      <c r="F770" t="inlineStr">
        <is>
          <t>ÖSTERGÖTLANDS LÄN</t>
        </is>
      </c>
      <c r="G770" t="inlineStr">
        <is>
          <t>FINSPÅNG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1137-2024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45302</v>
      </c>
      <c r="E771" s="1" t="n">
        <v>46237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6731-2023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46237</v>
      </c>
      <c r="F772" t="inlineStr">
        <is>
          <t>ÖSTERGÖTLANDS LÄN</t>
        </is>
      </c>
      <c r="G772" t="inlineStr">
        <is>
          <t>FINSPÅNG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62155-2023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45267</v>
      </c>
      <c r="E773" s="1" t="n">
        <v>46237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5333-2025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45692</v>
      </c>
      <c r="E774" s="1" t="n">
        <v>46237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35340-2024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45530</v>
      </c>
      <c r="E775" s="1" t="n">
        <v>46237</v>
      </c>
      <c r="F775" t="inlineStr">
        <is>
          <t>ÖSTERGÖTLANDS LÄN</t>
        </is>
      </c>
      <c r="G775" t="inlineStr">
        <is>
          <t>FINSPÅNG</t>
        </is>
      </c>
      <c r="I775" t="n">
        <v>7.9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14142-2025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45740</v>
      </c>
      <c r="E776" s="1" t="n">
        <v>46237</v>
      </c>
      <c r="F776" t="inlineStr">
        <is>
          <t>ÖSTERGÖTLANDS LÄN</t>
        </is>
      </c>
      <c r="G776" t="inlineStr">
        <is>
          <t>FINSPÅNG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30922-2022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44767</v>
      </c>
      <c r="E777" s="1" t="n">
        <v>46237</v>
      </c>
      <c r="F777" t="inlineStr">
        <is>
          <t>ÖSTERGÖTLANDS LÄN</t>
        </is>
      </c>
      <c r="G777" t="inlineStr">
        <is>
          <t>FINSPÅNG</t>
        </is>
      </c>
      <c r="I777" t="n">
        <v>10.6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43950-2025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45915</v>
      </c>
      <c r="E778" s="1" t="n">
        <v>46237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11523-2025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45727</v>
      </c>
      <c r="E779" s="1" t="n">
        <v>46237</v>
      </c>
      <c r="F779" t="inlineStr">
        <is>
          <t>ÖSTERGÖTLANDS LÄN</t>
        </is>
      </c>
      <c r="G779" t="inlineStr">
        <is>
          <t>FINSPÅNG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7826-2025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46237</v>
      </c>
      <c r="F780" t="inlineStr">
        <is>
          <t>ÖSTERGÖTLANDS LÄN</t>
        </is>
      </c>
      <c r="G780" t="inlineStr">
        <is>
          <t>FINSPÅNG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35278-2025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45853</v>
      </c>
      <c r="E781" s="1" t="n">
        <v>46237</v>
      </c>
      <c r="F781" t="inlineStr">
        <is>
          <t>ÖSTERGÖTLANDS LÄN</t>
        </is>
      </c>
      <c r="G781" t="inlineStr">
        <is>
          <t>FINSPÅNG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21722-2025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45783</v>
      </c>
      <c r="E782" s="1" t="n">
        <v>46237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39205-2022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44817</v>
      </c>
      <c r="E783" s="1" t="n">
        <v>46237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19710-2026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46237</v>
      </c>
      <c r="F784" t="inlineStr">
        <is>
          <t>ÖSTERGÖTLANDS LÄN</t>
        </is>
      </c>
      <c r="G784" t="inlineStr">
        <is>
          <t>FINSPÅNG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17992-2023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45040</v>
      </c>
      <c r="E785" s="1" t="n">
        <v>46237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11149-2024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45371</v>
      </c>
      <c r="E786" s="1" t="n">
        <v>46237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Kyrkan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5616-2022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44595</v>
      </c>
      <c r="E787" s="1" t="n">
        <v>46237</v>
      </c>
      <c r="F787" t="inlineStr">
        <is>
          <t>ÖSTERGÖTLANDS LÄN</t>
        </is>
      </c>
      <c r="G787" t="inlineStr">
        <is>
          <t>FINSPÅNG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8700-2025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45712</v>
      </c>
      <c r="E788" s="1" t="n">
        <v>46237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14110-2023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45009</v>
      </c>
      <c r="E789" s="1" t="n">
        <v>46237</v>
      </c>
      <c r="F789" t="inlineStr">
        <is>
          <t>ÖSTERGÖTLANDS LÄN</t>
        </is>
      </c>
      <c r="G789" t="inlineStr">
        <is>
          <t>FINSPÅNG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24804-2023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45084</v>
      </c>
      <c r="E790" s="1" t="n">
        <v>46237</v>
      </c>
      <c r="F790" t="inlineStr">
        <is>
          <t>ÖSTERGÖTLANDS LÄN</t>
        </is>
      </c>
      <c r="G790" t="inlineStr">
        <is>
          <t>FINSPÅNG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45700</v>
      </c>
      <c r="E791" s="1" t="n">
        <v>46237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33027-2022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44782</v>
      </c>
      <c r="E792" s="1" t="n">
        <v>46237</v>
      </c>
      <c r="F792" t="inlineStr">
        <is>
          <t>ÖSTERGÖTLANDS LÄN</t>
        </is>
      </c>
      <c r="G792" t="inlineStr">
        <is>
          <t>FINSPÅNG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22714-2022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44714</v>
      </c>
      <c r="E793" s="1" t="n">
        <v>46237</v>
      </c>
      <c r="F793" t="inlineStr">
        <is>
          <t>ÖSTERGÖTLANDS LÄN</t>
        </is>
      </c>
      <c r="G793" t="inlineStr">
        <is>
          <t>FINSPÅNG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45299</v>
      </c>
      <c r="E794" s="1" t="n">
        <v>46237</v>
      </c>
      <c r="F794" t="inlineStr">
        <is>
          <t>ÖSTERGÖTLANDS LÄN</t>
        </is>
      </c>
      <c r="G794" t="inlineStr">
        <is>
          <t>FINSPÅNG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29078-2022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44749</v>
      </c>
      <c r="E795" s="1" t="n">
        <v>46237</v>
      </c>
      <c r="F795" t="inlineStr">
        <is>
          <t>ÖSTERGÖTLANDS LÄN</t>
        </is>
      </c>
      <c r="G795" t="inlineStr">
        <is>
          <t>FINSPÅNG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49494-2022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44861</v>
      </c>
      <c r="E796" s="1" t="n">
        <v>46237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Naturvårdsverket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10420-2023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44987</v>
      </c>
      <c r="E797" s="1" t="n">
        <v>46237</v>
      </c>
      <c r="F797" t="inlineStr">
        <is>
          <t>ÖSTERGÖTLANDS LÄN</t>
        </is>
      </c>
      <c r="G797" t="inlineStr">
        <is>
          <t>FINSPÅNG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53610-2022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44879</v>
      </c>
      <c r="E798" s="1" t="n">
        <v>46237</v>
      </c>
      <c r="F798" t="inlineStr">
        <is>
          <t>ÖSTERGÖTLANDS LÄN</t>
        </is>
      </c>
      <c r="G798" t="inlineStr">
        <is>
          <t>FINSPÅNG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51610-2022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44871</v>
      </c>
      <c r="E799" s="1" t="n">
        <v>46237</v>
      </c>
      <c r="F799" t="inlineStr">
        <is>
          <t>ÖSTERGÖTLANDS LÄN</t>
        </is>
      </c>
      <c r="G799" t="inlineStr">
        <is>
          <t>FINSPÅNG</t>
        </is>
      </c>
      <c r="I799" t="n">
        <v>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68122-2021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44526</v>
      </c>
      <c r="E800" s="1" t="n">
        <v>46237</v>
      </c>
      <c r="F800" t="inlineStr">
        <is>
          <t>ÖSTERGÖTLANDS LÄN</t>
        </is>
      </c>
      <c r="G800" t="inlineStr">
        <is>
          <t>FINSPÅNG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24009-2025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46237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Naturvårdsverket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61012-2022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44914</v>
      </c>
      <c r="E802" s="1" t="n">
        <v>46237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24021-2025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45796</v>
      </c>
      <c r="E803" s="1" t="n">
        <v>46237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Naturvårdsverket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39114-2024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45548</v>
      </c>
      <c r="E804" s="1" t="n">
        <v>46237</v>
      </c>
      <c r="F804" t="inlineStr">
        <is>
          <t>ÖSTERGÖTLANDS LÄN</t>
        </is>
      </c>
      <c r="G804" t="inlineStr">
        <is>
          <t>FINSPÅNG</t>
        </is>
      </c>
      <c r="I804" t="n">
        <v>9.699999999999999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18488-2025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45763</v>
      </c>
      <c r="E805" s="1" t="n">
        <v>46237</v>
      </c>
      <c r="F805" t="inlineStr">
        <is>
          <t>ÖSTERGÖTLANDS LÄN</t>
        </is>
      </c>
      <c r="G805" t="inlineStr">
        <is>
          <t>FINSPÅNG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3169-2024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45316</v>
      </c>
      <c r="E806" s="1" t="n">
        <v>46237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Övriga Aktiebolag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24310-2025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45797</v>
      </c>
      <c r="E807" s="1" t="n">
        <v>46237</v>
      </c>
      <c r="F807" t="inlineStr">
        <is>
          <t>ÖSTERGÖTLANDS LÄN</t>
        </is>
      </c>
      <c r="G807" t="inlineStr">
        <is>
          <t>FINSPÅNG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62421-2021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44503</v>
      </c>
      <c r="E808" s="1" t="n">
        <v>46237</v>
      </c>
      <c r="F808" t="inlineStr">
        <is>
          <t>ÖSTERGÖTLANDS LÄN</t>
        </is>
      </c>
      <c r="G808" t="inlineStr">
        <is>
          <t>FINSPÅNG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24328-2025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45797</v>
      </c>
      <c r="E809" s="1" t="n">
        <v>46237</v>
      </c>
      <c r="F809" t="inlineStr">
        <is>
          <t>ÖSTERGÖTLANDS LÄN</t>
        </is>
      </c>
      <c r="G809" t="inlineStr">
        <is>
          <t>FINSPÅNG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59062-2024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45636</v>
      </c>
      <c r="E810" s="1" t="n">
        <v>46237</v>
      </c>
      <c r="F810" t="inlineStr">
        <is>
          <t>ÖSTERGÖTLANDS LÄN</t>
        </is>
      </c>
      <c r="G810" t="inlineStr">
        <is>
          <t>FINSPÅNG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24363-2025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45797</v>
      </c>
      <c r="E811" s="1" t="n">
        <v>46237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7131-2025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45702</v>
      </c>
      <c r="E812" s="1" t="n">
        <v>46237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7445-2022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44607</v>
      </c>
      <c r="E813" s="1" t="n">
        <v>46237</v>
      </c>
      <c r="F813" t="inlineStr">
        <is>
          <t>ÖSTERGÖTLANDS LÄN</t>
        </is>
      </c>
      <c r="G813" t="inlineStr">
        <is>
          <t>FINSPÅNG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25306-2025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46237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25272-2025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45800</v>
      </c>
      <c r="E815" s="1" t="n">
        <v>46237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Naturvårdsverket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25342-2025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45800</v>
      </c>
      <c r="E816" s="1" t="n">
        <v>46237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Naturvårdsverket</t>
        </is>
      </c>
      <c r="I816" t="n">
        <v>8.199999999999999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25319-2025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45800</v>
      </c>
      <c r="E817" s="1" t="n">
        <v>46237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Naturvårdsverket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27258-2025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45812</v>
      </c>
      <c r="E818" s="1" t="n">
        <v>46237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27192-2025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45812</v>
      </c>
      <c r="E819" s="1" t="n">
        <v>46237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27208-2025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45812</v>
      </c>
      <c r="E820" s="1" t="n">
        <v>46237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59701-2024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45639</v>
      </c>
      <c r="E821" s="1" t="n">
        <v>46237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27890-2025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45817</v>
      </c>
      <c r="E822" s="1" t="n">
        <v>46237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7.1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27879-2025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45817</v>
      </c>
      <c r="E823" s="1" t="n">
        <v>46237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7.5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28508-2025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45819</v>
      </c>
      <c r="E824" s="1" t="n">
        <v>46237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28428-2025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45819</v>
      </c>
      <c r="E825" s="1" t="n">
        <v>46237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28491-2025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45819</v>
      </c>
      <c r="E826" s="1" t="n">
        <v>46237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28792-2025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45820</v>
      </c>
      <c r="E827" s="1" t="n">
        <v>46237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29419-2025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45824</v>
      </c>
      <c r="E828" s="1" t="n">
        <v>46237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29454-2025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45824</v>
      </c>
      <c r="E829" s="1" t="n">
        <v>46237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29430-2025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45824</v>
      </c>
      <c r="E830" s="1" t="n">
        <v>46237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29441-2025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45824</v>
      </c>
      <c r="E831" s="1" t="n">
        <v>46237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32246-2025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45835</v>
      </c>
      <c r="E832" s="1" t="n">
        <v>46237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33159-2025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45840</v>
      </c>
      <c r="E833" s="1" t="n">
        <v>46237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34309-2025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45846</v>
      </c>
      <c r="E834" s="1" t="n">
        <v>46237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34172-2025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45845</v>
      </c>
      <c r="E835" s="1" t="n">
        <v>46237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20831-2025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45776</v>
      </c>
      <c r="E836" s="1" t="n">
        <v>46237</v>
      </c>
      <c r="F836" t="inlineStr">
        <is>
          <t>ÖSTERGÖTLANDS LÄN</t>
        </is>
      </c>
      <c r="G836" t="inlineStr">
        <is>
          <t>FINSPÅNG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35279-2025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45853</v>
      </c>
      <c r="E837" s="1" t="n">
        <v>46237</v>
      </c>
      <c r="F837" t="inlineStr">
        <is>
          <t>ÖSTERGÖTLANDS LÄN</t>
        </is>
      </c>
      <c r="G837" t="inlineStr">
        <is>
          <t>FINSPÅNG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35375-2025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45854</v>
      </c>
      <c r="E838" s="1" t="n">
        <v>46237</v>
      </c>
      <c r="F838" t="inlineStr">
        <is>
          <t>ÖSTERGÖTLANDS LÄN</t>
        </is>
      </c>
      <c r="G838" t="inlineStr">
        <is>
          <t>FINSPÅNG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35492-2025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45855</v>
      </c>
      <c r="E839" s="1" t="n">
        <v>46237</v>
      </c>
      <c r="F839" t="inlineStr">
        <is>
          <t>ÖSTERGÖTLANDS LÄN</t>
        </is>
      </c>
      <c r="G839" t="inlineStr">
        <is>
          <t>FINSPÅNG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35374-2025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45854</v>
      </c>
      <c r="E840" s="1" t="n">
        <v>46237</v>
      </c>
      <c r="F840" t="inlineStr">
        <is>
          <t>ÖSTERGÖTLANDS LÄN</t>
        </is>
      </c>
      <c r="G840" t="inlineStr">
        <is>
          <t>FINSPÅNG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33997-2024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45523</v>
      </c>
      <c r="E841" s="1" t="n">
        <v>46237</v>
      </c>
      <c r="F841" t="inlineStr">
        <is>
          <t>ÖSTERGÖTLANDS LÄN</t>
        </is>
      </c>
      <c r="G841" t="inlineStr">
        <is>
          <t>FINSPÅNG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31043-2025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45831</v>
      </c>
      <c r="E842" s="1" t="n">
        <v>46237</v>
      </c>
      <c r="F842" t="inlineStr">
        <is>
          <t>ÖSTERGÖTLANDS LÄN</t>
        </is>
      </c>
      <c r="G842" t="inlineStr">
        <is>
          <t>FINSPÅNG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35970-2025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45863</v>
      </c>
      <c r="E843" s="1" t="n">
        <v>46237</v>
      </c>
      <c r="F843" t="inlineStr">
        <is>
          <t>ÖSTERGÖTLANDS LÄN</t>
        </is>
      </c>
      <c r="G843" t="inlineStr">
        <is>
          <t>FINSPÅNG</t>
        </is>
      </c>
      <c r="I843" t="n">
        <v>22.6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36593-2025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45870</v>
      </c>
      <c r="E844" s="1" t="n">
        <v>46237</v>
      </c>
      <c r="F844" t="inlineStr">
        <is>
          <t>ÖSTERGÖTLANDS LÄN</t>
        </is>
      </c>
      <c r="G844" t="inlineStr">
        <is>
          <t>FINSPÅNG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28880-2025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45820</v>
      </c>
      <c r="E845" s="1" t="n">
        <v>46237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Holmen skog AB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36592-2025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45870</v>
      </c>
      <c r="E846" s="1" t="n">
        <v>46237</v>
      </c>
      <c r="F846" t="inlineStr">
        <is>
          <t>ÖSTERGÖTLANDS LÄN</t>
        </is>
      </c>
      <c r="G846" t="inlineStr">
        <is>
          <t>FINSPÅNG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8535-2025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45709</v>
      </c>
      <c r="E847" s="1" t="n">
        <v>46237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Holmen skog AB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37742-2025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45880</v>
      </c>
      <c r="E848" s="1" t="n">
        <v>46237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Holmen skog AB</t>
        </is>
      </c>
      <c r="I848" t="n">
        <v>0.2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37679-2025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45880</v>
      </c>
      <c r="E849" s="1" t="n">
        <v>46237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Holmen skog AB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37936-2025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45881</v>
      </c>
      <c r="E850" s="1" t="n">
        <v>46237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Naturvårdsverket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5129-2024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45644</v>
      </c>
      <c r="E851" s="1" t="n">
        <v>46237</v>
      </c>
      <c r="F851" t="inlineStr">
        <is>
          <t>ÖSTERGÖTLANDS LÄN</t>
        </is>
      </c>
      <c r="G851" t="inlineStr">
        <is>
          <t>FINSPÅNG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1605-2024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45428</v>
      </c>
      <c r="E852" s="1" t="n">
        <v>46237</v>
      </c>
      <c r="F852" t="inlineStr">
        <is>
          <t>ÖSTERGÖTLANDS LÄN</t>
        </is>
      </c>
      <c r="G852" t="inlineStr">
        <is>
          <t>FINSPÅNG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1637-2024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45429</v>
      </c>
      <c r="E853" s="1" t="n">
        <v>46237</v>
      </c>
      <c r="F853" t="inlineStr">
        <is>
          <t>ÖSTERGÖTLANDS LÄN</t>
        </is>
      </c>
      <c r="G853" t="inlineStr">
        <is>
          <t>FINSPÅNG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4163-2023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45250</v>
      </c>
      <c r="E854" s="1" t="n">
        <v>46237</v>
      </c>
      <c r="F854" t="inlineStr">
        <is>
          <t>ÖSTERGÖTLANDS LÄN</t>
        </is>
      </c>
      <c r="G854" t="inlineStr">
        <is>
          <t>FINSPÅNG</t>
        </is>
      </c>
      <c r="H854" t="inlineStr">
        <is>
          <t>Sveaskog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4854-2021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44413</v>
      </c>
      <c r="E855" s="1" t="n">
        <v>46237</v>
      </c>
      <c r="F855" t="inlineStr">
        <is>
          <t>ÖSTERGÖTLANDS LÄN</t>
        </is>
      </c>
      <c r="G855" t="inlineStr">
        <is>
          <t>FINSPÅNG</t>
        </is>
      </c>
      <c r="I855" t="n">
        <v>0.1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>
      <c r="A856" t="inlineStr">
        <is>
          <t>S 1759-2026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46188</v>
      </c>
      <c r="E856" s="1" t="n">
        <v>46237</v>
      </c>
      <c r="F856" t="inlineStr">
        <is>
          <t>ÖSTERGÖTLANDS LÄN</t>
        </is>
      </c>
      <c r="G856" t="inlineStr">
        <is>
          <t>FINSPÅNG</t>
        </is>
      </c>
      <c r="H856" t="inlineStr">
        <is>
          <t>Övriga Aktiebolag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2026-08-03T01:55:26Z</dcterms:created>
  <dcterms:modified xmlns:dcterms="http://purl.org/dc/terms/" xmlns:xsi="http://www.w3.org/2001/XMLSchema-instance" xsi:type="dcterms:W3CDTF">2026-08-03T01:55:27Z</dcterms:modified>
</cp:coreProperties>
</file>