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45976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45976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45976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45976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45976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45976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45976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45976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45976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45976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45976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45976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18935-2022</t>
        </is>
      </c>
      <c r="B27" s="1" t="n">
        <v>44690</v>
      </c>
      <c r="C27" s="1" t="n">
        <v>45976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Skogsklocka</t>
        </is>
      </c>
      <c r="S27">
        <f>HYPERLINK("https://klasma.github.io/Logging_0562/artfynd/A 18935-2022 artfynd.xlsx", "A 18935-2022")</f>
        <v/>
      </c>
      <c r="T27">
        <f>HYPERLINK("https://klasma.github.io/Logging_0562/kartor/A 18935-2022 karta.png", "A 18935-2022")</f>
        <v/>
      </c>
      <c r="V27">
        <f>HYPERLINK("https://klasma.github.io/Logging_0562/klagomål/A 18935-2022 FSC-klagomål.docx", "A 18935-2022")</f>
        <v/>
      </c>
      <c r="W27">
        <f>HYPERLINK("https://klasma.github.io/Logging_0562/klagomålsmail/A 18935-2022 FSC-klagomål mail.docx", "A 18935-2022")</f>
        <v/>
      </c>
      <c r="X27">
        <f>HYPERLINK("https://klasma.github.io/Logging_0562/tillsyn/A 18935-2022 tillsynsbegäran.docx", "A 18935-2022")</f>
        <v/>
      </c>
      <c r="Y27">
        <f>HYPERLINK("https://klasma.github.io/Logging_0562/tillsynsmail/A 18935-2022 tillsynsbegäran mail.docx", "A 18935-2022")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45976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45976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45976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45976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45976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45976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62160-2023</t>
        </is>
      </c>
      <c r="B34" s="1" t="n">
        <v>45267.39979166666</v>
      </c>
      <c r="C34" s="1" t="n">
        <v>45976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 taggsvamp
Skarp dropptaggsvamp</t>
        </is>
      </c>
      <c r="S34">
        <f>HYPERLINK("https://klasma.github.io/Logging_0562/artfynd/A 62160-2023 artfynd.xlsx", "A 62160-2023")</f>
        <v/>
      </c>
      <c r="T34">
        <f>HYPERLINK("https://klasma.github.io/Logging_0562/kartor/A 62160-2023 karta.png", "A 62160-2023")</f>
        <v/>
      </c>
      <c r="V34">
        <f>HYPERLINK("https://klasma.github.io/Logging_0562/klagomål/A 62160-2023 FSC-klagomål.docx", "A 62160-2023")</f>
        <v/>
      </c>
      <c r="W34">
        <f>HYPERLINK("https://klasma.github.io/Logging_0562/klagomålsmail/A 62160-2023 FSC-klagomål mail.docx", "A 62160-2023")</f>
        <v/>
      </c>
      <c r="X34">
        <f>HYPERLINK("https://klasma.github.io/Logging_0562/tillsyn/A 62160-2023 tillsynsbegäran.docx", "A 62160-2023")</f>
        <v/>
      </c>
      <c r="Y34">
        <f>HYPERLINK("https://klasma.github.io/Logging_0562/tillsynsmail/A 62160-2023 tillsynsbegäran mail.docx", "A 62160-2023")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45976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45976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45976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45976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45976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45976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45976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6035-2022</t>
        </is>
      </c>
      <c r="B42" s="1" t="n">
        <v>44599</v>
      </c>
      <c r="C42" s="1" t="n">
        <v>45976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Bred kärrtrollslända</t>
        </is>
      </c>
      <c r="S42">
        <f>HYPERLINK("https://klasma.github.io/Logging_0562/artfynd/A 6035-2022 artfynd.xlsx", "A 6035-2022")</f>
        <v/>
      </c>
      <c r="T42">
        <f>HYPERLINK("https://klasma.github.io/Logging_0562/kartor/A 6035-2022 karta.png", "A 6035-2022")</f>
        <v/>
      </c>
      <c r="V42">
        <f>HYPERLINK("https://klasma.github.io/Logging_0562/klagomål/A 6035-2022 FSC-klagomål.docx", "A 6035-2022")</f>
        <v/>
      </c>
      <c r="W42">
        <f>HYPERLINK("https://klasma.github.io/Logging_0562/klagomålsmail/A 6035-2022 FSC-klagomål mail.docx", "A 6035-2022")</f>
        <v/>
      </c>
      <c r="X42">
        <f>HYPERLINK("https://klasma.github.io/Logging_0562/tillsyn/A 6035-2022 tillsynsbegäran.docx", "A 6035-2022")</f>
        <v/>
      </c>
      <c r="Y42">
        <f>HYPERLINK("https://klasma.github.io/Logging_0562/tillsynsmail/A 6035-2022 tillsynsbegäran mail.docx", "A 6035-2022")</f>
        <v/>
      </c>
    </row>
    <row r="43" ht="15" customHeight="1">
      <c r="A43" t="inlineStr">
        <is>
          <t>A 37748-2025</t>
        </is>
      </c>
      <c r="B43" s="1" t="n">
        <v>45880.66829861111</v>
      </c>
      <c r="C43" s="1" t="n">
        <v>45976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HYPERLINK("https://klasma.github.io/Logging_0562/artfynd/A 37748-2025 artfynd.xlsx", "A 37748-2025")</f>
        <v/>
      </c>
      <c r="T43">
        <f>HYPERLINK("https://klasma.github.io/Logging_0562/kartor/A 37748-2025 karta.png", "A 37748-2025")</f>
        <v/>
      </c>
      <c r="V43">
        <f>HYPERLINK("https://klasma.github.io/Logging_0562/klagomål/A 37748-2025 FSC-klagomål.docx", "A 37748-2025")</f>
        <v/>
      </c>
      <c r="W43">
        <f>HYPERLINK("https://klasma.github.io/Logging_0562/klagomålsmail/A 37748-2025 FSC-klagomål mail.docx", "A 37748-2025")</f>
        <v/>
      </c>
      <c r="X43">
        <f>HYPERLINK("https://klasma.github.io/Logging_0562/tillsyn/A 37748-2025 tillsynsbegäran.docx", "A 37748-2025")</f>
        <v/>
      </c>
      <c r="Y43">
        <f>HYPERLINK("https://klasma.github.io/Logging_0562/tillsynsmail/A 37748-2025 tillsynsbegäran mail.docx", "A 37748-2025")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45976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4087-2025</t>
        </is>
      </c>
      <c r="B45" s="1" t="n">
        <v>45684.6628587963</v>
      </c>
      <c r="C45" s="1" t="n">
        <v>45976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HYPERLINK("https://klasma.github.io/Logging_0562/artfynd/A 4087-2025 artfynd.xlsx", "A 4087-2025")</f>
        <v/>
      </c>
      <c r="T45">
        <f>HYPERLINK("https://klasma.github.io/Logging_0562/kartor/A 4087-2025 karta.png", "A 4087-2025")</f>
        <v/>
      </c>
      <c r="V45">
        <f>HYPERLINK("https://klasma.github.io/Logging_0562/klagomål/A 4087-2025 FSC-klagomål.docx", "A 4087-2025")</f>
        <v/>
      </c>
      <c r="W45">
        <f>HYPERLINK("https://klasma.github.io/Logging_0562/klagomålsmail/A 4087-2025 FSC-klagomål mail.docx", "A 4087-2025")</f>
        <v/>
      </c>
      <c r="X45">
        <f>HYPERLINK("https://klasma.github.io/Logging_0562/tillsyn/A 4087-2025 tillsynsbegäran.docx", "A 4087-2025")</f>
        <v/>
      </c>
      <c r="Y45">
        <f>HYPERLINK("https://klasma.github.io/Logging_0562/tillsynsmail/A 4087-2025 tillsynsbegäran mail.docx", "A 4087-2025")</f>
        <v/>
      </c>
    </row>
    <row r="46" ht="15" customHeight="1">
      <c r="A46" t="inlineStr">
        <is>
          <t>A 40385-2024</t>
        </is>
      </c>
      <c r="B46" s="1" t="n">
        <v>45555.42803240741</v>
      </c>
      <c r="C46" s="1" t="n">
        <v>45976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40385-2024 artfynd.xlsx", "A 40385-2024")</f>
        <v/>
      </c>
      <c r="T46">
        <f>HYPERLINK("https://klasma.github.io/Logging_0562/kartor/A 40385-2024 karta.png", "A 40385-2024")</f>
        <v/>
      </c>
      <c r="V46">
        <f>HYPERLINK("https://klasma.github.io/Logging_0562/klagomål/A 40385-2024 FSC-klagomål.docx", "A 40385-2024")</f>
        <v/>
      </c>
      <c r="W46">
        <f>HYPERLINK("https://klasma.github.io/Logging_0562/klagomålsmail/A 40385-2024 FSC-klagomål mail.docx", "A 40385-2024")</f>
        <v/>
      </c>
      <c r="X46">
        <f>HYPERLINK("https://klasma.github.io/Logging_0562/tillsyn/A 40385-2024 tillsynsbegäran.docx", "A 40385-2024")</f>
        <v/>
      </c>
      <c r="Y46">
        <f>HYPERLINK("https://klasma.github.io/Logging_0562/tillsynsmail/A 40385-2024 tillsynsbegäran mail.docx", "A 40385-2024")</f>
        <v/>
      </c>
      <c r="Z46">
        <f>HYPERLINK("https://klasma.github.io/Logging_0562/fåglar/A 40385-2024 prioriterade fågelarter.docx", "A 40385-2024")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45976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45976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3096-2023</t>
        </is>
      </c>
      <c r="B49" s="1" t="n">
        <v>44946</v>
      </c>
      <c r="C49" s="1" t="n">
        <v>45976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Guldsandbi</t>
        </is>
      </c>
      <c r="S49">
        <f>HYPERLINK("https://klasma.github.io/Logging_0562/artfynd/A 3096-2023 artfynd.xlsx", "A 3096-2023")</f>
        <v/>
      </c>
      <c r="T49">
        <f>HYPERLINK("https://klasma.github.io/Logging_0562/kartor/A 3096-2023 karta.png", "A 3096-2023")</f>
        <v/>
      </c>
      <c r="V49">
        <f>HYPERLINK("https://klasma.github.io/Logging_0562/klagomål/A 3096-2023 FSC-klagomål.docx", "A 3096-2023")</f>
        <v/>
      </c>
      <c r="W49">
        <f>HYPERLINK("https://klasma.github.io/Logging_0562/klagomålsmail/A 3096-2023 FSC-klagomål mail.docx", "A 3096-2023")</f>
        <v/>
      </c>
      <c r="X49">
        <f>HYPERLINK("https://klasma.github.io/Logging_0562/tillsyn/A 3096-2023 tillsynsbegäran.docx", "A 3096-2023")</f>
        <v/>
      </c>
      <c r="Y49">
        <f>HYPERLINK("https://klasma.github.io/Logging_0562/tillsynsmail/A 3096-2023 tillsynsbegäran mail.docx", "A 3096-2023")</f>
        <v/>
      </c>
    </row>
    <row r="50" ht="15" customHeight="1">
      <c r="A50" t="inlineStr">
        <is>
          <t>A 36128-2023</t>
        </is>
      </c>
      <c r="B50" s="1" t="n">
        <v>45149.57418981481</v>
      </c>
      <c r="C50" s="1" t="n">
        <v>45976</v>
      </c>
      <c r="D50" t="inlineStr">
        <is>
          <t>ÖSTERGÖTLANDS LÄN</t>
        </is>
      </c>
      <c r="E50" t="inlineStr">
        <is>
          <t>FINSPÅNG</t>
        </is>
      </c>
      <c r="G50" t="n">
        <v>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36128-2023 artfynd.xlsx", "A 36128-2023")</f>
        <v/>
      </c>
      <c r="T50">
        <f>HYPERLINK("https://klasma.github.io/Logging_0562/kartor/A 36128-2023 karta.png", "A 36128-2023")</f>
        <v/>
      </c>
      <c r="V50">
        <f>HYPERLINK("https://klasma.github.io/Logging_0562/klagomål/A 36128-2023 FSC-klagomål.docx", "A 36128-2023")</f>
        <v/>
      </c>
      <c r="W50">
        <f>HYPERLINK("https://klasma.github.io/Logging_0562/klagomålsmail/A 36128-2023 FSC-klagomål mail.docx", "A 36128-2023")</f>
        <v/>
      </c>
      <c r="X50">
        <f>HYPERLINK("https://klasma.github.io/Logging_0562/tillsyn/A 36128-2023 tillsynsbegäran.docx", "A 36128-2023")</f>
        <v/>
      </c>
      <c r="Y50">
        <f>HYPERLINK("https://klasma.github.io/Logging_0562/tillsynsmail/A 36128-2023 tillsynsbegäran mail.docx", "A 36128-2023")</f>
        <v/>
      </c>
      <c r="Z50">
        <f>HYPERLINK("https://klasma.github.io/Logging_0562/fåglar/A 36128-2023 prioriterade fågelarter.docx", "A 36128-2023")</f>
        <v/>
      </c>
    </row>
    <row r="51" ht="15" customHeight="1">
      <c r="A51" t="inlineStr">
        <is>
          <t>A 53265-2023</t>
        </is>
      </c>
      <c r="B51" s="1" t="n">
        <v>45229</v>
      </c>
      <c r="C51" s="1" t="n">
        <v>45976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HYPERLINK("https://klasma.github.io/Logging_0562/artfynd/A 53265-2023 artfynd.xlsx", "A 53265-2023")</f>
        <v/>
      </c>
      <c r="T51">
        <f>HYPERLINK("https://klasma.github.io/Logging_0562/kartor/A 53265-2023 karta.png", "A 53265-2023")</f>
        <v/>
      </c>
      <c r="V51">
        <f>HYPERLINK("https://klasma.github.io/Logging_0562/klagomål/A 53265-2023 FSC-klagomål.docx", "A 53265-2023")</f>
        <v/>
      </c>
      <c r="W51">
        <f>HYPERLINK("https://klasma.github.io/Logging_0562/klagomålsmail/A 53265-2023 FSC-klagomål mail.docx", "A 53265-2023")</f>
        <v/>
      </c>
      <c r="X51">
        <f>HYPERLINK("https://klasma.github.io/Logging_0562/tillsyn/A 53265-2023 tillsynsbegäran.docx", "A 53265-2023")</f>
        <v/>
      </c>
      <c r="Y51">
        <f>HYPERLINK("https://klasma.github.io/Logging_0562/tillsynsmail/A 53265-2023 tillsynsbegäran mail.docx", "A 53265-2023")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45976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42452-2025</t>
        </is>
      </c>
      <c r="B53" s="1" t="n">
        <v>45905.44513888889</v>
      </c>
      <c r="C53" s="1" t="n">
        <v>45976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Knippnejlika</t>
        </is>
      </c>
      <c r="S53">
        <f>HYPERLINK("https://klasma.github.io/Logging_0562/artfynd/A 42452-2025 artfynd.xlsx", "A 42452-2025")</f>
        <v/>
      </c>
      <c r="T53">
        <f>HYPERLINK("https://klasma.github.io/Logging_0562/kartor/A 42452-2025 karta.png", "A 42452-2025")</f>
        <v/>
      </c>
      <c r="V53">
        <f>HYPERLINK("https://klasma.github.io/Logging_0562/klagomål/A 42452-2025 FSC-klagomål.docx", "A 42452-2025")</f>
        <v/>
      </c>
      <c r="W53">
        <f>HYPERLINK("https://klasma.github.io/Logging_0562/klagomålsmail/A 42452-2025 FSC-klagomål mail.docx", "A 42452-2025")</f>
        <v/>
      </c>
      <c r="X53">
        <f>HYPERLINK("https://klasma.github.io/Logging_0562/tillsyn/A 42452-2025 tillsynsbegäran.docx", "A 42452-2025")</f>
        <v/>
      </c>
      <c r="Y53">
        <f>HYPERLINK("https://klasma.github.io/Logging_0562/tillsynsmail/A 42452-2025 tillsynsbegäran mail.docx", "A 42452-2025")</f>
        <v/>
      </c>
    </row>
    <row r="54" ht="15" customHeight="1">
      <c r="A54" t="inlineStr">
        <is>
          <t>A 42837-2024</t>
        </is>
      </c>
      <c r="B54" s="1" t="n">
        <v>45566</v>
      </c>
      <c r="C54" s="1" t="n">
        <v>45976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42837-2024 artfynd.xlsx", "A 42837-2024")</f>
        <v/>
      </c>
      <c r="T54">
        <f>HYPERLINK("https://klasma.github.io/Logging_0562/kartor/A 42837-2024 karta.png", "A 42837-2024")</f>
        <v/>
      </c>
      <c r="U54">
        <f>HYPERLINK("https://klasma.github.io/Logging_0562/knärot/A 42837-2024 karta knärot.png", "A 42837-2024")</f>
        <v/>
      </c>
      <c r="V54">
        <f>HYPERLINK("https://klasma.github.io/Logging_0562/klagomål/A 42837-2024 FSC-klagomål.docx", "A 42837-2024")</f>
        <v/>
      </c>
      <c r="W54">
        <f>HYPERLINK("https://klasma.github.io/Logging_0562/klagomålsmail/A 42837-2024 FSC-klagomål mail.docx", "A 42837-2024")</f>
        <v/>
      </c>
      <c r="X54">
        <f>HYPERLINK("https://klasma.github.io/Logging_0562/tillsyn/A 42837-2024 tillsynsbegäran.docx", "A 42837-2024")</f>
        <v/>
      </c>
      <c r="Y54">
        <f>HYPERLINK("https://klasma.github.io/Logging_0562/tillsynsmail/A 42837-2024 tillsynsbegäran mail.docx", "A 42837-2024")</f>
        <v/>
      </c>
    </row>
    <row r="55" ht="15" customHeight="1">
      <c r="A55" t="inlineStr">
        <is>
          <t>A 42366-2025</t>
        </is>
      </c>
      <c r="B55" s="1" t="n">
        <v>45905.32633101852</v>
      </c>
      <c r="C55" s="1" t="n">
        <v>45976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 vedfingersvamp</t>
        </is>
      </c>
      <c r="S55">
        <f>HYPERLINK("https://klasma.github.io/Logging_0562/artfynd/A 42366-2025 artfynd.xlsx", "A 42366-2025")</f>
        <v/>
      </c>
      <c r="T55">
        <f>HYPERLINK("https://klasma.github.io/Logging_0562/kartor/A 42366-2025 karta.png", "A 42366-2025")</f>
        <v/>
      </c>
      <c r="V55">
        <f>HYPERLINK("https://klasma.github.io/Logging_0562/klagomål/A 42366-2025 FSC-klagomål.docx", "A 42366-2025")</f>
        <v/>
      </c>
      <c r="W55">
        <f>HYPERLINK("https://klasma.github.io/Logging_0562/klagomålsmail/A 42366-2025 FSC-klagomål mail.docx", "A 42366-2025")</f>
        <v/>
      </c>
      <c r="X55">
        <f>HYPERLINK("https://klasma.github.io/Logging_0562/tillsyn/A 42366-2025 tillsynsbegäran.docx", "A 42366-2025")</f>
        <v/>
      </c>
      <c r="Y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45976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45976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45976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45976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45976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45976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45976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47992-2025</t>
        </is>
      </c>
      <c r="B63" s="1" t="n">
        <v>45932.62390046296</v>
      </c>
      <c r="C63" s="1" t="n">
        <v>45976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47992-2025 artfynd.xlsx", "A 47992-2025")</f>
        <v/>
      </c>
      <c r="T63">
        <f>HYPERLINK("https://klasma.github.io/Logging_0562/kartor/A 47992-2025 karta.png", "A 47992-2025")</f>
        <v/>
      </c>
      <c r="V63">
        <f>HYPERLINK("https://klasma.github.io/Logging_0562/klagomål/A 47992-2025 FSC-klagomål.docx", "A 47992-2025")</f>
        <v/>
      </c>
      <c r="W63">
        <f>HYPERLINK("https://klasma.github.io/Logging_0562/klagomålsmail/A 47992-2025 FSC-klagomål mail.docx", "A 47992-2025")</f>
        <v/>
      </c>
      <c r="X63">
        <f>HYPERLINK("https://klasma.github.io/Logging_0562/tillsyn/A 47992-2025 tillsynsbegäran.docx", "A 47992-2025")</f>
        <v/>
      </c>
      <c r="Y63">
        <f>HYPERLINK("https://klasma.github.io/Logging_0562/tillsynsmail/A 47992-2025 tillsynsbegäran mail.docx", "A 47992-2025")</f>
        <v/>
      </c>
    </row>
    <row r="64" ht="15" customHeight="1">
      <c r="A64" t="inlineStr">
        <is>
          <t>A 18462-2024</t>
        </is>
      </c>
      <c r="B64" s="1" t="n">
        <v>45425.47636574074</v>
      </c>
      <c r="C64" s="1" t="n">
        <v>45976</v>
      </c>
      <c r="D64" t="inlineStr">
        <is>
          <t>ÖSTERGÖTLANDS LÄN</t>
        </is>
      </c>
      <c r="E64" t="inlineStr">
        <is>
          <t>FINSPÅNG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HYPERLINK("https://klasma.github.io/Logging_0562/artfynd/A 18462-2024 artfynd.xlsx", "A 18462-2024")</f>
        <v/>
      </c>
      <c r="T64">
        <f>HYPERLINK("https://klasma.github.io/Logging_0562/kartor/A 18462-2024 karta.png", "A 18462-2024")</f>
        <v/>
      </c>
      <c r="V64">
        <f>HYPERLINK("https://klasma.github.io/Logging_0562/klagomål/A 18462-2024 FSC-klagomål.docx", "A 18462-2024")</f>
        <v/>
      </c>
      <c r="W64">
        <f>HYPERLINK("https://klasma.github.io/Logging_0562/klagomålsmail/A 18462-2024 FSC-klagomål mail.docx", "A 18462-2024")</f>
        <v/>
      </c>
      <c r="X64">
        <f>HYPERLINK("https://klasma.github.io/Logging_0562/tillsyn/A 18462-2024 tillsynsbegäran.docx", "A 18462-2024")</f>
        <v/>
      </c>
      <c r="Y64">
        <f>HYPERLINK("https://klasma.github.io/Logging_0562/tillsynsmail/A 18462-2024 tillsynsbegäran mail.docx", "A 18462-2024")</f>
        <v/>
      </c>
    </row>
    <row r="65" ht="15" customHeight="1">
      <c r="A65" t="inlineStr">
        <is>
          <t>A 50639-2024</t>
        </is>
      </c>
      <c r="B65" s="1" t="n">
        <v>45601.67776620371</v>
      </c>
      <c r="C65" s="1" t="n">
        <v>45976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HYPERLINK("https://klasma.github.io/Logging_0562/artfynd/A 50639-2024 artfynd.xlsx", "A 50639-2024")</f>
        <v/>
      </c>
      <c r="T65">
        <f>HYPERLINK("https://klasma.github.io/Logging_0562/kartor/A 50639-2024 karta.png", "A 50639-2024")</f>
        <v/>
      </c>
      <c r="V65">
        <f>HYPERLINK("https://klasma.github.io/Logging_0562/klagomål/A 50639-2024 FSC-klagomål.docx", "A 50639-2024")</f>
        <v/>
      </c>
      <c r="W65">
        <f>HYPERLINK("https://klasma.github.io/Logging_0562/klagomålsmail/A 50639-2024 FSC-klagomål mail.docx", "A 50639-2024")</f>
        <v/>
      </c>
      <c r="X65">
        <f>HYPERLINK("https://klasma.github.io/Logging_0562/tillsyn/A 50639-2024 tillsynsbegäran.docx", "A 50639-2024")</f>
        <v/>
      </c>
      <c r="Y65">
        <f>HYPERLINK("https://klasma.github.io/Logging_0562/tillsynsmail/A 50639-2024 tillsynsbegäran mail.docx", "A 50639-2024")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45976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11118-2025</t>
        </is>
      </c>
      <c r="B67" s="1" t="n">
        <v>45723.63261574074</v>
      </c>
      <c r="C67" s="1" t="n">
        <v>45976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11118-2025 artfynd.xlsx", "A 11118-2025")</f>
        <v/>
      </c>
      <c r="T67">
        <f>HYPERLINK("https://klasma.github.io/Logging_0562/kartor/A 11118-2025 karta.png", "A 11118-2025")</f>
        <v/>
      </c>
      <c r="V67">
        <f>HYPERLINK("https://klasma.github.io/Logging_0562/klagomål/A 11118-2025 FSC-klagomål.docx", "A 11118-2025")</f>
        <v/>
      </c>
      <c r="W67">
        <f>HYPERLINK("https://klasma.github.io/Logging_0562/klagomålsmail/A 11118-2025 FSC-klagomål mail.docx", "A 11118-2025")</f>
        <v/>
      </c>
      <c r="X67">
        <f>HYPERLINK("https://klasma.github.io/Logging_0562/tillsyn/A 11118-2025 tillsynsbegäran.docx", "A 11118-2025")</f>
        <v/>
      </c>
      <c r="Y67">
        <f>HYPERLINK("https://klasma.github.io/Logging_0562/tillsynsmail/A 11118-2025 tillsynsbegäran mail.docx", "A 11118-2025")</f>
        <v/>
      </c>
    </row>
    <row r="68" ht="15" customHeight="1">
      <c r="A68" t="inlineStr">
        <is>
          <t>A 61104-2022</t>
        </is>
      </c>
      <c r="B68" s="1" t="n">
        <v>44915</v>
      </c>
      <c r="C68" s="1" t="n">
        <v>45976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HYPERLINK("https://klasma.github.io/Logging_0562/artfynd/A 61104-2022 artfynd.xlsx", "A 61104-2022")</f>
        <v/>
      </c>
      <c r="T68">
        <f>HYPERLINK("https://klasma.github.io/Logging_0562/kartor/A 61104-2022 karta.png", "A 61104-2022")</f>
        <v/>
      </c>
      <c r="V68">
        <f>HYPERLINK("https://klasma.github.io/Logging_0562/klagomål/A 61104-2022 FSC-klagomål.docx", "A 61104-2022")</f>
        <v/>
      </c>
      <c r="W68">
        <f>HYPERLINK("https://klasma.github.io/Logging_0562/klagomålsmail/A 61104-2022 FSC-klagomål mail.docx", "A 61104-2022")</f>
        <v/>
      </c>
      <c r="X68">
        <f>HYPERLINK("https://klasma.github.io/Logging_0562/tillsyn/A 61104-2022 tillsynsbegäran.docx", "A 61104-2022")</f>
        <v/>
      </c>
      <c r="Y68">
        <f>HYPERLINK("https://klasma.github.io/Logging_0562/tillsynsmail/A 61104-2022 tillsynsbegäran mail.docx", "A 61104-2022")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45976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45976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45976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45976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45976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45976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45976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45976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45976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45976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45976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15434-2021</t>
        </is>
      </c>
      <c r="B84" s="1" t="n">
        <v>44285</v>
      </c>
      <c r="C84" s="1" t="n">
        <v>45976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45976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45976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45976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45976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45976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45976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45976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45976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45976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45976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45976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45976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45976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45976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45976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45976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45976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45976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45976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45976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45976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45976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45976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45976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45976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45976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45976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45976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45976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45976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45976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45976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45976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45976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45976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45976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45976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45976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45976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45976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45976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45976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45976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45976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45976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45976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45976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45976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45976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45976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45976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45976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45976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45976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45976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45976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45976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45976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45976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45976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45976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45976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3416-2021</t>
        </is>
      </c>
      <c r="B164" s="1" t="n">
        <v>44218</v>
      </c>
      <c r="C164" s="1" t="n">
        <v>45976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45976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45976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45976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45976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45976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45976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45976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29472-2022</t>
        </is>
      </c>
      <c r="B172" s="1" t="n">
        <v>44753</v>
      </c>
      <c r="C172" s="1" t="n">
        <v>45976</v>
      </c>
      <c r="D172" t="inlineStr">
        <is>
          <t>ÖSTERGÖTLANDS LÄN</t>
        </is>
      </c>
      <c r="E172" t="inlineStr">
        <is>
          <t>FINSPÅNG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45976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45976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45976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64-2022</t>
        </is>
      </c>
      <c r="B176" s="1" t="n">
        <v>44564.46180555555</v>
      </c>
      <c r="C176" s="1" t="n">
        <v>45976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51448-2021</t>
        </is>
      </c>
      <c r="B177" s="1" t="n">
        <v>44462</v>
      </c>
      <c r="C177" s="1" t="n">
        <v>45976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45976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45976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45976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43165-2021</t>
        </is>
      </c>
      <c r="B181" s="1" t="n">
        <v>44431</v>
      </c>
      <c r="C181" s="1" t="n">
        <v>45976</v>
      </c>
      <c r="D181" t="inlineStr">
        <is>
          <t>ÖSTERGÖTLANDS LÄN</t>
        </is>
      </c>
      <c r="E181" t="inlineStr">
        <is>
          <t>FINSPÅNG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5622-2022</t>
        </is>
      </c>
      <c r="B182" s="1" t="n">
        <v>44595.73182870371</v>
      </c>
      <c r="C182" s="1" t="n">
        <v>45976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64617-2020</t>
        </is>
      </c>
      <c r="B183" s="1" t="n">
        <v>44169</v>
      </c>
      <c r="C183" s="1" t="n">
        <v>45976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3109-2022</t>
        </is>
      </c>
      <c r="B184" s="1" t="n">
        <v>44582</v>
      </c>
      <c r="C184" s="1" t="n">
        <v>45976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45976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39014-2022</t>
        </is>
      </c>
      <c r="B186" s="1" t="n">
        <v>44816</v>
      </c>
      <c r="C186" s="1" t="n">
        <v>45976</v>
      </c>
      <c r="D186" t="inlineStr">
        <is>
          <t>ÖSTERGÖTLANDS LÄN</t>
        </is>
      </c>
      <c r="E186" t="inlineStr">
        <is>
          <t>FINSPÅNG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14820-2022</t>
        </is>
      </c>
      <c r="B187" s="1" t="n">
        <v>44656.51680555556</v>
      </c>
      <c r="C187" s="1" t="n">
        <v>45976</v>
      </c>
      <c r="D187" t="inlineStr">
        <is>
          <t>ÖSTERGÖTLANDS LÄN</t>
        </is>
      </c>
      <c r="E187" t="inlineStr">
        <is>
          <t>FINSPÅNG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45976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10885-2022</t>
        </is>
      </c>
      <c r="B189" s="1" t="n">
        <v>44627</v>
      </c>
      <c r="C189" s="1" t="n">
        <v>45976</v>
      </c>
      <c r="D189" t="inlineStr">
        <is>
          <t>ÖSTERGÖTLANDS LÄN</t>
        </is>
      </c>
      <c r="E189" t="inlineStr">
        <is>
          <t>FINSPÅNG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3845-2022</t>
        </is>
      </c>
      <c r="B190" s="1" t="n">
        <v>44587</v>
      </c>
      <c r="C190" s="1" t="n">
        <v>45976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45976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45976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40179-2022</t>
        </is>
      </c>
      <c r="B193" s="1" t="n">
        <v>44820.58339120371</v>
      </c>
      <c r="C193" s="1" t="n">
        <v>45976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9122-2021</t>
        </is>
      </c>
      <c r="B194" s="1" t="n">
        <v>44249</v>
      </c>
      <c r="C194" s="1" t="n">
        <v>45976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62736-2021</t>
        </is>
      </c>
      <c r="B195" s="1" t="n">
        <v>44504</v>
      </c>
      <c r="C195" s="1" t="n">
        <v>45976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67208-2020</t>
        </is>
      </c>
      <c r="B196" s="1" t="n">
        <v>44180</v>
      </c>
      <c r="C196" s="1" t="n">
        <v>45976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69717-2021</t>
        </is>
      </c>
      <c r="B197" s="1" t="n">
        <v>44532</v>
      </c>
      <c r="C197" s="1" t="n">
        <v>45976</v>
      </c>
      <c r="D197" t="inlineStr">
        <is>
          <t>ÖSTERGÖTLANDS LÄN</t>
        </is>
      </c>
      <c r="E197" t="inlineStr">
        <is>
          <t>FINSPÅNG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73831-2021</t>
        </is>
      </c>
      <c r="B198" s="1" t="n">
        <v>44552</v>
      </c>
      <c r="C198" s="1" t="n">
        <v>45976</v>
      </c>
      <c r="D198" t="inlineStr">
        <is>
          <t>ÖSTERGÖTLANDS LÄN</t>
        </is>
      </c>
      <c r="E198" t="inlineStr">
        <is>
          <t>FINSPÅNG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9832-2021</t>
        </is>
      </c>
      <c r="B199" s="1" t="n">
        <v>44253</v>
      </c>
      <c r="C199" s="1" t="n">
        <v>45976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53609-2022</t>
        </is>
      </c>
      <c r="B200" s="1" t="n">
        <v>44879.75467592593</v>
      </c>
      <c r="C200" s="1" t="n">
        <v>45976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10465-2021</t>
        </is>
      </c>
      <c r="B201" s="1" t="n">
        <v>44257</v>
      </c>
      <c r="C201" s="1" t="n">
        <v>45976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45976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39917-2022</t>
        </is>
      </c>
      <c r="B203" s="1" t="n">
        <v>44819</v>
      </c>
      <c r="C203" s="1" t="n">
        <v>45976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3013-2022</t>
        </is>
      </c>
      <c r="B204" s="1" t="n">
        <v>44581</v>
      </c>
      <c r="C204" s="1" t="n">
        <v>45976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13161-2021</t>
        </is>
      </c>
      <c r="B205" s="1" t="n">
        <v>44272</v>
      </c>
      <c r="C205" s="1" t="n">
        <v>45976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55620-2021</t>
        </is>
      </c>
      <c r="B206" s="1" t="n">
        <v>44476</v>
      </c>
      <c r="C206" s="1" t="n">
        <v>45976</v>
      </c>
      <c r="D206" t="inlineStr">
        <is>
          <t>ÖSTERGÖTLANDS LÄN</t>
        </is>
      </c>
      <c r="E206" t="inlineStr">
        <is>
          <t>FINSPÅNG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2805-2022</t>
        </is>
      </c>
      <c r="B207" s="1" t="n">
        <v>44581</v>
      </c>
      <c r="C207" s="1" t="n">
        <v>45976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11450-2022</t>
        </is>
      </c>
      <c r="B208" s="1" t="n">
        <v>44630.64725694444</v>
      </c>
      <c r="C208" s="1" t="n">
        <v>45976</v>
      </c>
      <c r="D208" t="inlineStr">
        <is>
          <t>ÖSTERGÖTLANDS LÄN</t>
        </is>
      </c>
      <c r="E208" t="inlineStr">
        <is>
          <t>FINSPÅNG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4213-2022</t>
        </is>
      </c>
      <c r="B209" s="1" t="n">
        <v>44588.61754629629</v>
      </c>
      <c r="C209" s="1" t="n">
        <v>45976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67794-2020</t>
        </is>
      </c>
      <c r="B210" s="1" t="n">
        <v>44182</v>
      </c>
      <c r="C210" s="1" t="n">
        <v>45976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7242-2021</t>
        </is>
      </c>
      <c r="B211" s="1" t="n">
        <v>44238</v>
      </c>
      <c r="C211" s="1" t="n">
        <v>45976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20226-2021</t>
        </is>
      </c>
      <c r="B212" s="1" t="n">
        <v>44314</v>
      </c>
      <c r="C212" s="1" t="n">
        <v>45976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9159-2021</t>
        </is>
      </c>
      <c r="B213" s="1" t="n">
        <v>44249</v>
      </c>
      <c r="C213" s="1" t="n">
        <v>45976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8703-2021</t>
        </is>
      </c>
      <c r="B214" s="1" t="n">
        <v>44246</v>
      </c>
      <c r="C214" s="1" t="n">
        <v>45976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21190-2022</t>
        </is>
      </c>
      <c r="B215" s="1" t="n">
        <v>44704.93234953703</v>
      </c>
      <c r="C215" s="1" t="n">
        <v>45976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53545-2021</t>
        </is>
      </c>
      <c r="B216" s="1" t="n">
        <v>44469</v>
      </c>
      <c r="C216" s="1" t="n">
        <v>45976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83-2022</t>
        </is>
      </c>
      <c r="B217" s="1" t="n">
        <v>44564.47854166666</v>
      </c>
      <c r="C217" s="1" t="n">
        <v>45976</v>
      </c>
      <c r="D217" t="inlineStr">
        <is>
          <t>ÖSTERGÖTLANDS LÄN</t>
        </is>
      </c>
      <c r="E217" t="inlineStr">
        <is>
          <t>FINSPÅNG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12898-2022</t>
        </is>
      </c>
      <c r="B218" s="1" t="n">
        <v>44642</v>
      </c>
      <c r="C218" s="1" t="n">
        <v>45976</v>
      </c>
      <c r="D218" t="inlineStr">
        <is>
          <t>ÖSTERGÖTLANDS LÄN</t>
        </is>
      </c>
      <c r="E218" t="inlineStr">
        <is>
          <t>FINSPÅNG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55744-2021</t>
        </is>
      </c>
      <c r="B219" s="1" t="n">
        <v>44476</v>
      </c>
      <c r="C219" s="1" t="n">
        <v>45976</v>
      </c>
      <c r="D219" t="inlineStr">
        <is>
          <t>ÖSTERGÖTLANDS LÄN</t>
        </is>
      </c>
      <c r="E219" t="inlineStr">
        <is>
          <t>FINSPÅNG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15356-2022</t>
        </is>
      </c>
      <c r="B220" s="1" t="n">
        <v>44659.55756944444</v>
      </c>
      <c r="C220" s="1" t="n">
        <v>45976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61262-2020</t>
        </is>
      </c>
      <c r="B221" s="1" t="n">
        <v>44155</v>
      </c>
      <c r="C221" s="1" t="n">
        <v>45976</v>
      </c>
      <c r="D221" t="inlineStr">
        <is>
          <t>ÖSTERGÖTLANDS LÄN</t>
        </is>
      </c>
      <c r="E221" t="inlineStr">
        <is>
          <t>FINSPÅNG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36573-2022</t>
        </is>
      </c>
      <c r="B222" s="1" t="n">
        <v>44804</v>
      </c>
      <c r="C222" s="1" t="n">
        <v>45976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6402-2022</t>
        </is>
      </c>
      <c r="B223" s="1" t="n">
        <v>44600</v>
      </c>
      <c r="C223" s="1" t="n">
        <v>45976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3324-2021</t>
        </is>
      </c>
      <c r="B224" s="1" t="n">
        <v>44217</v>
      </c>
      <c r="C224" s="1" t="n">
        <v>45976</v>
      </c>
      <c r="D224" t="inlineStr">
        <is>
          <t>ÖSTERGÖTLANDS LÄN</t>
        </is>
      </c>
      <c r="E224" t="inlineStr">
        <is>
          <t>FINSPÅNG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60173-2023</t>
        </is>
      </c>
      <c r="B225" s="1" t="n">
        <v>45258</v>
      </c>
      <c r="C225" s="1" t="n">
        <v>45976</v>
      </c>
      <c r="D225" t="inlineStr">
        <is>
          <t>ÖSTERGÖTLANDS LÄN</t>
        </is>
      </c>
      <c r="E225" t="inlineStr">
        <is>
          <t>FINSPÅNG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56727-2021</t>
        </is>
      </c>
      <c r="B226" s="1" t="n">
        <v>44481</v>
      </c>
      <c r="C226" s="1" t="n">
        <v>45976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11992-2022</t>
        </is>
      </c>
      <c r="B227" s="1" t="n">
        <v>44635.71011574074</v>
      </c>
      <c r="C227" s="1" t="n">
        <v>45976</v>
      </c>
      <c r="D227" t="inlineStr">
        <is>
          <t>ÖSTERGÖTLANDS LÄN</t>
        </is>
      </c>
      <c r="E227" t="inlineStr">
        <is>
          <t>FINSPÅNG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3001-2021</t>
        </is>
      </c>
      <c r="B228" s="1" t="n">
        <v>44216</v>
      </c>
      <c r="C228" s="1" t="n">
        <v>45976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45976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31811-2022</t>
        </is>
      </c>
      <c r="B230" s="1" t="n">
        <v>44776</v>
      </c>
      <c r="C230" s="1" t="n">
        <v>45976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41805-2021</t>
        </is>
      </c>
      <c r="B231" s="1" t="n">
        <v>44425.69079861111</v>
      </c>
      <c r="C231" s="1" t="n">
        <v>45976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14866-2022</t>
        </is>
      </c>
      <c r="B232" s="1" t="n">
        <v>44656</v>
      </c>
      <c r="C232" s="1" t="n">
        <v>45976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9346-2021</t>
        </is>
      </c>
      <c r="B233" s="1" t="n">
        <v>44250</v>
      </c>
      <c r="C233" s="1" t="n">
        <v>45976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22412-2022</t>
        </is>
      </c>
      <c r="B234" s="1" t="n">
        <v>44713</v>
      </c>
      <c r="C234" s="1" t="n">
        <v>45976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50542-2022</t>
        </is>
      </c>
      <c r="B235" s="1" t="n">
        <v>44866</v>
      </c>
      <c r="C235" s="1" t="n">
        <v>45976</v>
      </c>
      <c r="D235" t="inlineStr">
        <is>
          <t>ÖSTERGÖTLANDS LÄN</t>
        </is>
      </c>
      <c r="E235" t="inlineStr">
        <is>
          <t>FINSPÅNG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53028-2022</t>
        </is>
      </c>
      <c r="B236" s="1" t="n">
        <v>44875.96684027778</v>
      </c>
      <c r="C236" s="1" t="n">
        <v>45976</v>
      </c>
      <c r="D236" t="inlineStr">
        <is>
          <t>ÖSTERGÖTLANDS LÄN</t>
        </is>
      </c>
      <c r="E236" t="inlineStr">
        <is>
          <t>FINSPÅNG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10881-2021</t>
        </is>
      </c>
      <c r="B237" s="1" t="n">
        <v>44259</v>
      </c>
      <c r="C237" s="1" t="n">
        <v>45976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28722-2023</t>
        </is>
      </c>
      <c r="B238" s="1" t="n">
        <v>45103</v>
      </c>
      <c r="C238" s="1" t="n">
        <v>45976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30953-2021</t>
        </is>
      </c>
      <c r="B239" s="1" t="n">
        <v>44365.70483796296</v>
      </c>
      <c r="C239" s="1" t="n">
        <v>45976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225-2024</t>
        </is>
      </c>
      <c r="B240" s="1" t="n">
        <v>45293</v>
      </c>
      <c r="C240" s="1" t="n">
        <v>45976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19890-2022</t>
        </is>
      </c>
      <c r="B241" s="1" t="n">
        <v>44697.38225694445</v>
      </c>
      <c r="C241" s="1" t="n">
        <v>45976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53123-2021</t>
        </is>
      </c>
      <c r="B242" s="1" t="n">
        <v>44467.94783564815</v>
      </c>
      <c r="C242" s="1" t="n">
        <v>45976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6697-2023</t>
        </is>
      </c>
      <c r="B243" s="1" t="n">
        <v>44966</v>
      </c>
      <c r="C243" s="1" t="n">
        <v>45976</v>
      </c>
      <c r="D243" t="inlineStr">
        <is>
          <t>ÖSTERGÖTLANDS LÄN</t>
        </is>
      </c>
      <c r="E243" t="inlineStr">
        <is>
          <t>FINSPÅNG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31334-2021</t>
        </is>
      </c>
      <c r="B244" s="1" t="n">
        <v>44368</v>
      </c>
      <c r="C244" s="1" t="n">
        <v>45976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16975-2023</t>
        </is>
      </c>
      <c r="B245" s="1" t="n">
        <v>45033</v>
      </c>
      <c r="C245" s="1" t="n">
        <v>45976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14110-2023</t>
        </is>
      </c>
      <c r="B246" s="1" t="n">
        <v>45009.38880787037</v>
      </c>
      <c r="C246" s="1" t="n">
        <v>45976</v>
      </c>
      <c r="D246" t="inlineStr">
        <is>
          <t>ÖSTERGÖTLANDS LÄN</t>
        </is>
      </c>
      <c r="E246" t="inlineStr">
        <is>
          <t>FINSPÅNG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31376-2021</t>
        </is>
      </c>
      <c r="B247" s="1" t="n">
        <v>44369</v>
      </c>
      <c r="C247" s="1" t="n">
        <v>45976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31373-2021</t>
        </is>
      </c>
      <c r="B248" s="1" t="n">
        <v>44368</v>
      </c>
      <c r="C248" s="1" t="n">
        <v>45976</v>
      </c>
      <c r="D248" t="inlineStr">
        <is>
          <t>ÖSTERGÖTLANDS LÄN</t>
        </is>
      </c>
      <c r="E248" t="inlineStr">
        <is>
          <t>FINSPÅNG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31377-2021</t>
        </is>
      </c>
      <c r="B249" s="1" t="n">
        <v>44369.24979166667</v>
      </c>
      <c r="C249" s="1" t="n">
        <v>45976</v>
      </c>
      <c r="D249" t="inlineStr">
        <is>
          <t>ÖSTERGÖTLANDS LÄN</t>
        </is>
      </c>
      <c r="E249" t="inlineStr">
        <is>
          <t>FINSPÅNG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17104-2022</t>
        </is>
      </c>
      <c r="B250" s="1" t="n">
        <v>44677</v>
      </c>
      <c r="C250" s="1" t="n">
        <v>45976</v>
      </c>
      <c r="D250" t="inlineStr">
        <is>
          <t>ÖSTERGÖTLANDS LÄN</t>
        </is>
      </c>
      <c r="E250" t="inlineStr">
        <is>
          <t>FINSPÅNG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29709-2021</t>
        </is>
      </c>
      <c r="B251" s="1" t="n">
        <v>44362</v>
      </c>
      <c r="C251" s="1" t="n">
        <v>45976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53475-2021</t>
        </is>
      </c>
      <c r="B252" s="1" t="n">
        <v>44468.75822916667</v>
      </c>
      <c r="C252" s="1" t="n">
        <v>45976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57854-2022</t>
        </is>
      </c>
      <c r="B253" s="1" t="n">
        <v>44898</v>
      </c>
      <c r="C253" s="1" t="n">
        <v>45976</v>
      </c>
      <c r="D253" t="inlineStr">
        <is>
          <t>ÖSTERGÖTLANDS LÄN</t>
        </is>
      </c>
      <c r="E253" t="inlineStr">
        <is>
          <t>FINSPÅNG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62436-2020</t>
        </is>
      </c>
      <c r="B254" s="1" t="n">
        <v>44160</v>
      </c>
      <c r="C254" s="1" t="n">
        <v>45976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51989-2021</t>
        </is>
      </c>
      <c r="B255" s="1" t="n">
        <v>44463</v>
      </c>
      <c r="C255" s="1" t="n">
        <v>45976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6488-2022</t>
        </is>
      </c>
      <c r="B256" s="1" t="n">
        <v>44601</v>
      </c>
      <c r="C256" s="1" t="n">
        <v>45976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56883-2021</t>
        </is>
      </c>
      <c r="B257" s="1" t="n">
        <v>44481</v>
      </c>
      <c r="C257" s="1" t="n">
        <v>45976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69994-2021</t>
        </is>
      </c>
      <c r="B258" s="1" t="n">
        <v>44533</v>
      </c>
      <c r="C258" s="1" t="n">
        <v>45976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1275-2021</t>
        </is>
      </c>
      <c r="B259" s="1" t="n">
        <v>44208</v>
      </c>
      <c r="C259" s="1" t="n">
        <v>45976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6493-2022</t>
        </is>
      </c>
      <c r="B260" s="1" t="n">
        <v>44601</v>
      </c>
      <c r="C260" s="1" t="n">
        <v>45976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44661-2021</t>
        </is>
      </c>
      <c r="B261" s="1" t="n">
        <v>44438</v>
      </c>
      <c r="C261" s="1" t="n">
        <v>45976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44663-2021</t>
        </is>
      </c>
      <c r="B262" s="1" t="n">
        <v>44438</v>
      </c>
      <c r="C262" s="1" t="n">
        <v>45976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27493-2022</t>
        </is>
      </c>
      <c r="B263" s="1" t="n">
        <v>44742</v>
      </c>
      <c r="C263" s="1" t="n">
        <v>45976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46405-2021</t>
        </is>
      </c>
      <c r="B264" s="1" t="n">
        <v>44444</v>
      </c>
      <c r="C264" s="1" t="n">
        <v>45976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25679-2024</t>
        </is>
      </c>
      <c r="B265" s="1" t="n">
        <v>45463.79559027778</v>
      </c>
      <c r="C265" s="1" t="n">
        <v>45976</v>
      </c>
      <c r="D265" t="inlineStr">
        <is>
          <t>ÖSTERGÖTLANDS LÄN</t>
        </is>
      </c>
      <c r="E265" t="inlineStr">
        <is>
          <t>FINSPÅNG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4237-2021</t>
        </is>
      </c>
      <c r="B266" s="1" t="n">
        <v>44223</v>
      </c>
      <c r="C266" s="1" t="n">
        <v>45976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6738-2023</t>
        </is>
      </c>
      <c r="B267" s="1" t="n">
        <v>44966.74954861111</v>
      </c>
      <c r="C267" s="1" t="n">
        <v>45976</v>
      </c>
      <c r="D267" t="inlineStr">
        <is>
          <t>ÖSTERGÖTLANDS LÄN</t>
        </is>
      </c>
      <c r="E267" t="inlineStr">
        <is>
          <t>FINSPÅNG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36100-2022</t>
        </is>
      </c>
      <c r="B268" s="1" t="n">
        <v>44802</v>
      </c>
      <c r="C268" s="1" t="n">
        <v>45976</v>
      </c>
      <c r="D268" t="inlineStr">
        <is>
          <t>ÖSTERGÖTLANDS LÄN</t>
        </is>
      </c>
      <c r="E268" t="inlineStr">
        <is>
          <t>FINSPÅNG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51633-2021</t>
        </is>
      </c>
      <c r="B269" s="1" t="n">
        <v>44462</v>
      </c>
      <c r="C269" s="1" t="n">
        <v>45976</v>
      </c>
      <c r="D269" t="inlineStr">
        <is>
          <t>ÖSTERGÖTLANDS LÄN</t>
        </is>
      </c>
      <c r="E269" t="inlineStr">
        <is>
          <t>FINSPÅNG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48684-2022</t>
        </is>
      </c>
      <c r="B270" s="1" t="n">
        <v>44859</v>
      </c>
      <c r="C270" s="1" t="n">
        <v>45976</v>
      </c>
      <c r="D270" t="inlineStr">
        <is>
          <t>ÖSTERGÖTLANDS LÄN</t>
        </is>
      </c>
      <c r="E270" t="inlineStr">
        <is>
          <t>FINSPÅNG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27657-2022</t>
        </is>
      </c>
      <c r="B271" s="1" t="n">
        <v>44743</v>
      </c>
      <c r="C271" s="1" t="n">
        <v>45976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11540-2023</t>
        </is>
      </c>
      <c r="B272" s="1" t="n">
        <v>44993.89005787037</v>
      </c>
      <c r="C272" s="1" t="n">
        <v>45976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31369-2021</t>
        </is>
      </c>
      <c r="B273" s="1" t="n">
        <v>44368</v>
      </c>
      <c r="C273" s="1" t="n">
        <v>45976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31371-2021</t>
        </is>
      </c>
      <c r="B274" s="1" t="n">
        <v>44368.96609953704</v>
      </c>
      <c r="C274" s="1" t="n">
        <v>45976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3776-2023</t>
        </is>
      </c>
      <c r="B275" s="1" t="n">
        <v>44949</v>
      </c>
      <c r="C275" s="1" t="n">
        <v>45976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39655-2023</t>
        </is>
      </c>
      <c r="B276" s="1" t="n">
        <v>45167</v>
      </c>
      <c r="C276" s="1" t="n">
        <v>45976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30920-2022</t>
        </is>
      </c>
      <c r="B277" s="1" t="n">
        <v>44767.83041666666</v>
      </c>
      <c r="C277" s="1" t="n">
        <v>45976</v>
      </c>
      <c r="D277" t="inlineStr">
        <is>
          <t>ÖSTERGÖTLANDS LÄN</t>
        </is>
      </c>
      <c r="E277" t="inlineStr">
        <is>
          <t>FINSPÅNG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11974-2023</t>
        </is>
      </c>
      <c r="B278" s="1" t="n">
        <v>44995</v>
      </c>
      <c r="C278" s="1" t="n">
        <v>45976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38613-2022</t>
        </is>
      </c>
      <c r="B279" s="1" t="n">
        <v>44813</v>
      </c>
      <c r="C279" s="1" t="n">
        <v>45976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55812-2021</t>
        </is>
      </c>
      <c r="B280" s="1" t="n">
        <v>44476</v>
      </c>
      <c r="C280" s="1" t="n">
        <v>45976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57738-2022</t>
        </is>
      </c>
      <c r="B281" s="1" t="n">
        <v>44897.571875</v>
      </c>
      <c r="C281" s="1" t="n">
        <v>45976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16680-2022</t>
        </is>
      </c>
      <c r="B282" s="1" t="n">
        <v>44672.99238425926</v>
      </c>
      <c r="C282" s="1" t="n">
        <v>45976</v>
      </c>
      <c r="D282" t="inlineStr">
        <is>
          <t>ÖSTERGÖTLANDS LÄN</t>
        </is>
      </c>
      <c r="E282" t="inlineStr">
        <is>
          <t>FINSPÅNG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42515-2022</t>
        </is>
      </c>
      <c r="B283" s="1" t="n">
        <v>44831</v>
      </c>
      <c r="C283" s="1" t="n">
        <v>45976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530-2023</t>
        </is>
      </c>
      <c r="B284" s="1" t="n">
        <v>44930</v>
      </c>
      <c r="C284" s="1" t="n">
        <v>45976</v>
      </c>
      <c r="D284" t="inlineStr">
        <is>
          <t>ÖSTERGÖTLANDS LÄN</t>
        </is>
      </c>
      <c r="E284" t="inlineStr">
        <is>
          <t>FINSPÅNG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4860-2023</t>
        </is>
      </c>
      <c r="B285" s="1" t="n">
        <v>44957.84447916667</v>
      </c>
      <c r="C285" s="1" t="n">
        <v>45976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15473-2022</t>
        </is>
      </c>
      <c r="B286" s="1" t="n">
        <v>44662</v>
      </c>
      <c r="C286" s="1" t="n">
        <v>45976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31850-2021</t>
        </is>
      </c>
      <c r="B287" s="1" t="n">
        <v>44369</v>
      </c>
      <c r="C287" s="1" t="n">
        <v>45976</v>
      </c>
      <c r="D287" t="inlineStr">
        <is>
          <t>ÖSTERGÖTLANDS LÄN</t>
        </is>
      </c>
      <c r="E287" t="inlineStr">
        <is>
          <t>FINSPÅNG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5595-2022</t>
        </is>
      </c>
      <c r="B288" s="1" t="n">
        <v>44595</v>
      </c>
      <c r="C288" s="1" t="n">
        <v>45976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25678-2024</t>
        </is>
      </c>
      <c r="B289" s="1" t="n">
        <v>45463.79037037037</v>
      </c>
      <c r="C289" s="1" t="n">
        <v>45976</v>
      </c>
      <c r="D289" t="inlineStr">
        <is>
          <t>ÖSTERGÖTLANDS LÄN</t>
        </is>
      </c>
      <c r="E289" t="inlineStr">
        <is>
          <t>FINSPÅNG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21655-2023</t>
        </is>
      </c>
      <c r="B290" s="1" t="n">
        <v>45063</v>
      </c>
      <c r="C290" s="1" t="n">
        <v>45976</v>
      </c>
      <c r="D290" t="inlineStr">
        <is>
          <t>ÖSTERGÖTLANDS LÄN</t>
        </is>
      </c>
      <c r="E290" t="inlineStr">
        <is>
          <t>FINSPÅNG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24804-2023</t>
        </is>
      </c>
      <c r="B291" s="1" t="n">
        <v>45084.81885416667</v>
      </c>
      <c r="C291" s="1" t="n">
        <v>45976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25356-2022</t>
        </is>
      </c>
      <c r="B292" s="1" t="n">
        <v>44732</v>
      </c>
      <c r="C292" s="1" t="n">
        <v>45976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50670-2024</t>
        </is>
      </c>
      <c r="B293" s="1" t="n">
        <v>45601.78827546296</v>
      </c>
      <c r="C293" s="1" t="n">
        <v>45976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61012-2022</t>
        </is>
      </c>
      <c r="B294" s="1" t="n">
        <v>44914.75953703704</v>
      </c>
      <c r="C294" s="1" t="n">
        <v>45976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34941-2023</t>
        </is>
      </c>
      <c r="B295" s="1" t="n">
        <v>45142.55728009259</v>
      </c>
      <c r="C295" s="1" t="n">
        <v>45976</v>
      </c>
      <c r="D295" t="inlineStr">
        <is>
          <t>ÖSTERGÖTLANDS LÄN</t>
        </is>
      </c>
      <c r="E295" t="inlineStr">
        <is>
          <t>FINSPÅNG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61998-2022</t>
        </is>
      </c>
      <c r="B296" s="1" t="n">
        <v>44918.42355324074</v>
      </c>
      <c r="C296" s="1" t="n">
        <v>45976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9635-2025</t>
        </is>
      </c>
      <c r="B297" s="1" t="n">
        <v>45715.74398148148</v>
      </c>
      <c r="C297" s="1" t="n">
        <v>45976</v>
      </c>
      <c r="D297" t="inlineStr">
        <is>
          <t>ÖSTERGÖTLANDS LÄN</t>
        </is>
      </c>
      <c r="E297" t="inlineStr">
        <is>
          <t>FINSPÅNG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27607-2023</t>
        </is>
      </c>
      <c r="B298" s="1" t="n">
        <v>45097</v>
      </c>
      <c r="C298" s="1" t="n">
        <v>45976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13138-2025</t>
        </is>
      </c>
      <c r="B299" s="1" t="n">
        <v>45735.29673611111</v>
      </c>
      <c r="C299" s="1" t="n">
        <v>45976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25121-2023</t>
        </is>
      </c>
      <c r="B300" s="1" t="n">
        <v>45086.43366898148</v>
      </c>
      <c r="C300" s="1" t="n">
        <v>45976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28880-2025</t>
        </is>
      </c>
      <c r="B301" s="1" t="n">
        <v>45820.62386574074</v>
      </c>
      <c r="C301" s="1" t="n">
        <v>45976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70505-2021</t>
        </is>
      </c>
      <c r="B302" s="1" t="n">
        <v>44536</v>
      </c>
      <c r="C302" s="1" t="n">
        <v>45976</v>
      </c>
      <c r="D302" t="inlineStr">
        <is>
          <t>ÖSTERGÖTLANDS LÄN</t>
        </is>
      </c>
      <c r="E302" t="inlineStr">
        <is>
          <t>FINSPÅNG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14454-2022</t>
        </is>
      </c>
      <c r="B303" s="1" t="n">
        <v>44653.50954861111</v>
      </c>
      <c r="C303" s="1" t="n">
        <v>45976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58022-2024</t>
        </is>
      </c>
      <c r="B304" s="1" t="n">
        <v>45631.68104166666</v>
      </c>
      <c r="C304" s="1" t="n">
        <v>45976</v>
      </c>
      <c r="D304" t="inlineStr">
        <is>
          <t>ÖSTERGÖTLANDS LÄN</t>
        </is>
      </c>
      <c r="E304" t="inlineStr">
        <is>
          <t>FINSPÅNG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56192-2024</t>
        </is>
      </c>
      <c r="B305" s="1" t="n">
        <v>45624.58550925926</v>
      </c>
      <c r="C305" s="1" t="n">
        <v>45976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41537-2024</t>
        </is>
      </c>
      <c r="B306" s="1" t="n">
        <v>45560</v>
      </c>
      <c r="C306" s="1" t="n">
        <v>45976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26087-2022</t>
        </is>
      </c>
      <c r="B307" s="1" t="n">
        <v>44734</v>
      </c>
      <c r="C307" s="1" t="n">
        <v>45976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36593-2025</t>
        </is>
      </c>
      <c r="B308" s="1" t="n">
        <v>45870.50287037037</v>
      </c>
      <c r="C308" s="1" t="n">
        <v>45976</v>
      </c>
      <c r="D308" t="inlineStr">
        <is>
          <t>ÖSTERGÖTLANDS LÄN</t>
        </is>
      </c>
      <c r="E308" t="inlineStr">
        <is>
          <t>FINSPÅNG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10026-2025</t>
        </is>
      </c>
      <c r="B309" s="1" t="n">
        <v>45719.49042824074</v>
      </c>
      <c r="C309" s="1" t="n">
        <v>45976</v>
      </c>
      <c r="D309" t="inlineStr">
        <is>
          <t>ÖSTERGÖTLANDS LÄN</t>
        </is>
      </c>
      <c r="E309" t="inlineStr">
        <is>
          <t>FINSPÅNG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60619-2023</t>
        </is>
      </c>
      <c r="B310" s="1" t="n">
        <v>45260.37900462963</v>
      </c>
      <c r="C310" s="1" t="n">
        <v>45976</v>
      </c>
      <c r="D310" t="inlineStr">
        <is>
          <t>ÖSTERGÖTLANDS LÄN</t>
        </is>
      </c>
      <c r="E310" t="inlineStr">
        <is>
          <t>FINSPÅNG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21719-2024</t>
        </is>
      </c>
      <c r="B311" s="1" t="n">
        <v>45442</v>
      </c>
      <c r="C311" s="1" t="n">
        <v>45976</v>
      </c>
      <c r="D311" t="inlineStr">
        <is>
          <t>ÖSTERGÖTLANDS LÄN</t>
        </is>
      </c>
      <c r="E311" t="inlineStr">
        <is>
          <t>FINSPÅNG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11035-2025</t>
        </is>
      </c>
      <c r="B312" s="1" t="n">
        <v>45723.47864583333</v>
      </c>
      <c r="C312" s="1" t="n">
        <v>45976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61114-2024</t>
        </is>
      </c>
      <c r="B313" s="1" t="n">
        <v>45645.56427083333</v>
      </c>
      <c r="C313" s="1" t="n">
        <v>45976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48767-2024</t>
        </is>
      </c>
      <c r="B314" s="1" t="n">
        <v>45593.60833333333</v>
      </c>
      <c r="C314" s="1" t="n">
        <v>45976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42947-2024</t>
        </is>
      </c>
      <c r="B315" s="1" t="n">
        <v>45567</v>
      </c>
      <c r="C315" s="1" t="n">
        <v>45976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HYPERLINK("https://klasma.github.io/Logging_0562/knärot/A 42947-2024 karta knärot.png", "A 42947-2024")</f>
        <v/>
      </c>
      <c r="V315">
        <f>HYPERLINK("https://klasma.github.io/Logging_0562/klagomål/A 42947-2024 FSC-klagomål.docx", "A 42947-2024")</f>
        <v/>
      </c>
      <c r="W315">
        <f>HYPERLINK("https://klasma.github.io/Logging_0562/klagomålsmail/A 42947-2024 FSC-klagomål mail.docx", "A 42947-2024")</f>
        <v/>
      </c>
      <c r="X315">
        <f>HYPERLINK("https://klasma.github.io/Logging_0562/tillsyn/A 42947-2024 tillsynsbegäran.docx", "A 42947-2024")</f>
        <v/>
      </c>
      <c r="Y315">
        <f>HYPERLINK("https://klasma.github.io/Logging_0562/tillsynsmail/A 42947-2024 tillsynsbegäran mail.docx", "A 42947-2024")</f>
        <v/>
      </c>
    </row>
    <row r="316" ht="15" customHeight="1">
      <c r="A316" t="inlineStr">
        <is>
          <t>A 11728-2025</t>
        </is>
      </c>
      <c r="B316" s="1" t="n">
        <v>45727.61766203704</v>
      </c>
      <c r="C316" s="1" t="n">
        <v>45976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3734-2025</t>
        </is>
      </c>
      <c r="B317" s="1" t="n">
        <v>45681.56399305556</v>
      </c>
      <c r="C317" s="1" t="n">
        <v>45976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56246-2022</t>
        </is>
      </c>
      <c r="B318" s="1" t="n">
        <v>44887</v>
      </c>
      <c r="C318" s="1" t="n">
        <v>45976</v>
      </c>
      <c r="D318" t="inlineStr">
        <is>
          <t>ÖSTERGÖTLANDS LÄN</t>
        </is>
      </c>
      <c r="E318" t="inlineStr">
        <is>
          <t>FINSPÅNG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8535-2025</t>
        </is>
      </c>
      <c r="B319" s="1" t="n">
        <v>45709.58696759259</v>
      </c>
      <c r="C319" s="1" t="n">
        <v>45976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10420-2023</t>
        </is>
      </c>
      <c r="B320" s="1" t="n">
        <v>44987.51744212963</v>
      </c>
      <c r="C320" s="1" t="n">
        <v>45976</v>
      </c>
      <c r="D320" t="inlineStr">
        <is>
          <t>ÖSTERGÖTLANDS LÄN</t>
        </is>
      </c>
      <c r="E320" t="inlineStr">
        <is>
          <t>FINSPÅNG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53675-2024</t>
        </is>
      </c>
      <c r="B321" s="1" t="n">
        <v>45615</v>
      </c>
      <c r="C321" s="1" t="n">
        <v>45976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6652-2021</t>
        </is>
      </c>
      <c r="B322" s="1" t="n">
        <v>44236</v>
      </c>
      <c r="C322" s="1" t="n">
        <v>45976</v>
      </c>
      <c r="D322" t="inlineStr">
        <is>
          <t>ÖSTERGÖTLANDS LÄN</t>
        </is>
      </c>
      <c r="E322" t="inlineStr">
        <is>
          <t>FINSPÅNG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40410-2024</t>
        </is>
      </c>
      <c r="B323" s="1" t="n">
        <v>45555.45396990741</v>
      </c>
      <c r="C323" s="1" t="n">
        <v>45976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43534-2023</t>
        </is>
      </c>
      <c r="B324" s="1" t="n">
        <v>45184.53783564815</v>
      </c>
      <c r="C324" s="1" t="n">
        <v>45976</v>
      </c>
      <c r="D324" t="inlineStr">
        <is>
          <t>ÖSTERGÖTLANDS LÄN</t>
        </is>
      </c>
      <c r="E324" t="inlineStr">
        <is>
          <t>FINSPÅNG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59699-2024</t>
        </is>
      </c>
      <c r="B325" s="1" t="n">
        <v>45639.42065972222</v>
      </c>
      <c r="C325" s="1" t="n">
        <v>45976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2741-2024</t>
        </is>
      </c>
      <c r="B326" s="1" t="n">
        <v>45314</v>
      </c>
      <c r="C326" s="1" t="n">
        <v>45976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22579-2024</t>
        </is>
      </c>
      <c r="B327" s="1" t="n">
        <v>45447.58180555556</v>
      </c>
      <c r="C327" s="1" t="n">
        <v>45976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22613-2024</t>
        </is>
      </c>
      <c r="B328" s="1" t="n">
        <v>45447</v>
      </c>
      <c r="C328" s="1" t="n">
        <v>45976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7826-2025</t>
        </is>
      </c>
      <c r="B329" s="1" t="n">
        <v>45706.64918981482</v>
      </c>
      <c r="C329" s="1" t="n">
        <v>45976</v>
      </c>
      <c r="D329" t="inlineStr">
        <is>
          <t>ÖSTERGÖTLANDS LÄN</t>
        </is>
      </c>
      <c r="E329" t="inlineStr">
        <is>
          <t>FINSPÅNG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7884-2023</t>
        </is>
      </c>
      <c r="B330" s="1" t="n">
        <v>44973.5909375</v>
      </c>
      <c r="C330" s="1" t="n">
        <v>45976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9765-2021</t>
        </is>
      </c>
      <c r="B331" s="1" t="n">
        <v>44252</v>
      </c>
      <c r="C331" s="1" t="n">
        <v>45976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29923-2023</t>
        </is>
      </c>
      <c r="B332" s="1" t="n">
        <v>45107</v>
      </c>
      <c r="C332" s="1" t="n">
        <v>45976</v>
      </c>
      <c r="D332" t="inlineStr">
        <is>
          <t>ÖSTERGÖTLANDS LÄN</t>
        </is>
      </c>
      <c r="E332" t="inlineStr">
        <is>
          <t>FINSPÅNG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30922-2022</t>
        </is>
      </c>
      <c r="B333" s="1" t="n">
        <v>44767</v>
      </c>
      <c r="C333" s="1" t="n">
        <v>45976</v>
      </c>
      <c r="D333" t="inlineStr">
        <is>
          <t>ÖSTERGÖTLANDS LÄN</t>
        </is>
      </c>
      <c r="E333" t="inlineStr">
        <is>
          <t>FINSPÅNG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8937-2022</t>
        </is>
      </c>
      <c r="B334" s="1" t="n">
        <v>44614</v>
      </c>
      <c r="C334" s="1" t="n">
        <v>45976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25195-2022</t>
        </is>
      </c>
      <c r="B335" s="1" t="n">
        <v>44729</v>
      </c>
      <c r="C335" s="1" t="n">
        <v>45976</v>
      </c>
      <c r="D335" t="inlineStr">
        <is>
          <t>ÖSTERGÖTLANDS LÄN</t>
        </is>
      </c>
      <c r="E335" t="inlineStr">
        <is>
          <t>FINSPÅNG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62-2024</t>
        </is>
      </c>
      <c r="B336" s="1" t="n">
        <v>45293.64920138889</v>
      </c>
      <c r="C336" s="1" t="n">
        <v>45976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26195-2024</t>
        </is>
      </c>
      <c r="B337" s="1" t="n">
        <v>45468.57454861111</v>
      </c>
      <c r="C337" s="1" t="n">
        <v>45976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45410-2022</t>
        </is>
      </c>
      <c r="B338" s="1" t="n">
        <v>44844</v>
      </c>
      <c r="C338" s="1" t="n">
        <v>45976</v>
      </c>
      <c r="D338" t="inlineStr">
        <is>
          <t>ÖSTERGÖTLANDS LÄN</t>
        </is>
      </c>
      <c r="E338" t="inlineStr">
        <is>
          <t>FINSPÅNG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15674-2023</t>
        </is>
      </c>
      <c r="B339" s="1" t="n">
        <v>45021</v>
      </c>
      <c r="C339" s="1" t="n">
        <v>45976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37679-2025</t>
        </is>
      </c>
      <c r="B340" s="1" t="n">
        <v>45880.53909722222</v>
      </c>
      <c r="C340" s="1" t="n">
        <v>45976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7788-2023</t>
        </is>
      </c>
      <c r="B341" s="1" t="n">
        <v>44973.41844907407</v>
      </c>
      <c r="C341" s="1" t="n">
        <v>45976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12455-2021</t>
        </is>
      </c>
      <c r="B342" s="1" t="n">
        <v>44267</v>
      </c>
      <c r="C342" s="1" t="n">
        <v>45976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12464-2021</t>
        </is>
      </c>
      <c r="B343" s="1" t="n">
        <v>44267</v>
      </c>
      <c r="C343" s="1" t="n">
        <v>45976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23350-2023</t>
        </is>
      </c>
      <c r="B344" s="1" t="n">
        <v>45076</v>
      </c>
      <c r="C344" s="1" t="n">
        <v>45976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27892-2023</t>
        </is>
      </c>
      <c r="B345" s="1" t="n">
        <v>45095</v>
      </c>
      <c r="C345" s="1" t="n">
        <v>45976</v>
      </c>
      <c r="D345" t="inlineStr">
        <is>
          <t>ÖSTERGÖTLANDS LÄN</t>
        </is>
      </c>
      <c r="E345" t="inlineStr">
        <is>
          <t>FINSPÅNG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59672-2024</t>
        </is>
      </c>
      <c r="B346" s="1" t="n">
        <v>45639.38752314815</v>
      </c>
      <c r="C346" s="1" t="n">
        <v>45976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37742-2025</t>
        </is>
      </c>
      <c r="B347" s="1" t="n">
        <v>45880.65869212963</v>
      </c>
      <c r="C347" s="1" t="n">
        <v>45976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43221-2022</t>
        </is>
      </c>
      <c r="B348" s="1" t="n">
        <v>44833</v>
      </c>
      <c r="C348" s="1" t="n">
        <v>45976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37686-2025</t>
        </is>
      </c>
      <c r="B349" s="1" t="n">
        <v>45880.55628472222</v>
      </c>
      <c r="C349" s="1" t="n">
        <v>45976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45761-2021</t>
        </is>
      </c>
      <c r="B350" s="1" t="n">
        <v>44441</v>
      </c>
      <c r="C350" s="1" t="n">
        <v>45976</v>
      </c>
      <c r="D350" t="inlineStr">
        <is>
          <t>ÖSTERGÖTLANDS LÄN</t>
        </is>
      </c>
      <c r="E350" t="inlineStr">
        <is>
          <t>FINSPÅNG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5232-2024</t>
        </is>
      </c>
      <c r="B351" s="1" t="n">
        <v>45330</v>
      </c>
      <c r="C351" s="1" t="n">
        <v>45976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10148-2025</t>
        </is>
      </c>
      <c r="B352" s="1" t="n">
        <v>45719.63878472222</v>
      </c>
      <c r="C352" s="1" t="n">
        <v>45976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22439-2023</t>
        </is>
      </c>
      <c r="B353" s="1" t="n">
        <v>45070.69009259259</v>
      </c>
      <c r="C353" s="1" t="n">
        <v>45976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68122-2021</t>
        </is>
      </c>
      <c r="B354" s="1" t="n">
        <v>44526.39090277778</v>
      </c>
      <c r="C354" s="1" t="n">
        <v>45976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51435-2024</t>
        </is>
      </c>
      <c r="B355" s="1" t="n">
        <v>45604.47024305556</v>
      </c>
      <c r="C355" s="1" t="n">
        <v>45976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37936-2025</t>
        </is>
      </c>
      <c r="B356" s="1" t="n">
        <v>45881.59574074074</v>
      </c>
      <c r="C356" s="1" t="n">
        <v>45976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13139-2025</t>
        </is>
      </c>
      <c r="B357" s="1" t="n">
        <v>45735.29822916666</v>
      </c>
      <c r="C357" s="1" t="n">
        <v>45976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19184-2024</t>
        </is>
      </c>
      <c r="B358" s="1" t="n">
        <v>45428.48278935185</v>
      </c>
      <c r="C358" s="1" t="n">
        <v>45976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62158-2022</t>
        </is>
      </c>
      <c r="B359" s="1" t="n">
        <v>44922.43804398148</v>
      </c>
      <c r="C359" s="1" t="n">
        <v>45976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38368-2025</t>
        </is>
      </c>
      <c r="B360" s="1" t="n">
        <v>45883.55503472222</v>
      </c>
      <c r="C360" s="1" t="n">
        <v>45976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19520-2025</t>
        </is>
      </c>
      <c r="B361" s="1" t="n">
        <v>45770.45534722223</v>
      </c>
      <c r="C361" s="1" t="n">
        <v>45976</v>
      </c>
      <c r="D361" t="inlineStr">
        <is>
          <t>ÖSTERGÖTLANDS LÄN</t>
        </is>
      </c>
      <c r="E361" t="inlineStr">
        <is>
          <t>FINSPÅNG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38440-2025</t>
        </is>
      </c>
      <c r="B362" s="1" t="n">
        <v>45883.64872685185</v>
      </c>
      <c r="C362" s="1" t="n">
        <v>45976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39356-2022</t>
        </is>
      </c>
      <c r="B363" s="1" t="n">
        <v>44817</v>
      </c>
      <c r="C363" s="1" t="n">
        <v>45976</v>
      </c>
      <c r="D363" t="inlineStr">
        <is>
          <t>ÖSTERGÖTLANDS LÄN</t>
        </is>
      </c>
      <c r="E363" t="inlineStr">
        <is>
          <t>FINSPÅNG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38314-2025</t>
        </is>
      </c>
      <c r="B364" s="1" t="n">
        <v>45883</v>
      </c>
      <c r="C364" s="1" t="n">
        <v>45976</v>
      </c>
      <c r="D364" t="inlineStr">
        <is>
          <t>ÖSTERGÖTLANDS LÄN</t>
        </is>
      </c>
      <c r="E364" t="inlineStr">
        <is>
          <t>FINSPÅNG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34758-2022</t>
        </is>
      </c>
      <c r="B365" s="1" t="n">
        <v>44795</v>
      </c>
      <c r="C365" s="1" t="n">
        <v>45976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42391-2024</t>
        </is>
      </c>
      <c r="B366" s="1" t="n">
        <v>45565.32090277778</v>
      </c>
      <c r="C366" s="1" t="n">
        <v>45976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38231-2025</t>
        </is>
      </c>
      <c r="B367" s="1" t="n">
        <v>45883.35074074074</v>
      </c>
      <c r="C367" s="1" t="n">
        <v>45976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38233-2025</t>
        </is>
      </c>
      <c r="B368" s="1" t="n">
        <v>45883.35534722222</v>
      </c>
      <c r="C368" s="1" t="n">
        <v>45976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61076-2023</t>
        </is>
      </c>
      <c r="B369" s="1" t="n">
        <v>45260</v>
      </c>
      <c r="C369" s="1" t="n">
        <v>45976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59468-2021</t>
        </is>
      </c>
      <c r="B370" s="1" t="n">
        <v>44491</v>
      </c>
      <c r="C370" s="1" t="n">
        <v>45976</v>
      </c>
      <c r="D370" t="inlineStr">
        <is>
          <t>ÖSTERGÖTLANDS LÄN</t>
        </is>
      </c>
      <c r="E370" t="inlineStr">
        <is>
          <t>FINSPÅNG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18306-2023</t>
        </is>
      </c>
      <c r="B371" s="1" t="n">
        <v>45041</v>
      </c>
      <c r="C371" s="1" t="n">
        <v>45976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59838-2023</t>
        </is>
      </c>
      <c r="B372" s="1" t="n">
        <v>45257</v>
      </c>
      <c r="C372" s="1" t="n">
        <v>45976</v>
      </c>
      <c r="D372" t="inlineStr">
        <is>
          <t>ÖSTERGÖTLANDS LÄN</t>
        </is>
      </c>
      <c r="E372" t="inlineStr">
        <is>
          <t>FINSPÅNG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40372-2024</t>
        </is>
      </c>
      <c r="B373" s="1" t="n">
        <v>45555.39886574074</v>
      </c>
      <c r="C373" s="1" t="n">
        <v>45976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55980-2024</t>
        </is>
      </c>
      <c r="B374" s="1" t="n">
        <v>45623.659375</v>
      </c>
      <c r="C374" s="1" t="n">
        <v>45976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19170-2024</t>
        </is>
      </c>
      <c r="B375" s="1" t="n">
        <v>45428.4608912037</v>
      </c>
      <c r="C375" s="1" t="n">
        <v>45976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50189-2022</t>
        </is>
      </c>
      <c r="B376" s="1" t="n">
        <v>44865</v>
      </c>
      <c r="C376" s="1" t="n">
        <v>45976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9130-2023</t>
        </is>
      </c>
      <c r="B377" s="1" t="n">
        <v>44980.33758101852</v>
      </c>
      <c r="C377" s="1" t="n">
        <v>45976</v>
      </c>
      <c r="D377" t="inlineStr">
        <is>
          <t>ÖSTERGÖTLANDS LÄN</t>
        </is>
      </c>
      <c r="E377" t="inlineStr">
        <is>
          <t>FINSPÅNG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48443-2023</t>
        </is>
      </c>
      <c r="B378" s="1" t="n">
        <v>45206</v>
      </c>
      <c r="C378" s="1" t="n">
        <v>45976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51610-2022</t>
        </is>
      </c>
      <c r="B379" s="1" t="n">
        <v>44871</v>
      </c>
      <c r="C379" s="1" t="n">
        <v>45976</v>
      </c>
      <c r="D379" t="inlineStr">
        <is>
          <t>ÖSTERGÖTLANDS LÄN</t>
        </is>
      </c>
      <c r="E379" t="inlineStr">
        <is>
          <t>FINSPÅNG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31801-2023</t>
        </is>
      </c>
      <c r="B380" s="1" t="n">
        <v>45118</v>
      </c>
      <c r="C380" s="1" t="n">
        <v>45976</v>
      </c>
      <c r="D380" t="inlineStr">
        <is>
          <t>ÖSTERGÖTLANDS LÄN</t>
        </is>
      </c>
      <c r="E380" t="inlineStr">
        <is>
          <t>FINSPÅNG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13826-2024</t>
        </is>
      </c>
      <c r="B381" s="1" t="n">
        <v>45391.43108796296</v>
      </c>
      <c r="C381" s="1" t="n">
        <v>45976</v>
      </c>
      <c r="D381" t="inlineStr">
        <is>
          <t>ÖSTERGÖTLANDS LÄN</t>
        </is>
      </c>
      <c r="E381" t="inlineStr">
        <is>
          <t>FINSPÅNG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39896-2023</t>
        </is>
      </c>
      <c r="B382" s="1" t="n">
        <v>45166</v>
      </c>
      <c r="C382" s="1" t="n">
        <v>45976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25877-2024</t>
        </is>
      </c>
      <c r="B383" s="1" t="n">
        <v>45467.48385416667</v>
      </c>
      <c r="C383" s="1" t="n">
        <v>45976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5336-2025</t>
        </is>
      </c>
      <c r="B384" s="1" t="n">
        <v>45692</v>
      </c>
      <c r="C384" s="1" t="n">
        <v>45976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7484-2025</t>
        </is>
      </c>
      <c r="B385" s="1" t="n">
        <v>45705</v>
      </c>
      <c r="C385" s="1" t="n">
        <v>45976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73260-2021</t>
        </is>
      </c>
      <c r="B386" s="1" t="n">
        <v>44550.79950231482</v>
      </c>
      <c r="C386" s="1" t="n">
        <v>45976</v>
      </c>
      <c r="D386" t="inlineStr">
        <is>
          <t>ÖSTERGÖTLANDS LÄN</t>
        </is>
      </c>
      <c r="E386" t="inlineStr">
        <is>
          <t>FINSPÅNG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22354-2023</t>
        </is>
      </c>
      <c r="B387" s="1" t="n">
        <v>45070.58025462963</v>
      </c>
      <c r="C387" s="1" t="n">
        <v>45976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47224-2023</t>
        </is>
      </c>
      <c r="B388" s="1" t="n">
        <v>45202</v>
      </c>
      <c r="C388" s="1" t="n">
        <v>45976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6527-2023</t>
        </is>
      </c>
      <c r="B389" s="1" t="n">
        <v>44966</v>
      </c>
      <c r="C389" s="1" t="n">
        <v>45976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26247-2022</t>
        </is>
      </c>
      <c r="B390" s="1" t="n">
        <v>44735.48800925926</v>
      </c>
      <c r="C390" s="1" t="n">
        <v>45976</v>
      </c>
      <c r="D390" t="inlineStr">
        <is>
          <t>ÖSTERGÖTLANDS LÄN</t>
        </is>
      </c>
      <c r="E390" t="inlineStr">
        <is>
          <t>FINSPÅNG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38480-2025</t>
        </is>
      </c>
      <c r="B391" s="1" t="n">
        <v>45884.32354166666</v>
      </c>
      <c r="C391" s="1" t="n">
        <v>45976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50356-2024</t>
        </is>
      </c>
      <c r="B392" s="1" t="n">
        <v>45600</v>
      </c>
      <c r="C392" s="1" t="n">
        <v>45976</v>
      </c>
      <c r="D392" t="inlineStr">
        <is>
          <t>ÖSTERGÖTLANDS LÄN</t>
        </is>
      </c>
      <c r="E392" t="inlineStr">
        <is>
          <t>FINSPÅNG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35466-2025</t>
        </is>
      </c>
      <c r="B393" s="1" t="n">
        <v>45855.65826388889</v>
      </c>
      <c r="C393" s="1" t="n">
        <v>45976</v>
      </c>
      <c r="D393" t="inlineStr">
        <is>
          <t>ÖSTERGÖTLANDS LÄN</t>
        </is>
      </c>
      <c r="E393" t="inlineStr">
        <is>
          <t>FINSPÅNG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49301-2023</t>
        </is>
      </c>
      <c r="B394" s="1" t="n">
        <v>45210</v>
      </c>
      <c r="C394" s="1" t="n">
        <v>45976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53323-2023</t>
        </is>
      </c>
      <c r="B395" s="1" t="n">
        <v>45229.61754629629</v>
      </c>
      <c r="C395" s="1" t="n">
        <v>45976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4071-2024</t>
        </is>
      </c>
      <c r="B396" s="1" t="n">
        <v>45323.56947916667</v>
      </c>
      <c r="C396" s="1" t="n">
        <v>45976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58142-2022</t>
        </is>
      </c>
      <c r="B397" s="1" t="n">
        <v>44900.72767361111</v>
      </c>
      <c r="C397" s="1" t="n">
        <v>45976</v>
      </c>
      <c r="D397" t="inlineStr">
        <is>
          <t>ÖSTERGÖTLANDS LÄN</t>
        </is>
      </c>
      <c r="E397" t="inlineStr">
        <is>
          <t>FINSPÅNG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6575-2024</t>
        </is>
      </c>
      <c r="B398" s="1" t="n">
        <v>45341</v>
      </c>
      <c r="C398" s="1" t="n">
        <v>45976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69377-2020</t>
        </is>
      </c>
      <c r="B399" s="1" t="n">
        <v>44193</v>
      </c>
      <c r="C399" s="1" t="n">
        <v>45976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28559-2023</t>
        </is>
      </c>
      <c r="B400" s="1" t="n">
        <v>45103.52680555556</v>
      </c>
      <c r="C400" s="1" t="n">
        <v>45976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24404-2023</t>
        </is>
      </c>
      <c r="B401" s="1" t="n">
        <v>45082</v>
      </c>
      <c r="C401" s="1" t="n">
        <v>45976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73260-2021</t>
        </is>
      </c>
      <c r="B402" s="1" t="n">
        <v>44550.79950231482</v>
      </c>
      <c r="C402" s="1" t="n">
        <v>45976</v>
      </c>
      <c r="D402" t="inlineStr">
        <is>
          <t>ÖSTERGÖTLANDS LÄN</t>
        </is>
      </c>
      <c r="E402" t="inlineStr">
        <is>
          <t>FINSPÅNG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42705-2024</t>
        </is>
      </c>
      <c r="B403" s="1" t="n">
        <v>45566.43896990741</v>
      </c>
      <c r="C403" s="1" t="n">
        <v>45976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42711-2024</t>
        </is>
      </c>
      <c r="B404" s="1" t="n">
        <v>45566.44668981482</v>
      </c>
      <c r="C404" s="1" t="n">
        <v>45976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7022-2024</t>
        </is>
      </c>
      <c r="B405" s="1" t="n">
        <v>45343.57483796297</v>
      </c>
      <c r="C405" s="1" t="n">
        <v>45976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55612-2021</t>
        </is>
      </c>
      <c r="B406" s="1" t="n">
        <v>44476.24972222222</v>
      </c>
      <c r="C406" s="1" t="n">
        <v>45976</v>
      </c>
      <c r="D406" t="inlineStr">
        <is>
          <t>ÖSTERGÖTLANDS LÄN</t>
        </is>
      </c>
      <c r="E406" t="inlineStr">
        <is>
          <t>FINSPÅNG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24458-2023</t>
        </is>
      </c>
      <c r="B407" s="1" t="n">
        <v>45082.57385416667</v>
      </c>
      <c r="C407" s="1" t="n">
        <v>45976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499-2024</t>
        </is>
      </c>
      <c r="B408" s="1" t="n">
        <v>45299.38380787037</v>
      </c>
      <c r="C408" s="1" t="n">
        <v>45976</v>
      </c>
      <c r="D408" t="inlineStr">
        <is>
          <t>ÖSTERGÖTLANDS LÄN</t>
        </is>
      </c>
      <c r="E408" t="inlineStr">
        <is>
          <t>FINSPÅNG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13671-2023</t>
        </is>
      </c>
      <c r="B409" s="1" t="n">
        <v>45006.8075925926</v>
      </c>
      <c r="C409" s="1" t="n">
        <v>45976</v>
      </c>
      <c r="D409" t="inlineStr">
        <is>
          <t>ÖSTERGÖTLANDS LÄN</t>
        </is>
      </c>
      <c r="E409" t="inlineStr">
        <is>
          <t>FINSPÅNG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21517-2024</t>
        </is>
      </c>
      <c r="B410" s="1" t="n">
        <v>45441.57834490741</v>
      </c>
      <c r="C410" s="1" t="n">
        <v>45976</v>
      </c>
      <c r="D410" t="inlineStr">
        <is>
          <t>ÖSTERGÖTLANDS LÄN</t>
        </is>
      </c>
      <c r="E410" t="inlineStr">
        <is>
          <t>FINSPÅNG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11785-2024</t>
        </is>
      </c>
      <c r="B411" s="1" t="n">
        <v>45374.71145833333</v>
      </c>
      <c r="C411" s="1" t="n">
        <v>45976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Kyrkan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59971-2024</t>
        </is>
      </c>
      <c r="B412" s="1" t="n">
        <v>45642.36315972222</v>
      </c>
      <c r="C412" s="1" t="n">
        <v>45976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13821-2024</t>
        </is>
      </c>
      <c r="B413" s="1" t="n">
        <v>45391.42537037037</v>
      </c>
      <c r="C413" s="1" t="n">
        <v>45976</v>
      </c>
      <c r="D413" t="inlineStr">
        <is>
          <t>ÖSTERGÖTLANDS LÄN</t>
        </is>
      </c>
      <c r="E413" t="inlineStr">
        <is>
          <t>FINSPÅNG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14194-2025</t>
        </is>
      </c>
      <c r="B414" s="1" t="n">
        <v>45740.56240740741</v>
      </c>
      <c r="C414" s="1" t="n">
        <v>45976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12472-2024</t>
        </is>
      </c>
      <c r="B415" s="1" t="n">
        <v>45379</v>
      </c>
      <c r="C415" s="1" t="n">
        <v>45976</v>
      </c>
      <c r="D415" t="inlineStr">
        <is>
          <t>ÖSTERGÖTLANDS LÄN</t>
        </is>
      </c>
      <c r="E415" t="inlineStr">
        <is>
          <t>FINSPÅNG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27487-2023</t>
        </is>
      </c>
      <c r="B416" s="1" t="n">
        <v>45095</v>
      </c>
      <c r="C416" s="1" t="n">
        <v>45976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43166-2021</t>
        </is>
      </c>
      <c r="B417" s="1" t="n">
        <v>44431</v>
      </c>
      <c r="C417" s="1" t="n">
        <v>45976</v>
      </c>
      <c r="D417" t="inlineStr">
        <is>
          <t>ÖSTERGÖTLANDS LÄN</t>
        </is>
      </c>
      <c r="E417" t="inlineStr">
        <is>
          <t>FINSPÅNG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11481-2023</t>
        </is>
      </c>
      <c r="B418" s="1" t="n">
        <v>44993.61875</v>
      </c>
      <c r="C418" s="1" t="n">
        <v>45976</v>
      </c>
      <c r="D418" t="inlineStr">
        <is>
          <t>ÖSTERGÖTLANDS LÄN</t>
        </is>
      </c>
      <c r="E418" t="inlineStr">
        <is>
          <t>FINSPÅNG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63321-2021</t>
        </is>
      </c>
      <c r="B419" s="1" t="n">
        <v>44508</v>
      </c>
      <c r="C419" s="1" t="n">
        <v>45976</v>
      </c>
      <c r="D419" t="inlineStr">
        <is>
          <t>ÖSTERGÖTLANDS LÄN</t>
        </is>
      </c>
      <c r="E419" t="inlineStr">
        <is>
          <t>FINSPÅNG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44571-2022</t>
        </is>
      </c>
      <c r="B420" s="1" t="n">
        <v>44840</v>
      </c>
      <c r="C420" s="1" t="n">
        <v>45976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67937-2020</t>
        </is>
      </c>
      <c r="B421" s="1" t="n">
        <v>44182</v>
      </c>
      <c r="C421" s="1" t="n">
        <v>45976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3682-2025</t>
        </is>
      </c>
      <c r="B422" s="1" t="n">
        <v>45681</v>
      </c>
      <c r="C422" s="1" t="n">
        <v>45976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17992-2023</t>
        </is>
      </c>
      <c r="B423" s="1" t="n">
        <v>45040</v>
      </c>
      <c r="C423" s="1" t="n">
        <v>45976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9418-2023</t>
        </is>
      </c>
      <c r="B424" s="1" t="n">
        <v>44981</v>
      </c>
      <c r="C424" s="1" t="n">
        <v>45976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9148-2021</t>
        </is>
      </c>
      <c r="B425" s="1" t="n">
        <v>44249</v>
      </c>
      <c r="C425" s="1" t="n">
        <v>45976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62843-2020</t>
        </is>
      </c>
      <c r="B426" s="1" t="n">
        <v>44161</v>
      </c>
      <c r="C426" s="1" t="n">
        <v>45976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23249-2023</t>
        </is>
      </c>
      <c r="B427" s="1" t="n">
        <v>45075.71163194445</v>
      </c>
      <c r="C427" s="1" t="n">
        <v>45976</v>
      </c>
      <c r="D427" t="inlineStr">
        <is>
          <t>ÖSTERGÖTLANDS LÄN</t>
        </is>
      </c>
      <c r="E427" t="inlineStr">
        <is>
          <t>FINSPÅNG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54581-2024</t>
        </is>
      </c>
      <c r="B428" s="1" t="n">
        <v>45617.65668981482</v>
      </c>
      <c r="C428" s="1" t="n">
        <v>45976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18295-2025</t>
        </is>
      </c>
      <c r="B429" s="1" t="n">
        <v>45762.41467592592</v>
      </c>
      <c r="C429" s="1" t="n">
        <v>45976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Sveaskog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17557-2022</t>
        </is>
      </c>
      <c r="B430" s="1" t="n">
        <v>44679</v>
      </c>
      <c r="C430" s="1" t="n">
        <v>45976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55231-2024</t>
        </is>
      </c>
      <c r="B431" s="1" t="n">
        <v>45621.58040509259</v>
      </c>
      <c r="C431" s="1" t="n">
        <v>45976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24192-2022</t>
        </is>
      </c>
      <c r="B432" s="1" t="n">
        <v>44725.56457175926</v>
      </c>
      <c r="C432" s="1" t="n">
        <v>45976</v>
      </c>
      <c r="D432" t="inlineStr">
        <is>
          <t>ÖSTERGÖTLANDS LÄN</t>
        </is>
      </c>
      <c r="E432" t="inlineStr">
        <is>
          <t>FINSPÅNG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24510-2023</t>
        </is>
      </c>
      <c r="B433" s="1" t="n">
        <v>45082.66013888889</v>
      </c>
      <c r="C433" s="1" t="n">
        <v>45976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20157-2023</t>
        </is>
      </c>
      <c r="B434" s="1" t="n">
        <v>45055</v>
      </c>
      <c r="C434" s="1" t="n">
        <v>45976</v>
      </c>
      <c r="D434" t="inlineStr">
        <is>
          <t>ÖSTERGÖTLANDS LÄN</t>
        </is>
      </c>
      <c r="E434" t="inlineStr">
        <is>
          <t>FINSPÅNG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39137-2025</t>
        </is>
      </c>
      <c r="B435" s="1" t="n">
        <v>45888.59415509259</v>
      </c>
      <c r="C435" s="1" t="n">
        <v>45976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4754-2025</t>
        </is>
      </c>
      <c r="B436" s="1" t="n">
        <v>45688.46846064815</v>
      </c>
      <c r="C436" s="1" t="n">
        <v>45976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48658-2024</t>
        </is>
      </c>
      <c r="B437" s="1" t="n">
        <v>45593.48603009259</v>
      </c>
      <c r="C437" s="1" t="n">
        <v>45976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58313-2023</t>
        </is>
      </c>
      <c r="B438" s="1" t="n">
        <v>45250.57002314815</v>
      </c>
      <c r="C438" s="1" t="n">
        <v>45976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58333-2023</t>
        </is>
      </c>
      <c r="B439" s="1" t="n">
        <v>45250.59774305556</v>
      </c>
      <c r="C439" s="1" t="n">
        <v>45976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220-2024</t>
        </is>
      </c>
      <c r="B440" s="1" t="n">
        <v>45293</v>
      </c>
      <c r="C440" s="1" t="n">
        <v>45976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40296-2024</t>
        </is>
      </c>
      <c r="B441" s="1" t="n">
        <v>45554.69748842593</v>
      </c>
      <c r="C441" s="1" t="n">
        <v>45976</v>
      </c>
      <c r="D441" t="inlineStr">
        <is>
          <t>ÖSTERGÖTLANDS LÄN</t>
        </is>
      </c>
      <c r="E441" t="inlineStr">
        <is>
          <t>FINSPÅNG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39025-2025</t>
        </is>
      </c>
      <c r="B442" s="1" t="n">
        <v>45888.3796875</v>
      </c>
      <c r="C442" s="1" t="n">
        <v>45976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39053-2025</t>
        </is>
      </c>
      <c r="B443" s="1" t="n">
        <v>45888.44862268519</v>
      </c>
      <c r="C443" s="1" t="n">
        <v>45976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5349-2025</t>
        </is>
      </c>
      <c r="B444" s="1" t="n">
        <v>45692.55859953703</v>
      </c>
      <c r="C444" s="1" t="n">
        <v>45976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49904-2023</t>
        </is>
      </c>
      <c r="B445" s="1" t="n">
        <v>45214</v>
      </c>
      <c r="C445" s="1" t="n">
        <v>45976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32431-2023</t>
        </is>
      </c>
      <c r="B446" s="1" t="n">
        <v>45110</v>
      </c>
      <c r="C446" s="1" t="n">
        <v>45976</v>
      </c>
      <c r="D446" t="inlineStr">
        <is>
          <t>ÖSTERGÖTLANDS LÄN</t>
        </is>
      </c>
      <c r="E446" t="inlineStr">
        <is>
          <t>FINSPÅNG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39826-2025</t>
        </is>
      </c>
      <c r="B447" s="1" t="n">
        <v>45891.55048611111</v>
      </c>
      <c r="C447" s="1" t="n">
        <v>45976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8193-2025</t>
        </is>
      </c>
      <c r="B448" s="1" t="n">
        <v>45707</v>
      </c>
      <c r="C448" s="1" t="n">
        <v>45976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Allmännings- och besparingsskogar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306-2025</t>
        </is>
      </c>
      <c r="B449" s="1" t="n">
        <v>45660.58204861111</v>
      </c>
      <c r="C449" s="1" t="n">
        <v>45976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15855-2025</t>
        </is>
      </c>
      <c r="B450" s="1" t="n">
        <v>45749.3371875</v>
      </c>
      <c r="C450" s="1" t="n">
        <v>45976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22259-2024</t>
        </is>
      </c>
      <c r="B451" s="1" t="n">
        <v>45446.48325231481</v>
      </c>
      <c r="C451" s="1" t="n">
        <v>45976</v>
      </c>
      <c r="D451" t="inlineStr">
        <is>
          <t>ÖSTERGÖTLANDS LÄN</t>
        </is>
      </c>
      <c r="E451" t="inlineStr">
        <is>
          <t>FINSPÅNG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33804-2023</t>
        </is>
      </c>
      <c r="B452" s="1" t="n">
        <v>45133.57666666667</v>
      </c>
      <c r="C452" s="1" t="n">
        <v>45976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3796-2025</t>
        </is>
      </c>
      <c r="B453" s="1" t="n">
        <v>45681.64767361111</v>
      </c>
      <c r="C453" s="1" t="n">
        <v>45976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39709-2025</t>
        </is>
      </c>
      <c r="B454" s="1" t="n">
        <v>45890.84398148148</v>
      </c>
      <c r="C454" s="1" t="n">
        <v>45976</v>
      </c>
      <c r="D454" t="inlineStr">
        <is>
          <t>ÖSTERGÖTLANDS LÄN</t>
        </is>
      </c>
      <c r="E454" t="inlineStr">
        <is>
          <t>FINSPÅNG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58984-2022</t>
        </is>
      </c>
      <c r="B455" s="1" t="n">
        <v>44903.69664351852</v>
      </c>
      <c r="C455" s="1" t="n">
        <v>45976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13375-2025</t>
        </is>
      </c>
      <c r="B456" s="1" t="n">
        <v>45735.6669212963</v>
      </c>
      <c r="C456" s="1" t="n">
        <v>45976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32795-2024</t>
        </is>
      </c>
      <c r="B457" s="1" t="n">
        <v>45516.5593287037</v>
      </c>
      <c r="C457" s="1" t="n">
        <v>45976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60749-2022</t>
        </is>
      </c>
      <c r="B458" s="1" t="n">
        <v>44914</v>
      </c>
      <c r="C458" s="1" t="n">
        <v>45976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39114-2024</t>
        </is>
      </c>
      <c r="B459" s="1" t="n">
        <v>45548.58607638889</v>
      </c>
      <c r="C459" s="1" t="n">
        <v>45976</v>
      </c>
      <c r="D459" t="inlineStr">
        <is>
          <t>ÖSTERGÖTLANDS LÄN</t>
        </is>
      </c>
      <c r="E459" t="inlineStr">
        <is>
          <t>FINSPÅNG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11867-2025</t>
        </is>
      </c>
      <c r="B460" s="1" t="n">
        <v>45728.42060185185</v>
      </c>
      <c r="C460" s="1" t="n">
        <v>45976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62186-2023</t>
        </is>
      </c>
      <c r="B461" s="1" t="n">
        <v>45267.45017361111</v>
      </c>
      <c r="C461" s="1" t="n">
        <v>45976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15900-2025</t>
        </is>
      </c>
      <c r="B462" s="1" t="n">
        <v>45749.42486111111</v>
      </c>
      <c r="C462" s="1" t="n">
        <v>45976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6628-2023</t>
        </is>
      </c>
      <c r="B463" s="1" t="n">
        <v>44966</v>
      </c>
      <c r="C463" s="1" t="n">
        <v>45976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41513-2024</t>
        </is>
      </c>
      <c r="B464" s="1" t="n">
        <v>45560</v>
      </c>
      <c r="C464" s="1" t="n">
        <v>45976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40186-2025</t>
        </is>
      </c>
      <c r="B465" s="1" t="n">
        <v>45894.64597222222</v>
      </c>
      <c r="C465" s="1" t="n">
        <v>45976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14022-2023</t>
        </is>
      </c>
      <c r="B466" s="1" t="n">
        <v>45008.59934027777</v>
      </c>
      <c r="C466" s="1" t="n">
        <v>45976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45407-2022</t>
        </is>
      </c>
      <c r="B467" s="1" t="n">
        <v>44844</v>
      </c>
      <c r="C467" s="1" t="n">
        <v>45976</v>
      </c>
      <c r="D467" t="inlineStr">
        <is>
          <t>ÖSTERGÖTLANDS LÄN</t>
        </is>
      </c>
      <c r="E467" t="inlineStr">
        <is>
          <t>FINSPÅNG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45411-2022</t>
        </is>
      </c>
      <c r="B468" s="1" t="n">
        <v>44844</v>
      </c>
      <c r="C468" s="1" t="n">
        <v>45976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40063-2024</t>
        </is>
      </c>
      <c r="B469" s="1" t="n">
        <v>45554.27943287037</v>
      </c>
      <c r="C469" s="1" t="n">
        <v>45976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5656-2023</t>
        </is>
      </c>
      <c r="B470" s="1" t="n">
        <v>44960.61972222223</v>
      </c>
      <c r="C470" s="1" t="n">
        <v>45976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54609-2021</t>
        </is>
      </c>
      <c r="B471" s="1" t="n">
        <v>44473</v>
      </c>
      <c r="C471" s="1" t="n">
        <v>45976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9009-2024</t>
        </is>
      </c>
      <c r="B472" s="1" t="n">
        <v>45357.58004629629</v>
      </c>
      <c r="C472" s="1" t="n">
        <v>45976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14031-2025</t>
        </is>
      </c>
      <c r="B473" s="1" t="n">
        <v>45740.35782407408</v>
      </c>
      <c r="C473" s="1" t="n">
        <v>45976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4748-2025</t>
        </is>
      </c>
      <c r="B474" s="1" t="n">
        <v>45688.46208333333</v>
      </c>
      <c r="C474" s="1" t="n">
        <v>45976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48679-2024</t>
        </is>
      </c>
      <c r="B475" s="1" t="n">
        <v>45593.49458333333</v>
      </c>
      <c r="C475" s="1" t="n">
        <v>45976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5554-2025</t>
        </is>
      </c>
      <c r="B476" s="1" t="n">
        <v>45693.47490740741</v>
      </c>
      <c r="C476" s="1" t="n">
        <v>45976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23821-2023</t>
        </is>
      </c>
      <c r="B477" s="1" t="n">
        <v>45078</v>
      </c>
      <c r="C477" s="1" t="n">
        <v>45976</v>
      </c>
      <c r="D477" t="inlineStr">
        <is>
          <t>ÖSTERGÖTLANDS LÄN</t>
        </is>
      </c>
      <c r="E477" t="inlineStr">
        <is>
          <t>FINSPÅNG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31025-2023</t>
        </is>
      </c>
      <c r="B478" s="1" t="n">
        <v>45113.58054398148</v>
      </c>
      <c r="C478" s="1" t="n">
        <v>45976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40006-2025</t>
        </is>
      </c>
      <c r="B479" s="1" t="n">
        <v>45894.34081018518</v>
      </c>
      <c r="C479" s="1" t="n">
        <v>45976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7269-2024</t>
        </is>
      </c>
      <c r="B480" s="1" t="n">
        <v>45344</v>
      </c>
      <c r="C480" s="1" t="n">
        <v>45976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21532-2024</t>
        </is>
      </c>
      <c r="B481" s="1" t="n">
        <v>45441.59644675926</v>
      </c>
      <c r="C481" s="1" t="n">
        <v>45976</v>
      </c>
      <c r="D481" t="inlineStr">
        <is>
          <t>ÖSTERGÖTLANDS LÄN</t>
        </is>
      </c>
      <c r="E481" t="inlineStr">
        <is>
          <t>FINSPÅNG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9809-2024</t>
        </is>
      </c>
      <c r="B482" s="1" t="n">
        <v>45362</v>
      </c>
      <c r="C482" s="1" t="n">
        <v>45976</v>
      </c>
      <c r="D482" t="inlineStr">
        <is>
          <t>ÖSTERGÖTLANDS LÄN</t>
        </is>
      </c>
      <c r="E482" t="inlineStr">
        <is>
          <t>FINSPÅNG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24806-2023</t>
        </is>
      </c>
      <c r="B483" s="1" t="n">
        <v>45084</v>
      </c>
      <c r="C483" s="1" t="n">
        <v>45976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40215-2025</t>
        </is>
      </c>
      <c r="B484" s="1" t="n">
        <v>45894.68724537037</v>
      </c>
      <c r="C484" s="1" t="n">
        <v>45976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11730-2022</t>
        </is>
      </c>
      <c r="B485" s="1" t="n">
        <v>44634</v>
      </c>
      <c r="C485" s="1" t="n">
        <v>45976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45311-2023</t>
        </is>
      </c>
      <c r="B486" s="1" t="n">
        <v>45191</v>
      </c>
      <c r="C486" s="1" t="n">
        <v>45976</v>
      </c>
      <c r="D486" t="inlineStr">
        <is>
          <t>ÖSTERGÖTLANDS LÄN</t>
        </is>
      </c>
      <c r="E486" t="inlineStr">
        <is>
          <t>FINSPÅNG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58905-2023</t>
        </is>
      </c>
      <c r="B487" s="1" t="n">
        <v>45252.50694444445</v>
      </c>
      <c r="C487" s="1" t="n">
        <v>45976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48790-2023</t>
        </is>
      </c>
      <c r="B488" s="1" t="n">
        <v>45209.00003472222</v>
      </c>
      <c r="C488" s="1" t="n">
        <v>45976</v>
      </c>
      <c r="D488" t="inlineStr">
        <is>
          <t>ÖSTERGÖTLANDS LÄN</t>
        </is>
      </c>
      <c r="E488" t="inlineStr">
        <is>
          <t>FINSPÅNG</t>
        </is>
      </c>
      <c r="G488" t="n">
        <v>14.6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48793-2023</t>
        </is>
      </c>
      <c r="B489" s="1" t="n">
        <v>45209</v>
      </c>
      <c r="C489" s="1" t="n">
        <v>45976</v>
      </c>
      <c r="D489" t="inlineStr">
        <is>
          <t>ÖSTERGÖTLANDS LÄN</t>
        </is>
      </c>
      <c r="E489" t="inlineStr">
        <is>
          <t>FINSPÅNG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40472-2025</t>
        </is>
      </c>
      <c r="B490" s="1" t="n">
        <v>45895.67457175926</v>
      </c>
      <c r="C490" s="1" t="n">
        <v>45976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18488-2025</t>
        </is>
      </c>
      <c r="B491" s="1" t="n">
        <v>45763.32456018519</v>
      </c>
      <c r="C491" s="1" t="n">
        <v>45976</v>
      </c>
      <c r="D491" t="inlineStr">
        <is>
          <t>ÖSTERGÖTLANDS LÄN</t>
        </is>
      </c>
      <c r="E491" t="inlineStr">
        <is>
          <t>FINSPÅNG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54404-2023</t>
        </is>
      </c>
      <c r="B492" s="1" t="n">
        <v>45233</v>
      </c>
      <c r="C492" s="1" t="n">
        <v>45976</v>
      </c>
      <c r="D492" t="inlineStr">
        <is>
          <t>ÖSTERGÖTLANDS LÄN</t>
        </is>
      </c>
      <c r="E492" t="inlineStr">
        <is>
          <t>FINSPÅNG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32044-2022</t>
        </is>
      </c>
      <c r="B493" s="1" t="n">
        <v>44778.47692129629</v>
      </c>
      <c r="C493" s="1" t="n">
        <v>45976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59651-2024</t>
        </is>
      </c>
      <c r="B494" s="1" t="n">
        <v>45639.34571759259</v>
      </c>
      <c r="C494" s="1" t="n">
        <v>45976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10258-2025</t>
        </is>
      </c>
      <c r="B495" s="1" t="n">
        <v>45720.37665509259</v>
      </c>
      <c r="C495" s="1" t="n">
        <v>45976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59287-2023</t>
        </is>
      </c>
      <c r="B496" s="1" t="n">
        <v>45253.57049768518</v>
      </c>
      <c r="C496" s="1" t="n">
        <v>45976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62845-2020</t>
        </is>
      </c>
      <c r="B497" s="1" t="n">
        <v>44161</v>
      </c>
      <c r="C497" s="1" t="n">
        <v>45976</v>
      </c>
      <c r="D497" t="inlineStr">
        <is>
          <t>ÖSTERGÖTLANDS LÄN</t>
        </is>
      </c>
      <c r="E497" t="inlineStr">
        <is>
          <t>FINSPÅNG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62847-2020</t>
        </is>
      </c>
      <c r="B498" s="1" t="n">
        <v>44161</v>
      </c>
      <c r="C498" s="1" t="n">
        <v>45976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36192-2023</t>
        </is>
      </c>
      <c r="B499" s="1" t="n">
        <v>45149</v>
      </c>
      <c r="C499" s="1" t="n">
        <v>45976</v>
      </c>
      <c r="D499" t="inlineStr">
        <is>
          <t>ÖSTERGÖTLANDS LÄN</t>
        </is>
      </c>
      <c r="E499" t="inlineStr">
        <is>
          <t>FINSPÅNG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73655-2021</t>
        </is>
      </c>
      <c r="B500" s="1" t="n">
        <v>44551</v>
      </c>
      <c r="C500" s="1" t="n">
        <v>45976</v>
      </c>
      <c r="D500" t="inlineStr">
        <is>
          <t>ÖSTERGÖTLANDS LÄN</t>
        </is>
      </c>
      <c r="E500" t="inlineStr">
        <is>
          <t>FINSPÅNG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42694-2024</t>
        </is>
      </c>
      <c r="B501" s="1" t="n">
        <v>45566</v>
      </c>
      <c r="C501" s="1" t="n">
        <v>45976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42700-2024</t>
        </is>
      </c>
      <c r="B502" s="1" t="n">
        <v>45566</v>
      </c>
      <c r="C502" s="1" t="n">
        <v>45976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57156-2024</t>
        </is>
      </c>
      <c r="B503" s="1" t="n">
        <v>45629.40020833333</v>
      </c>
      <c r="C503" s="1" t="n">
        <v>45976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48453-2025</t>
        </is>
      </c>
      <c r="B504" s="1" t="n">
        <v>45935.79518518518</v>
      </c>
      <c r="C504" s="1" t="n">
        <v>45976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43858-2021</t>
        </is>
      </c>
      <c r="B505" s="1" t="n">
        <v>44434</v>
      </c>
      <c r="C505" s="1" t="n">
        <v>45976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6203-2025</t>
        </is>
      </c>
      <c r="B506" s="1" t="n">
        <v>45698.48292824074</v>
      </c>
      <c r="C506" s="1" t="n">
        <v>45976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43744-2021</t>
        </is>
      </c>
      <c r="B507" s="1" t="n">
        <v>44433</v>
      </c>
      <c r="C507" s="1" t="n">
        <v>45976</v>
      </c>
      <c r="D507" t="inlineStr">
        <is>
          <t>ÖSTERGÖTLANDS LÄN</t>
        </is>
      </c>
      <c r="E507" t="inlineStr">
        <is>
          <t>FINSPÅNG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48451-2025</t>
        </is>
      </c>
      <c r="B508" s="1" t="n">
        <v>45935.78858796296</v>
      </c>
      <c r="C508" s="1" t="n">
        <v>45976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49494-2022</t>
        </is>
      </c>
      <c r="B509" s="1" t="n">
        <v>44861</v>
      </c>
      <c r="C509" s="1" t="n">
        <v>45976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Naturvårdsverket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42782-2024</t>
        </is>
      </c>
      <c r="B510" s="1" t="n">
        <v>45566.53284722222</v>
      </c>
      <c r="C510" s="1" t="n">
        <v>45976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43051-2022</t>
        </is>
      </c>
      <c r="B511" s="1" t="n">
        <v>44833</v>
      </c>
      <c r="C511" s="1" t="n">
        <v>45976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15824-2022</t>
        </is>
      </c>
      <c r="B512" s="1" t="n">
        <v>44664</v>
      </c>
      <c r="C512" s="1" t="n">
        <v>45976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56199-2022</t>
        </is>
      </c>
      <c r="B513" s="1" t="n">
        <v>44890</v>
      </c>
      <c r="C513" s="1" t="n">
        <v>45976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63344-2020</t>
        </is>
      </c>
      <c r="B514" s="1" t="n">
        <v>44165</v>
      </c>
      <c r="C514" s="1" t="n">
        <v>45976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28558-2023</t>
        </is>
      </c>
      <c r="B515" s="1" t="n">
        <v>45103.52126157407</v>
      </c>
      <c r="C515" s="1" t="n">
        <v>45976</v>
      </c>
      <c r="D515" t="inlineStr">
        <is>
          <t>ÖSTERGÖTLANDS LÄN</t>
        </is>
      </c>
      <c r="E515" t="inlineStr">
        <is>
          <t>FINSPÅNG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58141-2022</t>
        </is>
      </c>
      <c r="B516" s="1" t="n">
        <v>44900.723125</v>
      </c>
      <c r="C516" s="1" t="n">
        <v>45976</v>
      </c>
      <c r="D516" t="inlineStr">
        <is>
          <t>ÖSTERGÖTLANDS LÄN</t>
        </is>
      </c>
      <c r="E516" t="inlineStr">
        <is>
          <t>FINSPÅNG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51445-2024</t>
        </is>
      </c>
      <c r="B517" s="1" t="n">
        <v>45604.48474537037</v>
      </c>
      <c r="C517" s="1" t="n">
        <v>45976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481-2025</t>
        </is>
      </c>
      <c r="B518" s="1" t="n">
        <v>45664.4512962963</v>
      </c>
      <c r="C518" s="1" t="n">
        <v>45976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2852-2025</t>
        </is>
      </c>
      <c r="B519" s="1" t="n">
        <v>45677.65697916667</v>
      </c>
      <c r="C519" s="1" t="n">
        <v>45976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54916-2024</t>
        </is>
      </c>
      <c r="B520" s="1" t="n">
        <v>45618.69439814815</v>
      </c>
      <c r="C520" s="1" t="n">
        <v>45976</v>
      </c>
      <c r="D520" t="inlineStr">
        <is>
          <t>ÖSTERGÖTLANDS LÄN</t>
        </is>
      </c>
      <c r="E520" t="inlineStr">
        <is>
          <t>FINSPÅNG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2381-2023</t>
        </is>
      </c>
      <c r="B521" s="1" t="n">
        <v>44942.70369212963</v>
      </c>
      <c r="C521" s="1" t="n">
        <v>45976</v>
      </c>
      <c r="D521" t="inlineStr">
        <is>
          <t>ÖSTERGÖTLANDS LÄN</t>
        </is>
      </c>
      <c r="E521" t="inlineStr">
        <is>
          <t>FINSPÅNG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3107-2023</t>
        </is>
      </c>
      <c r="B522" s="1" t="n">
        <v>44946</v>
      </c>
      <c r="C522" s="1" t="n">
        <v>45976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49142-2023</t>
        </is>
      </c>
      <c r="B523" s="1" t="n">
        <v>45210</v>
      </c>
      <c r="C523" s="1" t="n">
        <v>45976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59702-2024</t>
        </is>
      </c>
      <c r="B524" s="1" t="n">
        <v>45639.42581018519</v>
      </c>
      <c r="C524" s="1" t="n">
        <v>45976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40056-2025</t>
        </is>
      </c>
      <c r="B525" s="1" t="n">
        <v>45894.41927083334</v>
      </c>
      <c r="C525" s="1" t="n">
        <v>45976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2650-2023</t>
        </is>
      </c>
      <c r="B526" s="1" t="n">
        <v>44944.42813657408</v>
      </c>
      <c r="C526" s="1" t="n">
        <v>45976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507-2024</t>
        </is>
      </c>
      <c r="B527" s="1" t="n">
        <v>45299</v>
      </c>
      <c r="C527" s="1" t="n">
        <v>45976</v>
      </c>
      <c r="D527" t="inlineStr">
        <is>
          <t>ÖSTERGÖTLANDS LÄN</t>
        </is>
      </c>
      <c r="E527" t="inlineStr">
        <is>
          <t>FINSPÅNG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1020-2024</t>
        </is>
      </c>
      <c r="B528" s="1" t="n">
        <v>45301</v>
      </c>
      <c r="C528" s="1" t="n">
        <v>45976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307-2025</t>
        </is>
      </c>
      <c r="B529" s="1" t="n">
        <v>45660.58243055556</v>
      </c>
      <c r="C529" s="1" t="n">
        <v>45976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48455-2025</t>
        </is>
      </c>
      <c r="B530" s="1" t="n">
        <v>45935.81170138889</v>
      </c>
      <c r="C530" s="1" t="n">
        <v>45976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27697-2023</t>
        </is>
      </c>
      <c r="B531" s="1" t="n">
        <v>45095</v>
      </c>
      <c r="C531" s="1" t="n">
        <v>45976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27699-2023</t>
        </is>
      </c>
      <c r="B532" s="1" t="n">
        <v>45095</v>
      </c>
      <c r="C532" s="1" t="n">
        <v>45976</v>
      </c>
      <c r="D532" t="inlineStr">
        <is>
          <t>ÖSTERGÖTLANDS LÄN</t>
        </is>
      </c>
      <c r="E532" t="inlineStr">
        <is>
          <t>FINSPÅNG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14241-2023</t>
        </is>
      </c>
      <c r="B533" s="1" t="n">
        <v>45009</v>
      </c>
      <c r="C533" s="1" t="n">
        <v>45976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58011-2023</t>
        </is>
      </c>
      <c r="B534" s="1" t="n">
        <v>45247.62015046296</v>
      </c>
      <c r="C534" s="1" t="n">
        <v>45976</v>
      </c>
      <c r="D534" t="inlineStr">
        <is>
          <t>ÖSTERGÖTLANDS LÄN</t>
        </is>
      </c>
      <c r="E534" t="inlineStr">
        <is>
          <t>FINSPÅNG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28020-2023</t>
        </is>
      </c>
      <c r="B535" s="1" t="n">
        <v>45095</v>
      </c>
      <c r="C535" s="1" t="n">
        <v>45976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42126-2024</t>
        </is>
      </c>
      <c r="B536" s="1" t="n">
        <v>45562.40121527778</v>
      </c>
      <c r="C536" s="1" t="n">
        <v>45976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35096-2021</t>
        </is>
      </c>
      <c r="B537" s="1" t="n">
        <v>44383</v>
      </c>
      <c r="C537" s="1" t="n">
        <v>45976</v>
      </c>
      <c r="D537" t="inlineStr">
        <is>
          <t>ÖSTERGÖTLANDS LÄN</t>
        </is>
      </c>
      <c r="E537" t="inlineStr">
        <is>
          <t>FINSPÅNG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28556-2023</t>
        </is>
      </c>
      <c r="B538" s="1" t="n">
        <v>45103.51917824074</v>
      </c>
      <c r="C538" s="1" t="n">
        <v>45976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39205-2022</t>
        </is>
      </c>
      <c r="B539" s="1" t="n">
        <v>44817</v>
      </c>
      <c r="C539" s="1" t="n">
        <v>45976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41011-2025</t>
        </is>
      </c>
      <c r="B540" s="1" t="n">
        <v>45897</v>
      </c>
      <c r="C540" s="1" t="n">
        <v>45976</v>
      </c>
      <c r="D540" t="inlineStr">
        <is>
          <t>ÖSTERGÖTLANDS LÄN</t>
        </is>
      </c>
      <c r="E540" t="inlineStr">
        <is>
          <t>FINSPÅNG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22714-2022</t>
        </is>
      </c>
      <c r="B541" s="1" t="n">
        <v>44714</v>
      </c>
      <c r="C541" s="1" t="n">
        <v>45976</v>
      </c>
      <c r="D541" t="inlineStr">
        <is>
          <t>ÖSTERGÖTLANDS LÄN</t>
        </is>
      </c>
      <c r="E541" t="inlineStr">
        <is>
          <t>FINSPÅNG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60547-2023</t>
        </is>
      </c>
      <c r="B542" s="1" t="n">
        <v>45259</v>
      </c>
      <c r="C542" s="1" t="n">
        <v>45976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6407-2023</t>
        </is>
      </c>
      <c r="B543" s="1" t="n">
        <v>44965</v>
      </c>
      <c r="C543" s="1" t="n">
        <v>45976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3592-2024</t>
        </is>
      </c>
      <c r="B544" s="1" t="n">
        <v>45320.70833333334</v>
      </c>
      <c r="C544" s="1" t="n">
        <v>45976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11140-2023</t>
        </is>
      </c>
      <c r="B545" s="1" t="n">
        <v>44992.49708333334</v>
      </c>
      <c r="C545" s="1" t="n">
        <v>45976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14134-2025</t>
        </is>
      </c>
      <c r="B546" s="1" t="n">
        <v>45740.47725694445</v>
      </c>
      <c r="C546" s="1" t="n">
        <v>45976</v>
      </c>
      <c r="D546" t="inlineStr">
        <is>
          <t>ÖSTERGÖTLANDS LÄN</t>
        </is>
      </c>
      <c r="E546" t="inlineStr">
        <is>
          <t>FINSPÅNG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3405-2025</t>
        </is>
      </c>
      <c r="B547" s="1" t="n">
        <v>45680.37934027778</v>
      </c>
      <c r="C547" s="1" t="n">
        <v>45976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4558-2025</t>
        </is>
      </c>
      <c r="B548" s="1" t="n">
        <v>45687.45034722222</v>
      </c>
      <c r="C548" s="1" t="n">
        <v>45976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40306-2021</t>
        </is>
      </c>
      <c r="B549" s="1" t="n">
        <v>44419</v>
      </c>
      <c r="C549" s="1" t="n">
        <v>45976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7529-2025</t>
        </is>
      </c>
      <c r="B550" s="1" t="n">
        <v>45705.55550925926</v>
      </c>
      <c r="C550" s="1" t="n">
        <v>45976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7531-2025</t>
        </is>
      </c>
      <c r="B551" s="1" t="n">
        <v>45705.55886574074</v>
      </c>
      <c r="C551" s="1" t="n">
        <v>45976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8528-2022</t>
        </is>
      </c>
      <c r="B552" s="1" t="n">
        <v>44613.45770833334</v>
      </c>
      <c r="C552" s="1" t="n">
        <v>45976</v>
      </c>
      <c r="D552" t="inlineStr">
        <is>
          <t>ÖSTERGÖTLANDS LÄN</t>
        </is>
      </c>
      <c r="E552" t="inlineStr">
        <is>
          <t>FINSPÅNG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10215-2022</t>
        </is>
      </c>
      <c r="B553" s="1" t="n">
        <v>44622.47993055556</v>
      </c>
      <c r="C553" s="1" t="n">
        <v>45976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25188-2023</t>
        </is>
      </c>
      <c r="B554" s="1" t="n">
        <v>45086.56525462963</v>
      </c>
      <c r="C554" s="1" t="n">
        <v>45976</v>
      </c>
      <c r="D554" t="inlineStr">
        <is>
          <t>ÖSTERGÖTLANDS LÄN</t>
        </is>
      </c>
      <c r="E554" t="inlineStr">
        <is>
          <t>FINSPÅNG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34001-2024</t>
        </is>
      </c>
      <c r="B555" s="1" t="n">
        <v>45523.55290509259</v>
      </c>
      <c r="C555" s="1" t="n">
        <v>45976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1674-2021</t>
        </is>
      </c>
      <c r="B556" s="1" t="n">
        <v>44209</v>
      </c>
      <c r="C556" s="1" t="n">
        <v>45976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32596-2021</t>
        </is>
      </c>
      <c r="B557" s="1" t="n">
        <v>44375</v>
      </c>
      <c r="C557" s="1" t="n">
        <v>45976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54299-2023</t>
        </is>
      </c>
      <c r="B558" s="1" t="n">
        <v>45232.79605324074</v>
      </c>
      <c r="C558" s="1" t="n">
        <v>45976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30921-2022</t>
        </is>
      </c>
      <c r="B559" s="1" t="n">
        <v>44767.83413194444</v>
      </c>
      <c r="C559" s="1" t="n">
        <v>45976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6021-2023</t>
        </is>
      </c>
      <c r="B560" s="1" t="n">
        <v>44964.43262731482</v>
      </c>
      <c r="C560" s="1" t="n">
        <v>45976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30271-2022</t>
        </is>
      </c>
      <c r="B561" s="1" t="n">
        <v>44759.65983796296</v>
      </c>
      <c r="C561" s="1" t="n">
        <v>45976</v>
      </c>
      <c r="D561" t="inlineStr">
        <is>
          <t>ÖSTERGÖTLANDS LÄN</t>
        </is>
      </c>
      <c r="E561" t="inlineStr">
        <is>
          <t>FINSPÅNG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27105-2023</t>
        </is>
      </c>
      <c r="B562" s="1" t="n">
        <v>45096.42487268519</v>
      </c>
      <c r="C562" s="1" t="n">
        <v>45976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55956-2024</t>
        </is>
      </c>
      <c r="B563" s="1" t="n">
        <v>45623.6296875</v>
      </c>
      <c r="C563" s="1" t="n">
        <v>45976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44148-2024</t>
        </is>
      </c>
      <c r="B564" s="1" t="n">
        <v>45572.67354166666</v>
      </c>
      <c r="C564" s="1" t="n">
        <v>45976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40557-2025</t>
        </is>
      </c>
      <c r="B565" s="1" t="n">
        <v>45896.45008101852</v>
      </c>
      <c r="C565" s="1" t="n">
        <v>45976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56288-2022</t>
        </is>
      </c>
      <c r="B566" s="1" t="n">
        <v>44887</v>
      </c>
      <c r="C566" s="1" t="n">
        <v>45976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41170-2025</t>
        </is>
      </c>
      <c r="B567" s="1" t="n">
        <v>45898.54694444445</v>
      </c>
      <c r="C567" s="1" t="n">
        <v>45976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41188-2025</t>
        </is>
      </c>
      <c r="B568" s="1" t="n">
        <v>45898.56473379629</v>
      </c>
      <c r="C568" s="1" t="n">
        <v>45976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18356-2024</t>
        </is>
      </c>
      <c r="B569" s="1" t="n">
        <v>45422</v>
      </c>
      <c r="C569" s="1" t="n">
        <v>45976</v>
      </c>
      <c r="D569" t="inlineStr">
        <is>
          <t>ÖSTERGÖTLANDS LÄN</t>
        </is>
      </c>
      <c r="E569" t="inlineStr">
        <is>
          <t>FINSPÅNG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10206-2022</t>
        </is>
      </c>
      <c r="B570" s="1" t="n">
        <v>44622.45858796296</v>
      </c>
      <c r="C570" s="1" t="n">
        <v>45976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60169-2023</t>
        </is>
      </c>
      <c r="B571" s="1" t="n">
        <v>45258</v>
      </c>
      <c r="C571" s="1" t="n">
        <v>45976</v>
      </c>
      <c r="D571" t="inlineStr">
        <is>
          <t>ÖSTERGÖTLANDS LÄN</t>
        </is>
      </c>
      <c r="E571" t="inlineStr">
        <is>
          <t>FINSPÅNG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53821-2022</t>
        </is>
      </c>
      <c r="B572" s="1" t="n">
        <v>44880</v>
      </c>
      <c r="C572" s="1" t="n">
        <v>45976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61359-2023</t>
        </is>
      </c>
      <c r="B573" s="1" t="n">
        <v>45264.60973379629</v>
      </c>
      <c r="C573" s="1" t="n">
        <v>45976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41204-2025</t>
        </is>
      </c>
      <c r="B574" s="1" t="n">
        <v>45898.57550925926</v>
      </c>
      <c r="C574" s="1" t="n">
        <v>45976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9554-2022</t>
        </is>
      </c>
      <c r="B575" s="1" t="n">
        <v>44617.43332175926</v>
      </c>
      <c r="C575" s="1" t="n">
        <v>45976</v>
      </c>
      <c r="D575" t="inlineStr">
        <is>
          <t>ÖSTERGÖTLANDS LÄN</t>
        </is>
      </c>
      <c r="E575" t="inlineStr">
        <is>
          <t>FINSPÅNG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45314-2023</t>
        </is>
      </c>
      <c r="B576" s="1" t="n">
        <v>45191</v>
      </c>
      <c r="C576" s="1" t="n">
        <v>45976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47115-2024</t>
        </is>
      </c>
      <c r="B577" s="1" t="n">
        <v>45586.55983796297</v>
      </c>
      <c r="C577" s="1" t="n">
        <v>45976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20403-2021</t>
        </is>
      </c>
      <c r="B578" s="1" t="n">
        <v>44315</v>
      </c>
      <c r="C578" s="1" t="n">
        <v>45976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61994-2022</t>
        </is>
      </c>
      <c r="B579" s="1" t="n">
        <v>44918.41450231482</v>
      </c>
      <c r="C579" s="1" t="n">
        <v>45976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4955-2021</t>
        </is>
      </c>
      <c r="B580" s="1" t="n">
        <v>44228</v>
      </c>
      <c r="C580" s="1" t="n">
        <v>45976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60890-2024</t>
        </is>
      </c>
      <c r="B581" s="1" t="n">
        <v>45644.94405092593</v>
      </c>
      <c r="C581" s="1" t="n">
        <v>45976</v>
      </c>
      <c r="D581" t="inlineStr">
        <is>
          <t>ÖSTERGÖTLANDS LÄN</t>
        </is>
      </c>
      <c r="E581" t="inlineStr">
        <is>
          <t>FINSPÅNG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8317-2023</t>
        </is>
      </c>
      <c r="B582" s="1" t="n">
        <v>44974.72851851852</v>
      </c>
      <c r="C582" s="1" t="n">
        <v>45976</v>
      </c>
      <c r="D582" t="inlineStr">
        <is>
          <t>ÖSTERGÖTLANDS LÄN</t>
        </is>
      </c>
      <c r="E582" t="inlineStr">
        <is>
          <t>FINSPÅNG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5616-2022</t>
        </is>
      </c>
      <c r="B583" s="1" t="n">
        <v>44595</v>
      </c>
      <c r="C583" s="1" t="n">
        <v>45976</v>
      </c>
      <c r="D583" t="inlineStr">
        <is>
          <t>ÖSTERGÖTLANDS LÄN</t>
        </is>
      </c>
      <c r="E583" t="inlineStr">
        <is>
          <t>FINSPÅNG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32789-2024</t>
        </is>
      </c>
      <c r="B584" s="1" t="n">
        <v>45516.53788194444</v>
      </c>
      <c r="C584" s="1" t="n">
        <v>45976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4351-2022</t>
        </is>
      </c>
      <c r="B585" s="1" t="n">
        <v>44589</v>
      </c>
      <c r="C585" s="1" t="n">
        <v>45976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14061-2023</t>
        </is>
      </c>
      <c r="B586" s="1" t="n">
        <v>45008</v>
      </c>
      <c r="C586" s="1" t="n">
        <v>45976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10031-2025</t>
        </is>
      </c>
      <c r="B587" s="1" t="n">
        <v>45719.49388888889</v>
      </c>
      <c r="C587" s="1" t="n">
        <v>45976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10252-2025</t>
        </is>
      </c>
      <c r="B588" s="1" t="n">
        <v>45720.36722222222</v>
      </c>
      <c r="C588" s="1" t="n">
        <v>45976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18445-2023</t>
        </is>
      </c>
      <c r="B589" s="1" t="n">
        <v>45042</v>
      </c>
      <c r="C589" s="1" t="n">
        <v>45976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65234-2020</t>
        </is>
      </c>
      <c r="B590" s="1" t="n">
        <v>44172</v>
      </c>
      <c r="C590" s="1" t="n">
        <v>45976</v>
      </c>
      <c r="D590" t="inlineStr">
        <is>
          <t>ÖSTERGÖTLANDS LÄN</t>
        </is>
      </c>
      <c r="E590" t="inlineStr">
        <is>
          <t>FINSPÅNG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487-2025</t>
        </is>
      </c>
      <c r="B591" s="1" t="n">
        <v>45664.45697916667</v>
      </c>
      <c r="C591" s="1" t="n">
        <v>45976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1628-2023</t>
        </is>
      </c>
      <c r="B592" s="1" t="n">
        <v>44937.78541666667</v>
      </c>
      <c r="C592" s="1" t="n">
        <v>45976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55215-2024</t>
        </is>
      </c>
      <c r="B593" s="1" t="n">
        <v>45621.5675462963</v>
      </c>
      <c r="C593" s="1" t="n">
        <v>45976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8438-2025</t>
        </is>
      </c>
      <c r="B594" s="1" t="n">
        <v>45709.44688657407</v>
      </c>
      <c r="C594" s="1" t="n">
        <v>45976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31393-2022</t>
        </is>
      </c>
      <c r="B595" s="1" t="n">
        <v>44774</v>
      </c>
      <c r="C595" s="1" t="n">
        <v>45976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48652-2024</t>
        </is>
      </c>
      <c r="B596" s="1" t="n">
        <v>45593.48171296297</v>
      </c>
      <c r="C596" s="1" t="n">
        <v>45976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11892-2021</t>
        </is>
      </c>
      <c r="B597" s="1" t="n">
        <v>44265</v>
      </c>
      <c r="C597" s="1" t="n">
        <v>45976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35570-2023</t>
        </is>
      </c>
      <c r="B598" s="1" t="n">
        <v>45147.46668981481</v>
      </c>
      <c r="C598" s="1" t="n">
        <v>45976</v>
      </c>
      <c r="D598" t="inlineStr">
        <is>
          <t>ÖSTERGÖTLANDS LÄN</t>
        </is>
      </c>
      <c r="E598" t="inlineStr">
        <is>
          <t>FINSPÅNG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11541-2023</t>
        </is>
      </c>
      <c r="B599" s="1" t="n">
        <v>44993.91690972223</v>
      </c>
      <c r="C599" s="1" t="n">
        <v>45976</v>
      </c>
      <c r="D599" t="inlineStr">
        <is>
          <t>ÖSTERGÖTLANDS LÄN</t>
        </is>
      </c>
      <c r="E599" t="inlineStr">
        <is>
          <t>FINSPÅNG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27699-2023</t>
        </is>
      </c>
      <c r="B600" s="1" t="n">
        <v>45095</v>
      </c>
      <c r="C600" s="1" t="n">
        <v>45976</v>
      </c>
      <c r="D600" t="inlineStr">
        <is>
          <t>ÖSTERGÖTLANDS LÄN</t>
        </is>
      </c>
      <c r="E600" t="inlineStr">
        <is>
          <t>FINSPÅNG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14140-2025</t>
        </is>
      </c>
      <c r="B601" s="1" t="n">
        <v>45740.48041666667</v>
      </c>
      <c r="C601" s="1" t="n">
        <v>45976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41190-2025</t>
        </is>
      </c>
      <c r="B602" s="1" t="n">
        <v>45898.56826388889</v>
      </c>
      <c r="C602" s="1" t="n">
        <v>45976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18134-2023</t>
        </is>
      </c>
      <c r="B603" s="1" t="n">
        <v>45040</v>
      </c>
      <c r="C603" s="1" t="n">
        <v>45976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62413-2020</t>
        </is>
      </c>
      <c r="B604" s="1" t="n">
        <v>44160</v>
      </c>
      <c r="C604" s="1" t="n">
        <v>45976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199-2022</t>
        </is>
      </c>
      <c r="B605" s="1" t="n">
        <v>44564.68190972223</v>
      </c>
      <c r="C605" s="1" t="n">
        <v>45976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48873-2024</t>
        </is>
      </c>
      <c r="B606" s="1" t="n">
        <v>45594.30484953704</v>
      </c>
      <c r="C606" s="1" t="n">
        <v>45976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52567-2024</t>
        </is>
      </c>
      <c r="B607" s="1" t="n">
        <v>45609.65891203703</v>
      </c>
      <c r="C607" s="1" t="n">
        <v>45976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52007-2024</t>
        </is>
      </c>
      <c r="B608" s="1" t="n">
        <v>45607.76746527778</v>
      </c>
      <c r="C608" s="1" t="n">
        <v>45976</v>
      </c>
      <c r="D608" t="inlineStr">
        <is>
          <t>ÖSTERGÖTLANDS LÄN</t>
        </is>
      </c>
      <c r="E608" t="inlineStr">
        <is>
          <t>FINSPÅNG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52008-2024</t>
        </is>
      </c>
      <c r="B609" s="1" t="n">
        <v>45607.77384259259</v>
      </c>
      <c r="C609" s="1" t="n">
        <v>45976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2047-2024</t>
        </is>
      </c>
      <c r="B610" s="1" t="n">
        <v>45308.87994212963</v>
      </c>
      <c r="C610" s="1" t="n">
        <v>45976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52557-2024</t>
        </is>
      </c>
      <c r="B611" s="1" t="n">
        <v>45609.64965277778</v>
      </c>
      <c r="C611" s="1" t="n">
        <v>45976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735-2025</t>
        </is>
      </c>
      <c r="B612" s="1" t="n">
        <v>45665.41304398148</v>
      </c>
      <c r="C612" s="1" t="n">
        <v>45976</v>
      </c>
      <c r="D612" t="inlineStr">
        <is>
          <t>ÖSTERGÖTLANDS LÄN</t>
        </is>
      </c>
      <c r="E612" t="inlineStr">
        <is>
          <t>FINSPÅNG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39415-2024</t>
        </is>
      </c>
      <c r="B613" s="1" t="n">
        <v>45551.56912037037</v>
      </c>
      <c r="C613" s="1" t="n">
        <v>45976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31323-2022</t>
        </is>
      </c>
      <c r="B614" s="1" t="n">
        <v>44774</v>
      </c>
      <c r="C614" s="1" t="n">
        <v>45976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41805-2025</t>
        </is>
      </c>
      <c r="B615" s="1" t="n">
        <v>45902.63649305556</v>
      </c>
      <c r="C615" s="1" t="n">
        <v>45976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42045-2025</t>
        </is>
      </c>
      <c r="B616" s="1" t="n">
        <v>45903.62509259259</v>
      </c>
      <c r="C616" s="1" t="n">
        <v>45976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16833-2025</t>
        </is>
      </c>
      <c r="B617" s="1" t="n">
        <v>45754.66113425926</v>
      </c>
      <c r="C617" s="1" t="n">
        <v>45976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62168-2022</t>
        </is>
      </c>
      <c r="B618" s="1" t="n">
        <v>44922.47258101852</v>
      </c>
      <c r="C618" s="1" t="n">
        <v>45976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53670-2024</t>
        </is>
      </c>
      <c r="B619" s="1" t="n">
        <v>45615.33805555556</v>
      </c>
      <c r="C619" s="1" t="n">
        <v>45976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42033-2025</t>
        </is>
      </c>
      <c r="B620" s="1" t="n">
        <v>45903.60679398148</v>
      </c>
      <c r="C620" s="1" t="n">
        <v>45976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15140-2025</t>
        </is>
      </c>
      <c r="B621" s="1" t="n">
        <v>45744.38790509259</v>
      </c>
      <c r="C621" s="1" t="n">
        <v>45976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Naturvårdsverket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42027-2025</t>
        </is>
      </c>
      <c r="B622" s="1" t="n">
        <v>45903.59841435185</v>
      </c>
      <c r="C622" s="1" t="n">
        <v>45976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43164-2021</t>
        </is>
      </c>
      <c r="B623" s="1" t="n">
        <v>44431</v>
      </c>
      <c r="C623" s="1" t="n">
        <v>45976</v>
      </c>
      <c r="D623" t="inlineStr">
        <is>
          <t>ÖSTERGÖTLANDS LÄN</t>
        </is>
      </c>
      <c r="E623" t="inlineStr">
        <is>
          <t>FINSPÅNG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42030-2025</t>
        </is>
      </c>
      <c r="B624" s="1" t="n">
        <v>45903.60240740741</v>
      </c>
      <c r="C624" s="1" t="n">
        <v>45976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36110-2023</t>
        </is>
      </c>
      <c r="B625" s="1" t="n">
        <v>45149</v>
      </c>
      <c r="C625" s="1" t="n">
        <v>45976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41802-2025</t>
        </is>
      </c>
      <c r="B626" s="1" t="n">
        <v>45902.62799768519</v>
      </c>
      <c r="C626" s="1" t="n">
        <v>45976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42025-2025</t>
        </is>
      </c>
      <c r="B627" s="1" t="n">
        <v>45903.59527777778</v>
      </c>
      <c r="C627" s="1" t="n">
        <v>45976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14560-2023</t>
        </is>
      </c>
      <c r="B628" s="1" t="n">
        <v>45013.44790509259</v>
      </c>
      <c r="C628" s="1" t="n">
        <v>45976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8611-2025</t>
        </is>
      </c>
      <c r="B629" s="1" t="n">
        <v>45710</v>
      </c>
      <c r="C629" s="1" t="n">
        <v>45976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43965-2024</t>
        </is>
      </c>
      <c r="B630" s="1" t="n">
        <v>45572.48486111111</v>
      </c>
      <c r="C630" s="1" t="n">
        <v>45976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41625-2024</t>
        </is>
      </c>
      <c r="B631" s="1" t="n">
        <v>45560.60784722222</v>
      </c>
      <c r="C631" s="1" t="n">
        <v>45976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18349-2025</t>
        </is>
      </c>
      <c r="B632" s="1" t="n">
        <v>45762.53134259259</v>
      </c>
      <c r="C632" s="1" t="n">
        <v>45976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18370-2025</t>
        </is>
      </c>
      <c r="B633" s="1" t="n">
        <v>45762</v>
      </c>
      <c r="C633" s="1" t="n">
        <v>45976</v>
      </c>
      <c r="D633" t="inlineStr">
        <is>
          <t>ÖSTERGÖTLANDS LÄN</t>
        </is>
      </c>
      <c r="E633" t="inlineStr">
        <is>
          <t>FINSPÅNG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66382-2020</t>
        </is>
      </c>
      <c r="B634" s="1" t="n">
        <v>44176</v>
      </c>
      <c r="C634" s="1" t="n">
        <v>45976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40069-2024</t>
        </is>
      </c>
      <c r="B635" s="1" t="n">
        <v>45554.31143518518</v>
      </c>
      <c r="C635" s="1" t="n">
        <v>45976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57662-2022</t>
        </is>
      </c>
      <c r="B636" s="1" t="n">
        <v>44897.4424537037</v>
      </c>
      <c r="C636" s="1" t="n">
        <v>45976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6105-2024</t>
        </is>
      </c>
      <c r="B637" s="1" t="n">
        <v>45337</v>
      </c>
      <c r="C637" s="1" t="n">
        <v>45976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42368-2025</t>
        </is>
      </c>
      <c r="B638" s="1" t="n">
        <v>45905.32957175926</v>
      </c>
      <c r="C638" s="1" t="n">
        <v>45976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39358-2022</t>
        </is>
      </c>
      <c r="B639" s="1" t="n">
        <v>44817.92298611111</v>
      </c>
      <c r="C639" s="1" t="n">
        <v>45976</v>
      </c>
      <c r="D639" t="inlineStr">
        <is>
          <t>ÖSTERGÖTLANDS LÄN</t>
        </is>
      </c>
      <c r="E639" t="inlineStr">
        <is>
          <t>FINSPÅNG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42479-2025</t>
        </is>
      </c>
      <c r="B640" s="1" t="n">
        <v>45905.47065972222</v>
      </c>
      <c r="C640" s="1" t="n">
        <v>45976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42459-2025</t>
        </is>
      </c>
      <c r="B641" s="1" t="n">
        <v>45905.45561342593</v>
      </c>
      <c r="C641" s="1" t="n">
        <v>45976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42289-2025</t>
        </is>
      </c>
      <c r="B642" s="1" t="n">
        <v>45904.62306712963</v>
      </c>
      <c r="C642" s="1" t="n">
        <v>45976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43167-2021</t>
        </is>
      </c>
      <c r="B643" s="1" t="n">
        <v>44431</v>
      </c>
      <c r="C643" s="1" t="n">
        <v>45976</v>
      </c>
      <c r="D643" t="inlineStr">
        <is>
          <t>ÖSTERGÖTLANDS LÄN</t>
        </is>
      </c>
      <c r="E643" t="inlineStr">
        <is>
          <t>FINSPÅNG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42373-2025</t>
        </is>
      </c>
      <c r="B644" s="1" t="n">
        <v>45905.33390046296</v>
      </c>
      <c r="C644" s="1" t="n">
        <v>45976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42432-2025</t>
        </is>
      </c>
      <c r="B645" s="1" t="n">
        <v>45905.42600694444</v>
      </c>
      <c r="C645" s="1" t="n">
        <v>45976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36191-2023</t>
        </is>
      </c>
      <c r="B646" s="1" t="n">
        <v>45149</v>
      </c>
      <c r="C646" s="1" t="n">
        <v>45976</v>
      </c>
      <c r="D646" t="inlineStr">
        <is>
          <t>ÖSTERGÖTLANDS LÄN</t>
        </is>
      </c>
      <c r="E646" t="inlineStr">
        <is>
          <t>FINSPÅNG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55457-2024</t>
        </is>
      </c>
      <c r="B647" s="1" t="n">
        <v>45622.4261574074</v>
      </c>
      <c r="C647" s="1" t="n">
        <v>45976</v>
      </c>
      <c r="D647" t="inlineStr">
        <is>
          <t>ÖSTERGÖTLANDS LÄN</t>
        </is>
      </c>
      <c r="E647" t="inlineStr">
        <is>
          <t>FINSPÅNG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55463-2024</t>
        </is>
      </c>
      <c r="B648" s="1" t="n">
        <v>45622.42899305555</v>
      </c>
      <c r="C648" s="1" t="n">
        <v>45976</v>
      </c>
      <c r="D648" t="inlineStr">
        <is>
          <t>ÖSTERGÖTLANDS LÄN</t>
        </is>
      </c>
      <c r="E648" t="inlineStr">
        <is>
          <t>FINSPÅNG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67578-2020</t>
        </is>
      </c>
      <c r="B649" s="1" t="n">
        <v>44181</v>
      </c>
      <c r="C649" s="1" t="n">
        <v>45976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9390-2021</t>
        </is>
      </c>
      <c r="B650" s="1" t="n">
        <v>44250</v>
      </c>
      <c r="C650" s="1" t="n">
        <v>45976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4753-2025</t>
        </is>
      </c>
      <c r="B651" s="1" t="n">
        <v>45688.46606481481</v>
      </c>
      <c r="C651" s="1" t="n">
        <v>45976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19263-2024</t>
        </is>
      </c>
      <c r="B652" s="1" t="n">
        <v>45428</v>
      </c>
      <c r="C652" s="1" t="n">
        <v>45976</v>
      </c>
      <c r="D652" t="inlineStr">
        <is>
          <t>ÖSTERGÖTLANDS LÄN</t>
        </is>
      </c>
      <c r="E652" t="inlineStr">
        <is>
          <t>FINSPÅNG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61695-2021</t>
        </is>
      </c>
      <c r="B653" s="1" t="n">
        <v>44501</v>
      </c>
      <c r="C653" s="1" t="n">
        <v>45976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15097-2025</t>
        </is>
      </c>
      <c r="B654" s="1" t="n">
        <v>45744.33431712963</v>
      </c>
      <c r="C654" s="1" t="n">
        <v>45976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51471-2024</t>
        </is>
      </c>
      <c r="B655" s="1" t="n">
        <v>45604.50295138889</v>
      </c>
      <c r="C655" s="1" t="n">
        <v>45976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42255-2025</t>
        </is>
      </c>
      <c r="B656" s="1" t="n">
        <v>45904.58920138889</v>
      </c>
      <c r="C656" s="1" t="n">
        <v>45976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69310-2020</t>
        </is>
      </c>
      <c r="B657" s="1" t="n">
        <v>44193</v>
      </c>
      <c r="C657" s="1" t="n">
        <v>45976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51549-2025</t>
        </is>
      </c>
      <c r="B658" s="1" t="n">
        <v>45950.82328703703</v>
      </c>
      <c r="C658" s="1" t="n">
        <v>45976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22555-2024</t>
        </is>
      </c>
      <c r="B659" s="1" t="n">
        <v>45447</v>
      </c>
      <c r="C659" s="1" t="n">
        <v>45976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51508-2025</t>
        </is>
      </c>
      <c r="B660" s="1" t="n">
        <v>45950.6440625</v>
      </c>
      <c r="C660" s="1" t="n">
        <v>45976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41533-2024</t>
        </is>
      </c>
      <c r="B661" s="1" t="n">
        <v>45560</v>
      </c>
      <c r="C661" s="1" t="n">
        <v>45976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40544-2021</t>
        </is>
      </c>
      <c r="B662" s="1" t="n">
        <v>44420</v>
      </c>
      <c r="C662" s="1" t="n">
        <v>45976</v>
      </c>
      <c r="D662" t="inlineStr">
        <is>
          <t>ÖSTERGÖTLANDS LÄN</t>
        </is>
      </c>
      <c r="E662" t="inlineStr">
        <is>
          <t>FINSPÅNG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42817-2025</t>
        </is>
      </c>
      <c r="B663" s="1" t="n">
        <v>45908.56493055556</v>
      </c>
      <c r="C663" s="1" t="n">
        <v>45976</v>
      </c>
      <c r="D663" t="inlineStr">
        <is>
          <t>ÖSTERGÖTLANDS LÄN</t>
        </is>
      </c>
      <c r="E663" t="inlineStr">
        <is>
          <t>FINSPÅNG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40065-2024</t>
        </is>
      </c>
      <c r="B664" s="1" t="n">
        <v>45554.2862037037</v>
      </c>
      <c r="C664" s="1" t="n">
        <v>45976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23724-2023</t>
        </is>
      </c>
      <c r="B665" s="1" t="n">
        <v>45077</v>
      </c>
      <c r="C665" s="1" t="n">
        <v>45976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13229-2023</t>
        </is>
      </c>
      <c r="B666" s="1" t="n">
        <v>45002.7171875</v>
      </c>
      <c r="C666" s="1" t="n">
        <v>45976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Kyrkan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21907-2023</t>
        </is>
      </c>
      <c r="B667" s="1" t="n">
        <v>45068.539375</v>
      </c>
      <c r="C667" s="1" t="n">
        <v>45976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50811-2022</t>
        </is>
      </c>
      <c r="B668" s="1" t="n">
        <v>44867.47490740741</v>
      </c>
      <c r="C668" s="1" t="n">
        <v>45976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59647-2024</t>
        </is>
      </c>
      <c r="B669" s="1" t="n">
        <v>45639.34060185185</v>
      </c>
      <c r="C669" s="1" t="n">
        <v>45976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59648-2024</t>
        </is>
      </c>
      <c r="B670" s="1" t="n">
        <v>45639.34267361111</v>
      </c>
      <c r="C670" s="1" t="n">
        <v>45976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27698-2023</t>
        </is>
      </c>
      <c r="B671" s="1" t="n">
        <v>45095</v>
      </c>
      <c r="C671" s="1" t="n">
        <v>45976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48691-2024</t>
        </is>
      </c>
      <c r="B672" s="1" t="n">
        <v>45593.50768518518</v>
      </c>
      <c r="C672" s="1" t="n">
        <v>45976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16696-2025</t>
        </is>
      </c>
      <c r="B673" s="1" t="n">
        <v>45754.46591435185</v>
      </c>
      <c r="C673" s="1" t="n">
        <v>45976</v>
      </c>
      <c r="D673" t="inlineStr">
        <is>
          <t>ÖSTERGÖTLANDS LÄN</t>
        </is>
      </c>
      <c r="E673" t="inlineStr">
        <is>
          <t>FINSPÅNG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2886-2024</t>
        </is>
      </c>
      <c r="B674" s="1" t="n">
        <v>45315.48575231482</v>
      </c>
      <c r="C674" s="1" t="n">
        <v>45976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63585-2023</t>
        </is>
      </c>
      <c r="B675" s="1" t="n">
        <v>45275.41934027777</v>
      </c>
      <c r="C675" s="1" t="n">
        <v>45976</v>
      </c>
      <c r="D675" t="inlineStr">
        <is>
          <t>ÖSTERGÖTLANDS LÄN</t>
        </is>
      </c>
      <c r="E675" t="inlineStr">
        <is>
          <t>FINSPÅNG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5156-2023</t>
        </is>
      </c>
      <c r="B676" s="1" t="n">
        <v>44958.93928240741</v>
      </c>
      <c r="C676" s="1" t="n">
        <v>45976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63482-2023</t>
        </is>
      </c>
      <c r="B677" s="1" t="n">
        <v>45274.65848379629</v>
      </c>
      <c r="C677" s="1" t="n">
        <v>45976</v>
      </c>
      <c r="D677" t="inlineStr">
        <is>
          <t>ÖSTERGÖTLANDS LÄN</t>
        </is>
      </c>
      <c r="E677" t="inlineStr">
        <is>
          <t>FINSPÅNG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189-2022</t>
        </is>
      </c>
      <c r="B678" s="1" t="n">
        <v>44564</v>
      </c>
      <c r="C678" s="1" t="n">
        <v>45976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15129-2025</t>
        </is>
      </c>
      <c r="B679" s="1" t="n">
        <v>45744.3828125</v>
      </c>
      <c r="C679" s="1" t="n">
        <v>45976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Naturvårdsverket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51662-2025</t>
        </is>
      </c>
      <c r="B680" s="1" t="n">
        <v>45951.48149305556</v>
      </c>
      <c r="C680" s="1" t="n">
        <v>45976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Allmännings- och besparingsskogar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15123-2025</t>
        </is>
      </c>
      <c r="B681" s="1" t="n">
        <v>45744</v>
      </c>
      <c r="C681" s="1" t="n">
        <v>45976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9412-2023</t>
        </is>
      </c>
      <c r="B682" s="1" t="n">
        <v>44981</v>
      </c>
      <c r="C682" s="1" t="n">
        <v>45976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38963-2022</t>
        </is>
      </c>
      <c r="B683" s="1" t="n">
        <v>44816.75416666667</v>
      </c>
      <c r="C683" s="1" t="n">
        <v>45976</v>
      </c>
      <c r="D683" t="inlineStr">
        <is>
          <t>ÖSTERGÖTLANDS LÄN</t>
        </is>
      </c>
      <c r="E683" t="inlineStr">
        <is>
          <t>FINSPÅNG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16229-2024</t>
        </is>
      </c>
      <c r="B684" s="1" t="n">
        <v>45407.04653935185</v>
      </c>
      <c r="C684" s="1" t="n">
        <v>45976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54923-2022</t>
        </is>
      </c>
      <c r="B685" s="1" t="n">
        <v>44886.42974537037</v>
      </c>
      <c r="C685" s="1" t="n">
        <v>45976</v>
      </c>
      <c r="D685" t="inlineStr">
        <is>
          <t>ÖSTERGÖTLANDS LÄN</t>
        </is>
      </c>
      <c r="E685" t="inlineStr">
        <is>
          <t>FINSPÅNG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59062-2024</t>
        </is>
      </c>
      <c r="B686" s="1" t="n">
        <v>45636.85886574074</v>
      </c>
      <c r="C686" s="1" t="n">
        <v>45976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58991-2021</t>
        </is>
      </c>
      <c r="B687" s="1" t="n">
        <v>44490.22488425926</v>
      </c>
      <c r="C687" s="1" t="n">
        <v>45976</v>
      </c>
      <c r="D687" t="inlineStr">
        <is>
          <t>ÖSTERGÖTLANDS LÄN</t>
        </is>
      </c>
      <c r="E687" t="inlineStr">
        <is>
          <t>FINSPÅNG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41397-2021</t>
        </is>
      </c>
      <c r="B688" s="1" t="n">
        <v>44424</v>
      </c>
      <c r="C688" s="1" t="n">
        <v>45976</v>
      </c>
      <c r="D688" t="inlineStr">
        <is>
          <t>ÖSTERGÖTLANDS LÄN</t>
        </is>
      </c>
      <c r="E688" t="inlineStr">
        <is>
          <t>FINSPÅNG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22586-2023</t>
        </is>
      </c>
      <c r="B689" s="1" t="n">
        <v>45071.47526620371</v>
      </c>
      <c r="C689" s="1" t="n">
        <v>45976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17578-2024</t>
        </is>
      </c>
      <c r="B690" s="1" t="n">
        <v>45415.83293981481</v>
      </c>
      <c r="C690" s="1" t="n">
        <v>45976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4647-2024</t>
        </is>
      </c>
      <c r="B691" s="1" t="n">
        <v>45328.44785879629</v>
      </c>
      <c r="C691" s="1" t="n">
        <v>45976</v>
      </c>
      <c r="D691" t="inlineStr">
        <is>
          <t>ÖSTERGÖTLANDS LÄN</t>
        </is>
      </c>
      <c r="E691" t="inlineStr">
        <is>
          <t>FINSPÅNG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47836-2021</t>
        </is>
      </c>
      <c r="B692" s="1" t="n">
        <v>44448</v>
      </c>
      <c r="C692" s="1" t="n">
        <v>45976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6319-2025</t>
        </is>
      </c>
      <c r="B693" s="1" t="n">
        <v>45698.80957175926</v>
      </c>
      <c r="C693" s="1" t="n">
        <v>45976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59777-2023</t>
        </is>
      </c>
      <c r="B694" s="1" t="n">
        <v>45257.43741898148</v>
      </c>
      <c r="C694" s="1" t="n">
        <v>45976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59827-2023</t>
        </is>
      </c>
      <c r="B695" s="1" t="n">
        <v>45257</v>
      </c>
      <c r="C695" s="1" t="n">
        <v>45976</v>
      </c>
      <c r="D695" t="inlineStr">
        <is>
          <t>ÖSTERGÖTLANDS LÄN</t>
        </is>
      </c>
      <c r="E695" t="inlineStr">
        <is>
          <t>FINSPÅNG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19525-2025</t>
        </is>
      </c>
      <c r="B696" s="1" t="n">
        <v>45770.46248842592</v>
      </c>
      <c r="C696" s="1" t="n">
        <v>45976</v>
      </c>
      <c r="D696" t="inlineStr">
        <is>
          <t>ÖSTERGÖTLANDS LÄN</t>
        </is>
      </c>
      <c r="E696" t="inlineStr">
        <is>
          <t>FINSPÅNG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28024-2023</t>
        </is>
      </c>
      <c r="B697" s="1" t="n">
        <v>45095</v>
      </c>
      <c r="C697" s="1" t="n">
        <v>45976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11839-2025</t>
        </is>
      </c>
      <c r="B698" s="1" t="n">
        <v>45728.36512731481</v>
      </c>
      <c r="C698" s="1" t="n">
        <v>45976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3568-2023</t>
        </is>
      </c>
      <c r="B699" s="1" t="n">
        <v>44950</v>
      </c>
      <c r="C699" s="1" t="n">
        <v>45976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42682-2024</t>
        </is>
      </c>
      <c r="B700" s="1" t="n">
        <v>45566</v>
      </c>
      <c r="C700" s="1" t="n">
        <v>45976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21235-2025</t>
        </is>
      </c>
      <c r="B701" s="1" t="n">
        <v>45777</v>
      </c>
      <c r="C701" s="1" t="n">
        <v>45976</v>
      </c>
      <c r="D701" t="inlineStr">
        <is>
          <t>ÖSTERGÖTLANDS LÄN</t>
        </is>
      </c>
      <c r="E701" t="inlineStr">
        <is>
          <t>FINSPÅNG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64408-2023</t>
        </is>
      </c>
      <c r="B702" s="1" t="n">
        <v>45280</v>
      </c>
      <c r="C702" s="1" t="n">
        <v>45976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3440-2023</t>
        </is>
      </c>
      <c r="B703" s="1" t="n">
        <v>44949.59946759259</v>
      </c>
      <c r="C703" s="1" t="n">
        <v>45976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49099-2023</t>
        </is>
      </c>
      <c r="B704" s="1" t="n">
        <v>45210</v>
      </c>
      <c r="C704" s="1" t="n">
        <v>45976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25196-2023</t>
        </is>
      </c>
      <c r="B705" s="1" t="n">
        <v>45086</v>
      </c>
      <c r="C705" s="1" t="n">
        <v>45976</v>
      </c>
      <c r="D705" t="inlineStr">
        <is>
          <t>ÖSTERGÖTLANDS LÄN</t>
        </is>
      </c>
      <c r="E705" t="inlineStr">
        <is>
          <t>FINSPÅNG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20444-2021</t>
        </is>
      </c>
      <c r="B706" s="1" t="n">
        <v>44315</v>
      </c>
      <c r="C706" s="1" t="n">
        <v>45976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50063-2022</t>
        </is>
      </c>
      <c r="B707" s="1" t="n">
        <v>44860</v>
      </c>
      <c r="C707" s="1" t="n">
        <v>45976</v>
      </c>
      <c r="D707" t="inlineStr">
        <is>
          <t>ÖSTERGÖTLANDS LÄN</t>
        </is>
      </c>
      <c r="E707" t="inlineStr">
        <is>
          <t>FINSPÅNG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24015-2024</t>
        </is>
      </c>
      <c r="B708" s="1" t="n">
        <v>45456.42511574074</v>
      </c>
      <c r="C708" s="1" t="n">
        <v>45976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42678-2024</t>
        </is>
      </c>
      <c r="B709" s="1" t="n">
        <v>45566</v>
      </c>
      <c r="C709" s="1" t="n">
        <v>45976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15132-2025</t>
        </is>
      </c>
      <c r="B710" s="1" t="n">
        <v>45744.38512731482</v>
      </c>
      <c r="C710" s="1" t="n">
        <v>45976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59795-2023</t>
        </is>
      </c>
      <c r="B711" s="1" t="n">
        <v>45257.45836805556</v>
      </c>
      <c r="C711" s="1" t="n">
        <v>45976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59808-2023</t>
        </is>
      </c>
      <c r="B712" s="1" t="n">
        <v>45257.48733796296</v>
      </c>
      <c r="C712" s="1" t="n">
        <v>45976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7825-2025</t>
        </is>
      </c>
      <c r="B713" s="1" t="n">
        <v>45706.64829861111</v>
      </c>
      <c r="C713" s="1" t="n">
        <v>45976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58039-2024</t>
        </is>
      </c>
      <c r="B714" s="1" t="n">
        <v>45631.72401620371</v>
      </c>
      <c r="C714" s="1" t="n">
        <v>45976</v>
      </c>
      <c r="D714" t="inlineStr">
        <is>
          <t>ÖSTERGÖTLANDS LÄN</t>
        </is>
      </c>
      <c r="E714" t="inlineStr">
        <is>
          <t>FINSPÅNG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42699-2024</t>
        </is>
      </c>
      <c r="B715" s="1" t="n">
        <v>45566</v>
      </c>
      <c r="C715" s="1" t="n">
        <v>45976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52730-2023</t>
        </is>
      </c>
      <c r="B716" s="1" t="n">
        <v>45225.92840277778</v>
      </c>
      <c r="C716" s="1" t="n">
        <v>45976</v>
      </c>
      <c r="D716" t="inlineStr">
        <is>
          <t>ÖSTERGÖTLANDS LÄN</t>
        </is>
      </c>
      <c r="E716" t="inlineStr">
        <is>
          <t>FINSPÅNG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52043-2025</t>
        </is>
      </c>
      <c r="B717" s="1" t="n">
        <v>45952.61621527778</v>
      </c>
      <c r="C717" s="1" t="n">
        <v>45976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Allmännings- och besparingsskogar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13392-2025</t>
        </is>
      </c>
      <c r="B718" s="1" t="n">
        <v>45735.69887731481</v>
      </c>
      <c r="C718" s="1" t="n">
        <v>45976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13457-2025</t>
        </is>
      </c>
      <c r="B719" s="1" t="n">
        <v>45736.38344907408</v>
      </c>
      <c r="C719" s="1" t="n">
        <v>45976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33743-2024</t>
        </is>
      </c>
      <c r="B720" s="1" t="n">
        <v>45520.56111111111</v>
      </c>
      <c r="C720" s="1" t="n">
        <v>45976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51994-2025</t>
        </is>
      </c>
      <c r="B721" s="1" t="n">
        <v>45952.58421296296</v>
      </c>
      <c r="C721" s="1" t="n">
        <v>45976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Allmännings- och besparingsskogar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28732-2023</t>
        </is>
      </c>
      <c r="B722" s="1" t="n">
        <v>45103.91359953704</v>
      </c>
      <c r="C722" s="1" t="n">
        <v>45976</v>
      </c>
      <c r="D722" t="inlineStr">
        <is>
          <t>ÖSTERGÖTLANDS LÄN</t>
        </is>
      </c>
      <c r="E722" t="inlineStr">
        <is>
          <t>FINSPÅNG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14028-2025</t>
        </is>
      </c>
      <c r="B723" s="1" t="n">
        <v>45740.3552199074</v>
      </c>
      <c r="C723" s="1" t="n">
        <v>45976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59061-2024</t>
        </is>
      </c>
      <c r="B724" s="1" t="n">
        <v>45636.85606481481</v>
      </c>
      <c r="C724" s="1" t="n">
        <v>45976</v>
      </c>
      <c r="D724" t="inlineStr">
        <is>
          <t>ÖSTERGÖTLANDS LÄN</t>
        </is>
      </c>
      <c r="E724" t="inlineStr">
        <is>
          <t>FINSPÅNG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42176-2023</t>
        </is>
      </c>
      <c r="B725" s="1" t="n">
        <v>45178</v>
      </c>
      <c r="C725" s="1" t="n">
        <v>45976</v>
      </c>
      <c r="D725" t="inlineStr">
        <is>
          <t>ÖSTERGÖTLANDS LÄN</t>
        </is>
      </c>
      <c r="E725" t="inlineStr">
        <is>
          <t>FINSPÅNG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20641-2023</t>
        </is>
      </c>
      <c r="B726" s="1" t="n">
        <v>45058</v>
      </c>
      <c r="C726" s="1" t="n">
        <v>45976</v>
      </c>
      <c r="D726" t="inlineStr">
        <is>
          <t>ÖSTERGÖTLANDS LÄN</t>
        </is>
      </c>
      <c r="E726" t="inlineStr">
        <is>
          <t>FINSPÅNG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51460-2024</t>
        </is>
      </c>
      <c r="B727" s="1" t="n">
        <v>45604.49379629629</v>
      </c>
      <c r="C727" s="1" t="n">
        <v>45976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13084-2023</t>
        </is>
      </c>
      <c r="B728" s="1" t="n">
        <v>45002</v>
      </c>
      <c r="C728" s="1" t="n">
        <v>45976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10412-2023</t>
        </is>
      </c>
      <c r="B729" s="1" t="n">
        <v>44987</v>
      </c>
      <c r="C729" s="1" t="n">
        <v>45976</v>
      </c>
      <c r="D729" t="inlineStr">
        <is>
          <t>ÖSTERGÖTLANDS LÄN</t>
        </is>
      </c>
      <c r="E729" t="inlineStr">
        <is>
          <t>FINSPÅNG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24500-2023</t>
        </is>
      </c>
      <c r="B730" s="1" t="n">
        <v>45082</v>
      </c>
      <c r="C730" s="1" t="n">
        <v>45976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24506-2023</t>
        </is>
      </c>
      <c r="B731" s="1" t="n">
        <v>45082.65296296297</v>
      </c>
      <c r="C731" s="1" t="n">
        <v>45976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42651-2024</t>
        </is>
      </c>
      <c r="B732" s="1" t="n">
        <v>45566.32579861111</v>
      </c>
      <c r="C732" s="1" t="n">
        <v>45976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52733-2025</t>
        </is>
      </c>
      <c r="B733" s="1" t="n">
        <v>45957.36806712963</v>
      </c>
      <c r="C733" s="1" t="n">
        <v>45976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62421-2021</t>
        </is>
      </c>
      <c r="B734" s="1" t="n">
        <v>44503.48954861111</v>
      </c>
      <c r="C734" s="1" t="n">
        <v>45976</v>
      </c>
      <c r="D734" t="inlineStr">
        <is>
          <t>ÖSTERGÖTLANDS LÄN</t>
        </is>
      </c>
      <c r="E734" t="inlineStr">
        <is>
          <t>FINSPÅNG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32973-2023</t>
        </is>
      </c>
      <c r="B735" s="1" t="n">
        <v>45125.57719907408</v>
      </c>
      <c r="C735" s="1" t="n">
        <v>45976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21722-2025</t>
        </is>
      </c>
      <c r="B736" s="1" t="n">
        <v>45783.564375</v>
      </c>
      <c r="C736" s="1" t="n">
        <v>45976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42106-2023</t>
        </is>
      </c>
      <c r="B737" s="1" t="n">
        <v>45177</v>
      </c>
      <c r="C737" s="1" t="n">
        <v>45976</v>
      </c>
      <c r="D737" t="inlineStr">
        <is>
          <t>ÖSTERGÖTLANDS LÄN</t>
        </is>
      </c>
      <c r="E737" t="inlineStr">
        <is>
          <t>FINSPÅNG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18258-2024</t>
        </is>
      </c>
      <c r="B738" s="1" t="n">
        <v>45421.52635416666</v>
      </c>
      <c r="C738" s="1" t="n">
        <v>45976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52659-2025</t>
        </is>
      </c>
      <c r="B739" s="1" t="n">
        <v>45955.44307870371</v>
      </c>
      <c r="C739" s="1" t="n">
        <v>45976</v>
      </c>
      <c r="D739" t="inlineStr">
        <is>
          <t>ÖSTERGÖTLANDS LÄN</t>
        </is>
      </c>
      <c r="E739" t="inlineStr">
        <is>
          <t>FINSPÅNG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43944-2025</t>
        </is>
      </c>
      <c r="B740" s="1" t="n">
        <v>45915.37070601852</v>
      </c>
      <c r="C740" s="1" t="n">
        <v>45976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37647-2024</t>
        </is>
      </c>
      <c r="B741" s="1" t="n">
        <v>45541.55064814815</v>
      </c>
      <c r="C741" s="1" t="n">
        <v>45976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59799-2023</t>
        </is>
      </c>
      <c r="B742" s="1" t="n">
        <v>45257</v>
      </c>
      <c r="C742" s="1" t="n">
        <v>45976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60249-2024</t>
        </is>
      </c>
      <c r="B743" s="1" t="n">
        <v>45642.82921296296</v>
      </c>
      <c r="C743" s="1" t="n">
        <v>45976</v>
      </c>
      <c r="D743" t="inlineStr">
        <is>
          <t>ÖSTERGÖTLANDS LÄN</t>
        </is>
      </c>
      <c r="E743" t="inlineStr">
        <is>
          <t>FINSPÅNG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48466-2023</t>
        </is>
      </c>
      <c r="B744" s="1" t="n">
        <v>45206</v>
      </c>
      <c r="C744" s="1" t="n">
        <v>45976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11950-2023</t>
        </is>
      </c>
      <c r="B745" s="1" t="n">
        <v>44995</v>
      </c>
      <c r="C745" s="1" t="n">
        <v>45976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15614-2023</t>
        </is>
      </c>
      <c r="B746" s="1" t="n">
        <v>45020.87799768519</v>
      </c>
      <c r="C746" s="1" t="n">
        <v>45976</v>
      </c>
      <c r="D746" t="inlineStr">
        <is>
          <t>ÖSTERGÖTLANDS LÄN</t>
        </is>
      </c>
      <c r="E746" t="inlineStr">
        <is>
          <t>FINSPÅNG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45243-2022</t>
        </is>
      </c>
      <c r="B747" s="1" t="n">
        <v>44840</v>
      </c>
      <c r="C747" s="1" t="n">
        <v>45976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52658-2025</t>
        </is>
      </c>
      <c r="B748" s="1" t="n">
        <v>45955.43375</v>
      </c>
      <c r="C748" s="1" t="n">
        <v>45976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18295-2023</t>
        </is>
      </c>
      <c r="B749" s="1" t="n">
        <v>45041</v>
      </c>
      <c r="C749" s="1" t="n">
        <v>45976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65742-2021</t>
        </is>
      </c>
      <c r="B750" s="1" t="n">
        <v>44516</v>
      </c>
      <c r="C750" s="1" t="n">
        <v>45976</v>
      </c>
      <c r="D750" t="inlineStr">
        <is>
          <t>ÖSTERGÖTLANDS LÄN</t>
        </is>
      </c>
      <c r="E750" t="inlineStr">
        <is>
          <t>FINSPÅNG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6154-2023</t>
        </is>
      </c>
      <c r="B751" s="1" t="n">
        <v>44964.6525925926</v>
      </c>
      <c r="C751" s="1" t="n">
        <v>45976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7445-2022</t>
        </is>
      </c>
      <c r="B752" s="1" t="n">
        <v>44607.28710648148</v>
      </c>
      <c r="C752" s="1" t="n">
        <v>45976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35340-2024</t>
        </is>
      </c>
      <c r="B753" s="1" t="n">
        <v>45530.92288194445</v>
      </c>
      <c r="C753" s="1" t="n">
        <v>45976</v>
      </c>
      <c r="D753" t="inlineStr">
        <is>
          <t>ÖSTERGÖTLANDS LÄN</t>
        </is>
      </c>
      <c r="E753" t="inlineStr">
        <is>
          <t>FINSPÅNG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35598-2023</t>
        </is>
      </c>
      <c r="B754" s="1" t="n">
        <v>45147</v>
      </c>
      <c r="C754" s="1" t="n">
        <v>45976</v>
      </c>
      <c r="D754" t="inlineStr">
        <is>
          <t>ÖSTERGÖTLANDS LÄN</t>
        </is>
      </c>
      <c r="E754" t="inlineStr">
        <is>
          <t>FINSPÅNG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6733-2023</t>
        </is>
      </c>
      <c r="B755" s="1" t="n">
        <v>44966.73841435185</v>
      </c>
      <c r="C755" s="1" t="n">
        <v>45976</v>
      </c>
      <c r="D755" t="inlineStr">
        <is>
          <t>ÖSTERGÖTLANDS LÄN</t>
        </is>
      </c>
      <c r="E755" t="inlineStr">
        <is>
          <t>FINSPÅNG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52783-2025</t>
        </is>
      </c>
      <c r="B756" s="1" t="n">
        <v>45957.42334490741</v>
      </c>
      <c r="C756" s="1" t="n">
        <v>45976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43950-2025</t>
        </is>
      </c>
      <c r="B757" s="1" t="n">
        <v>45915.38060185185</v>
      </c>
      <c r="C757" s="1" t="n">
        <v>45976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53572-2023</t>
        </is>
      </c>
      <c r="B758" s="1" t="n">
        <v>45230</v>
      </c>
      <c r="C758" s="1" t="n">
        <v>45976</v>
      </c>
      <c r="D758" t="inlineStr">
        <is>
          <t>ÖSTERGÖTLANDS LÄN</t>
        </is>
      </c>
      <c r="E758" t="inlineStr">
        <is>
          <t>FINSPÅNG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17994-2023</t>
        </is>
      </c>
      <c r="B759" s="1" t="n">
        <v>45040</v>
      </c>
      <c r="C759" s="1" t="n">
        <v>45976</v>
      </c>
      <c r="D759" t="inlineStr">
        <is>
          <t>ÖSTERGÖTLANDS LÄN</t>
        </is>
      </c>
      <c r="E759" t="inlineStr">
        <is>
          <t>FINSPÅNG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15164-2025</t>
        </is>
      </c>
      <c r="B760" s="1" t="n">
        <v>45744.48476851852</v>
      </c>
      <c r="C760" s="1" t="n">
        <v>45976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35343-2024</t>
        </is>
      </c>
      <c r="B761" s="1" t="n">
        <v>45530.93302083333</v>
      </c>
      <c r="C761" s="1" t="n">
        <v>45976</v>
      </c>
      <c r="D761" t="inlineStr">
        <is>
          <t>ÖSTERGÖTLANDS LÄN</t>
        </is>
      </c>
      <c r="E761" t="inlineStr">
        <is>
          <t>FINSPÅNG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11149-2024</t>
        </is>
      </c>
      <c r="B762" s="1" t="n">
        <v>45371</v>
      </c>
      <c r="C762" s="1" t="n">
        <v>45976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Kyrkan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53246-2022</t>
        </is>
      </c>
      <c r="B763" s="1" t="n">
        <v>44876</v>
      </c>
      <c r="C763" s="1" t="n">
        <v>45976</v>
      </c>
      <c r="D763" t="inlineStr">
        <is>
          <t>ÖSTERGÖTLANDS LÄN</t>
        </is>
      </c>
      <c r="E763" t="inlineStr">
        <is>
          <t>FINSPÅNG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11585-2025</t>
        </is>
      </c>
      <c r="B764" s="1" t="n">
        <v>45727.40373842593</v>
      </c>
      <c r="C764" s="1" t="n">
        <v>45976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42202-2023</t>
        </is>
      </c>
      <c r="B765" s="1" t="n">
        <v>45179.86133101852</v>
      </c>
      <c r="C765" s="1" t="n">
        <v>45976</v>
      </c>
      <c r="D765" t="inlineStr">
        <is>
          <t>ÖSTERGÖTLANDS LÄN</t>
        </is>
      </c>
      <c r="E765" t="inlineStr">
        <is>
          <t>FINSPÅNG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42205-2023</t>
        </is>
      </c>
      <c r="B766" s="1" t="n">
        <v>45179</v>
      </c>
      <c r="C766" s="1" t="n">
        <v>45976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53363-2025</t>
        </is>
      </c>
      <c r="B767" s="1" t="n">
        <v>45959.48362268518</v>
      </c>
      <c r="C767" s="1" t="n">
        <v>45976</v>
      </c>
      <c r="D767" t="inlineStr">
        <is>
          <t>ÖSTERGÖTLANDS LÄN</t>
        </is>
      </c>
      <c r="E767" t="inlineStr">
        <is>
          <t>FINSPÅNG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8403-2025</t>
        </is>
      </c>
      <c r="B768" s="1" t="n">
        <v>45709.38167824074</v>
      </c>
      <c r="C768" s="1" t="n">
        <v>45976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2145-2024</t>
        </is>
      </c>
      <c r="B769" s="1" t="n">
        <v>45309.56436342592</v>
      </c>
      <c r="C769" s="1" t="n">
        <v>45976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2152-2024</t>
        </is>
      </c>
      <c r="B770" s="1" t="n">
        <v>45309.58428240741</v>
      </c>
      <c r="C770" s="1" t="n">
        <v>45976</v>
      </c>
      <c r="D770" t="inlineStr">
        <is>
          <t>ÖSTERGÖTLANDS LÄN</t>
        </is>
      </c>
      <c r="E770" t="inlineStr">
        <is>
          <t>FINSPÅNG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2164-2024</t>
        </is>
      </c>
      <c r="B771" s="1" t="n">
        <v>45309.60451388889</v>
      </c>
      <c r="C771" s="1" t="n">
        <v>45976</v>
      </c>
      <c r="D771" t="inlineStr">
        <is>
          <t>ÖSTERGÖTLANDS LÄN</t>
        </is>
      </c>
      <c r="E771" t="inlineStr">
        <is>
          <t>FINSPÅNG</t>
        </is>
      </c>
      <c r="G771" t="n">
        <v>15.1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61254-2022</t>
        </is>
      </c>
      <c r="B772" s="1" t="n">
        <v>44915.58520833333</v>
      </c>
      <c r="C772" s="1" t="n">
        <v>45976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35276-2025</t>
        </is>
      </c>
      <c r="B773" s="1" t="n">
        <v>45853</v>
      </c>
      <c r="C773" s="1" t="n">
        <v>45976</v>
      </c>
      <c r="D773" t="inlineStr">
        <is>
          <t>ÖSTERGÖTLANDS LÄN</t>
        </is>
      </c>
      <c r="E773" t="inlineStr">
        <is>
          <t>FINSPÅNG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11523-2025</t>
        </is>
      </c>
      <c r="B774" s="1" t="n">
        <v>45727.27097222222</v>
      </c>
      <c r="C774" s="1" t="n">
        <v>45976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3436-2023</t>
        </is>
      </c>
      <c r="B775" s="1" t="n">
        <v>44949.5928587963</v>
      </c>
      <c r="C775" s="1" t="n">
        <v>45976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62155-2023</t>
        </is>
      </c>
      <c r="B776" s="1" t="n">
        <v>45267</v>
      </c>
      <c r="C776" s="1" t="n">
        <v>45976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6635-2025</t>
        </is>
      </c>
      <c r="B777" s="1" t="n">
        <v>45700.3816087963</v>
      </c>
      <c r="C777" s="1" t="n">
        <v>45976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44820-2025</t>
        </is>
      </c>
      <c r="B778" s="1" t="n">
        <v>45918.38171296296</v>
      </c>
      <c r="C778" s="1" t="n">
        <v>45976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4083-2024</t>
        </is>
      </c>
      <c r="B779" s="1" t="n">
        <v>45323.61266203703</v>
      </c>
      <c r="C779" s="1" t="n">
        <v>45976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14565-2023</t>
        </is>
      </c>
      <c r="B780" s="1" t="n">
        <v>45013.45861111111</v>
      </c>
      <c r="C780" s="1" t="n">
        <v>45976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9378-2023</t>
        </is>
      </c>
      <c r="B781" s="1" t="n">
        <v>44981</v>
      </c>
      <c r="C781" s="1" t="n">
        <v>45976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611-2023</t>
        </is>
      </c>
      <c r="B782" s="1" t="n">
        <v>44930</v>
      </c>
      <c r="C782" s="1" t="n">
        <v>45976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16816-2025</t>
        </is>
      </c>
      <c r="B783" s="1" t="n">
        <v>45754.63559027778</v>
      </c>
      <c r="C783" s="1" t="n">
        <v>45976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44815-2025</t>
        </is>
      </c>
      <c r="B784" s="1" t="n">
        <v>45918.37513888889</v>
      </c>
      <c r="C784" s="1" t="n">
        <v>45976</v>
      </c>
      <c r="D784" t="inlineStr">
        <is>
          <t>ÖSTERGÖTLANDS LÄN</t>
        </is>
      </c>
      <c r="E784" t="inlineStr">
        <is>
          <t>FINSPÅNG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54302-2023</t>
        </is>
      </c>
      <c r="B785" s="1" t="n">
        <v>45232</v>
      </c>
      <c r="C785" s="1" t="n">
        <v>45976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25184-2023</t>
        </is>
      </c>
      <c r="B786" s="1" t="n">
        <v>45086.56109953704</v>
      </c>
      <c r="C786" s="1" t="n">
        <v>45976</v>
      </c>
      <c r="D786" t="inlineStr">
        <is>
          <t>ÖSTERGÖTLANDS LÄN</t>
        </is>
      </c>
      <c r="E786" t="inlineStr">
        <is>
          <t>FINSPÅNG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18439-2023</t>
        </is>
      </c>
      <c r="B787" s="1" t="n">
        <v>45042.48407407408</v>
      </c>
      <c r="C787" s="1" t="n">
        <v>45976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18494-2023</t>
        </is>
      </c>
      <c r="B788" s="1" t="n">
        <v>45042.60699074074</v>
      </c>
      <c r="C788" s="1" t="n">
        <v>45976</v>
      </c>
      <c r="D788" t="inlineStr">
        <is>
          <t>ÖSTERGÖTLANDS LÄN</t>
        </is>
      </c>
      <c r="E788" t="inlineStr">
        <is>
          <t>FINSPÅNG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1913-2023</t>
        </is>
      </c>
      <c r="B789" s="1" t="n">
        <v>44939</v>
      </c>
      <c r="C789" s="1" t="n">
        <v>45976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52004-2024</t>
        </is>
      </c>
      <c r="B790" s="1" t="n">
        <v>45607.76170138889</v>
      </c>
      <c r="C790" s="1" t="n">
        <v>45976</v>
      </c>
      <c r="D790" t="inlineStr">
        <is>
          <t>ÖSTERGÖTLANDS LÄN</t>
        </is>
      </c>
      <c r="E790" t="inlineStr">
        <is>
          <t>FINSPÅNG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25420-2022</t>
        </is>
      </c>
      <c r="B791" s="1" t="n">
        <v>44732</v>
      </c>
      <c r="C791" s="1" t="n">
        <v>45976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18585-2024</t>
        </is>
      </c>
      <c r="B792" s="1" t="n">
        <v>45425</v>
      </c>
      <c r="C792" s="1" t="n">
        <v>45976</v>
      </c>
      <c r="D792" t="inlineStr">
        <is>
          <t>ÖSTERGÖTLANDS LÄN</t>
        </is>
      </c>
      <c r="E792" t="inlineStr">
        <is>
          <t>FINSPÅNG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45283-2025</t>
        </is>
      </c>
      <c r="B793" s="1" t="n">
        <v>45919.83229166667</v>
      </c>
      <c r="C793" s="1" t="n">
        <v>45976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54115-2025</t>
        </is>
      </c>
      <c r="B794" s="1" t="n">
        <v>45964.44224537037</v>
      </c>
      <c r="C794" s="1" t="n">
        <v>45976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42111-2023</t>
        </is>
      </c>
      <c r="B795" s="1" t="n">
        <v>45177</v>
      </c>
      <c r="C795" s="1" t="n">
        <v>45976</v>
      </c>
      <c r="D795" t="inlineStr">
        <is>
          <t>ÖSTERGÖTLANDS LÄN</t>
        </is>
      </c>
      <c r="E795" t="inlineStr">
        <is>
          <t>FINSPÅNG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1131-2024</t>
        </is>
      </c>
      <c r="B796" s="1" t="n">
        <v>45302.47346064815</v>
      </c>
      <c r="C796" s="1" t="n">
        <v>45976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3085-2025</t>
        </is>
      </c>
      <c r="B797" s="1" t="n">
        <v>45678.64803240741</v>
      </c>
      <c r="C797" s="1" t="n">
        <v>45976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23440-2025</t>
        </is>
      </c>
      <c r="B798" s="1" t="n">
        <v>45792.37668981482</v>
      </c>
      <c r="C798" s="1" t="n">
        <v>45976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51894-2025</t>
        </is>
      </c>
      <c r="B799" s="1" t="n">
        <v>45952.42783564814</v>
      </c>
      <c r="C799" s="1" t="n">
        <v>45976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Allmännings- och besparingsskogar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55624-2024</t>
        </is>
      </c>
      <c r="B800" s="1" t="n">
        <v>45622.59552083333</v>
      </c>
      <c r="C800" s="1" t="n">
        <v>45976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24328-2025</t>
        </is>
      </c>
      <c r="B801" s="1" t="n">
        <v>45797.5658912037</v>
      </c>
      <c r="C801" s="1" t="n">
        <v>45976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24363-2025</t>
        </is>
      </c>
      <c r="B802" s="1" t="n">
        <v>45797.60138888889</v>
      </c>
      <c r="C802" s="1" t="n">
        <v>45976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24376-2025</t>
        </is>
      </c>
      <c r="B803" s="1" t="n">
        <v>45797</v>
      </c>
      <c r="C803" s="1" t="n">
        <v>45976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24021-2025</t>
        </is>
      </c>
      <c r="B804" s="1" t="n">
        <v>45796.45342592592</v>
      </c>
      <c r="C804" s="1" t="n">
        <v>45976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45575-2025</t>
        </is>
      </c>
      <c r="B805" s="1" t="n">
        <v>45922.66182870371</v>
      </c>
      <c r="C805" s="1" t="n">
        <v>45976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53545-2025</t>
        </is>
      </c>
      <c r="B806" s="1" t="n">
        <v>45960</v>
      </c>
      <c r="C806" s="1" t="n">
        <v>45976</v>
      </c>
      <c r="D806" t="inlineStr">
        <is>
          <t>ÖSTERGÖTLANDS LÄN</t>
        </is>
      </c>
      <c r="E806" t="inlineStr">
        <is>
          <t>FINSPÅNG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55052-2023</t>
        </is>
      </c>
      <c r="B807" s="1" t="n">
        <v>45237</v>
      </c>
      <c r="C807" s="1" t="n">
        <v>45976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12814-2022</t>
        </is>
      </c>
      <c r="B808" s="1" t="n">
        <v>44642.39262731482</v>
      </c>
      <c r="C808" s="1" t="n">
        <v>45976</v>
      </c>
      <c r="D808" t="inlineStr">
        <is>
          <t>ÖSTERGÖTLANDS LÄN</t>
        </is>
      </c>
      <c r="E808" t="inlineStr">
        <is>
          <t>FINSPÅNG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24310-2025</t>
        </is>
      </c>
      <c r="B809" s="1" t="n">
        <v>45797.5184375</v>
      </c>
      <c r="C809" s="1" t="n">
        <v>45976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24009-2025</t>
        </is>
      </c>
      <c r="B810" s="1" t="n">
        <v>45796.4444212963</v>
      </c>
      <c r="C810" s="1" t="n">
        <v>45976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46149-2025</t>
        </is>
      </c>
      <c r="B811" s="1" t="n">
        <v>45924.61219907407</v>
      </c>
      <c r="C811" s="1" t="n">
        <v>45976</v>
      </c>
      <c r="D811" t="inlineStr">
        <is>
          <t>ÖSTERGÖTLANDS LÄN</t>
        </is>
      </c>
      <c r="E811" t="inlineStr">
        <is>
          <t>FINSPÅNG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7131-2025</t>
        </is>
      </c>
      <c r="B812" s="1" t="n">
        <v>45702.36035879629</v>
      </c>
      <c r="C812" s="1" t="n">
        <v>45976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19607-2025</t>
        </is>
      </c>
      <c r="B813" s="1" t="n">
        <v>45770.59953703704</v>
      </c>
      <c r="C813" s="1" t="n">
        <v>45976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19609-2025</t>
        </is>
      </c>
      <c r="B814" s="1" t="n">
        <v>45770.60439814815</v>
      </c>
      <c r="C814" s="1" t="n">
        <v>45976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24012-2024</t>
        </is>
      </c>
      <c r="B815" s="1" t="n">
        <v>45456</v>
      </c>
      <c r="C815" s="1" t="n">
        <v>45976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29078-2022</t>
        </is>
      </c>
      <c r="B816" s="1" t="n">
        <v>44749</v>
      </c>
      <c r="C816" s="1" t="n">
        <v>45976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24503-2023</t>
        </is>
      </c>
      <c r="B817" s="1" t="n">
        <v>45082.64861111111</v>
      </c>
      <c r="C817" s="1" t="n">
        <v>45976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24513-2023</t>
        </is>
      </c>
      <c r="B818" s="1" t="n">
        <v>45082.66623842593</v>
      </c>
      <c r="C818" s="1" t="n">
        <v>45976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3169-2024</t>
        </is>
      </c>
      <c r="B819" s="1" t="n">
        <v>45316.62950231481</v>
      </c>
      <c r="C819" s="1" t="n">
        <v>45976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39740-2023</t>
        </is>
      </c>
      <c r="B820" s="1" t="n">
        <v>45167</v>
      </c>
      <c r="C820" s="1" t="n">
        <v>45976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24570-2025</t>
        </is>
      </c>
      <c r="B821" s="1" t="n">
        <v>45798</v>
      </c>
      <c r="C821" s="1" t="n">
        <v>45976</v>
      </c>
      <c r="D821" t="inlineStr">
        <is>
          <t>ÖSTERGÖTLANDS LÄN</t>
        </is>
      </c>
      <c r="E821" t="inlineStr">
        <is>
          <t>FINSPÅNG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529-2023</t>
        </is>
      </c>
      <c r="B822" s="1" t="n">
        <v>44930</v>
      </c>
      <c r="C822" s="1" t="n">
        <v>45976</v>
      </c>
      <c r="D822" t="inlineStr">
        <is>
          <t>ÖSTERGÖTLANDS LÄN</t>
        </is>
      </c>
      <c r="E822" t="inlineStr">
        <is>
          <t>FINSPÅNG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54867-2025</t>
        </is>
      </c>
      <c r="B823" s="1" t="n">
        <v>45966.83594907408</v>
      </c>
      <c r="C823" s="1" t="n">
        <v>45976</v>
      </c>
      <c r="D823" t="inlineStr">
        <is>
          <t>ÖSTERGÖTLANDS LÄN</t>
        </is>
      </c>
      <c r="E823" t="inlineStr">
        <is>
          <t>FINSPÅNG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33027-2022</t>
        </is>
      </c>
      <c r="B824" s="1" t="n">
        <v>44782</v>
      </c>
      <c r="C824" s="1" t="n">
        <v>45976</v>
      </c>
      <c r="D824" t="inlineStr">
        <is>
          <t>ÖSTERGÖTLANDS LÄN</t>
        </is>
      </c>
      <c r="E824" t="inlineStr">
        <is>
          <t>FINSPÅNG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25272-2025</t>
        </is>
      </c>
      <c r="B825" s="1" t="n">
        <v>45800</v>
      </c>
      <c r="C825" s="1" t="n">
        <v>45976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61447-2024</t>
        </is>
      </c>
      <c r="B826" s="1" t="n">
        <v>45646.4853125</v>
      </c>
      <c r="C826" s="1" t="n">
        <v>45976</v>
      </c>
      <c r="D826" t="inlineStr">
        <is>
          <t>ÖSTERGÖTLANDS LÄN</t>
        </is>
      </c>
      <c r="E826" t="inlineStr">
        <is>
          <t>FINSPÅNG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34417-2025</t>
        </is>
      </c>
      <c r="B827" s="1" t="n">
        <v>45846</v>
      </c>
      <c r="C827" s="1" t="n">
        <v>45976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47158-2025</t>
        </is>
      </c>
      <c r="B828" s="1" t="n">
        <v>45929</v>
      </c>
      <c r="C828" s="1" t="n">
        <v>45976</v>
      </c>
      <c r="D828" t="inlineStr">
        <is>
          <t>ÖSTERGÖTLANDS LÄN</t>
        </is>
      </c>
      <c r="E828" t="inlineStr">
        <is>
          <t>FINSPÅNG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25306-2025</t>
        </is>
      </c>
      <c r="B829" s="1" t="n">
        <v>45800.57334490741</v>
      </c>
      <c r="C829" s="1" t="n">
        <v>45976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Naturvårdsverket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25319-2025</t>
        </is>
      </c>
      <c r="B830" s="1" t="n">
        <v>45800.58203703703</v>
      </c>
      <c r="C830" s="1" t="n">
        <v>45976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Naturvårdsverket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25342-2025</t>
        </is>
      </c>
      <c r="B831" s="1" t="n">
        <v>45800</v>
      </c>
      <c r="C831" s="1" t="n">
        <v>45976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Naturvårdsverket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47156-2025</t>
        </is>
      </c>
      <c r="B832" s="1" t="n">
        <v>45929</v>
      </c>
      <c r="C832" s="1" t="n">
        <v>45976</v>
      </c>
      <c r="D832" t="inlineStr">
        <is>
          <t>ÖSTERGÖTLANDS LÄN</t>
        </is>
      </c>
      <c r="E832" t="inlineStr">
        <is>
          <t>FINSPÅNG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42779-2023</t>
        </is>
      </c>
      <c r="B833" s="1" t="n">
        <v>45181.79957175926</v>
      </c>
      <c r="C833" s="1" t="n">
        <v>45976</v>
      </c>
      <c r="D833" t="inlineStr">
        <is>
          <t>ÖSTERGÖTLANDS LÄN</t>
        </is>
      </c>
      <c r="E833" t="inlineStr">
        <is>
          <t>FINSPÅNG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52731-2023</t>
        </is>
      </c>
      <c r="B834" s="1" t="n">
        <v>45225.94203703704</v>
      </c>
      <c r="C834" s="1" t="n">
        <v>45976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41932-2021</t>
        </is>
      </c>
      <c r="B835" s="1" t="n">
        <v>44425</v>
      </c>
      <c r="C835" s="1" t="n">
        <v>45976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29630-2022</t>
        </is>
      </c>
      <c r="B836" s="1" t="n">
        <v>44754.60368055556</v>
      </c>
      <c r="C836" s="1" t="n">
        <v>45976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44822-2025</t>
        </is>
      </c>
      <c r="B837" s="1" t="n">
        <v>45918.38497685185</v>
      </c>
      <c r="C837" s="1" t="n">
        <v>45976</v>
      </c>
      <c r="D837" t="inlineStr">
        <is>
          <t>ÖSTERGÖTLANDS LÄN</t>
        </is>
      </c>
      <c r="E837" t="inlineStr">
        <is>
          <t>FINSPÅNG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55292-2025</t>
        </is>
      </c>
      <c r="B838" s="1" t="n">
        <v>45969.36766203704</v>
      </c>
      <c r="C838" s="1" t="n">
        <v>45976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18261-2024</t>
        </is>
      </c>
      <c r="B839" s="1" t="n">
        <v>45421.53177083333</v>
      </c>
      <c r="C839" s="1" t="n">
        <v>45976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55431-2025</t>
        </is>
      </c>
      <c r="B840" s="1" t="n">
        <v>45971.48018518519</v>
      </c>
      <c r="C840" s="1" t="n">
        <v>45976</v>
      </c>
      <c r="D840" t="inlineStr">
        <is>
          <t>ÖSTERGÖTLANDS LÄN</t>
        </is>
      </c>
      <c r="E840" t="inlineStr">
        <is>
          <t>FINSPÅNG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47152-2025</t>
        </is>
      </c>
      <c r="B841" s="1" t="n">
        <v>45929</v>
      </c>
      <c r="C841" s="1" t="n">
        <v>45976</v>
      </c>
      <c r="D841" t="inlineStr">
        <is>
          <t>ÖSTERGÖTLANDS LÄN</t>
        </is>
      </c>
      <c r="E841" t="inlineStr">
        <is>
          <t>FINSPÅNG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39467-2024</t>
        </is>
      </c>
      <c r="B842" s="1" t="n">
        <v>45551.63465277778</v>
      </c>
      <c r="C842" s="1" t="n">
        <v>45976</v>
      </c>
      <c r="D842" t="inlineStr">
        <is>
          <t>ÖSTERGÖTLANDS LÄN</t>
        </is>
      </c>
      <c r="E842" t="inlineStr">
        <is>
          <t>FINSPÅNG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26355-2025</t>
        </is>
      </c>
      <c r="B843" s="1" t="n">
        <v>45805.86400462963</v>
      </c>
      <c r="C843" s="1" t="n">
        <v>45976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26351-2025</t>
        </is>
      </c>
      <c r="B844" s="1" t="n">
        <v>45805.8593287037</v>
      </c>
      <c r="C844" s="1" t="n">
        <v>45976</v>
      </c>
      <c r="D844" t="inlineStr">
        <is>
          <t>ÖSTERGÖTLANDS LÄN</t>
        </is>
      </c>
      <c r="E844" t="inlineStr">
        <is>
          <t>FINSPÅNG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35346-2024</t>
        </is>
      </c>
      <c r="B845" s="1" t="n">
        <v>45530.94261574074</v>
      </c>
      <c r="C845" s="1" t="n">
        <v>45976</v>
      </c>
      <c r="D845" t="inlineStr">
        <is>
          <t>ÖSTERGÖTLANDS LÄN</t>
        </is>
      </c>
      <c r="E845" t="inlineStr">
        <is>
          <t>FINSPÅNG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26851-2025</t>
        </is>
      </c>
      <c r="B846" s="1" t="n">
        <v>45810.67283564815</v>
      </c>
      <c r="C846" s="1" t="n">
        <v>45976</v>
      </c>
      <c r="D846" t="inlineStr">
        <is>
          <t>ÖSTERGÖTLANDS LÄN</t>
        </is>
      </c>
      <c r="E846" t="inlineStr">
        <is>
          <t>FINSPÅNG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47567-2025</t>
        </is>
      </c>
      <c r="B847" s="1" t="n">
        <v>45931.39234953704</v>
      </c>
      <c r="C847" s="1" t="n">
        <v>45976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10184-2023</t>
        </is>
      </c>
      <c r="B848" s="1" t="n">
        <v>44986</v>
      </c>
      <c r="C848" s="1" t="n">
        <v>45976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31176-2022</t>
        </is>
      </c>
      <c r="B849" s="1" t="n">
        <v>44770.56407407407</v>
      </c>
      <c r="C849" s="1" t="n">
        <v>45976</v>
      </c>
      <c r="D849" t="inlineStr">
        <is>
          <t>ÖSTERGÖTLANDS LÄN</t>
        </is>
      </c>
      <c r="E849" t="inlineStr">
        <is>
          <t>FINSPÅNG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42785-2024</t>
        </is>
      </c>
      <c r="B850" s="1" t="n">
        <v>45566.5353125</v>
      </c>
      <c r="C850" s="1" t="n">
        <v>45976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27208-2025</t>
        </is>
      </c>
      <c r="B851" s="1" t="n">
        <v>45812.40525462963</v>
      </c>
      <c r="C851" s="1" t="n">
        <v>45976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27354-2025</t>
        </is>
      </c>
      <c r="B852" s="1" t="n">
        <v>45812.63094907408</v>
      </c>
      <c r="C852" s="1" t="n">
        <v>45976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981-2024</t>
        </is>
      </c>
      <c r="B853" s="1" t="n">
        <v>45301</v>
      </c>
      <c r="C853" s="1" t="n">
        <v>45976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1137-2024</t>
        </is>
      </c>
      <c r="B854" s="1" t="n">
        <v>45302.48125</v>
      </c>
      <c r="C854" s="1" t="n">
        <v>45976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50510-2024</t>
        </is>
      </c>
      <c r="B855" s="1" t="n">
        <v>45601.54071759259</v>
      </c>
      <c r="C855" s="1" t="n">
        <v>45976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8700-2025</t>
        </is>
      </c>
      <c r="B856" s="1" t="n">
        <v>45712.48190972222</v>
      </c>
      <c r="C856" s="1" t="n">
        <v>45976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27258-2025</t>
        </is>
      </c>
      <c r="B857" s="1" t="n">
        <v>45812.47408564815</v>
      </c>
      <c r="C857" s="1" t="n">
        <v>45976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6191-2025</t>
        </is>
      </c>
      <c r="B858" s="1" t="n">
        <v>45698.46657407407</v>
      </c>
      <c r="C858" s="1" t="n">
        <v>45976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27192-2025</t>
        </is>
      </c>
      <c r="B859" s="1" t="n">
        <v>45812.3731712963</v>
      </c>
      <c r="C859" s="1" t="n">
        <v>45976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56117-2025</t>
        </is>
      </c>
      <c r="B860" s="1" t="n">
        <v>45973.8149537037</v>
      </c>
      <c r="C860" s="1" t="n">
        <v>45976</v>
      </c>
      <c r="D860" t="inlineStr">
        <is>
          <t>ÖSTERGÖTLANDS LÄN</t>
        </is>
      </c>
      <c r="E860" t="inlineStr">
        <is>
          <t>FINSPÅNG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27861-2025</t>
        </is>
      </c>
      <c r="B861" s="1" t="n">
        <v>45817.41699074074</v>
      </c>
      <c r="C861" s="1" t="n">
        <v>45976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27879-2025</t>
        </is>
      </c>
      <c r="B862" s="1" t="n">
        <v>45817.44313657407</v>
      </c>
      <c r="C862" s="1" t="n">
        <v>45976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11063-2024</t>
        </is>
      </c>
      <c r="B863" s="1" t="n">
        <v>45370</v>
      </c>
      <c r="C863" s="1" t="n">
        <v>45976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Naturvårdsverket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27890-2025</t>
        </is>
      </c>
      <c r="B864" s="1" t="n">
        <v>45817.46142361111</v>
      </c>
      <c r="C864" s="1" t="n">
        <v>45976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17321-2022</t>
        </is>
      </c>
      <c r="B865" s="1" t="n">
        <v>44678</v>
      </c>
      <c r="C865" s="1" t="n">
        <v>45976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12216-2022</t>
        </is>
      </c>
      <c r="B866" s="1" t="n">
        <v>44637</v>
      </c>
      <c r="C866" s="1" t="n">
        <v>45976</v>
      </c>
      <c r="D866" t="inlineStr">
        <is>
          <t>ÖSTERGÖTLANDS LÄN</t>
        </is>
      </c>
      <c r="E866" t="inlineStr">
        <is>
          <t>FINSPÅNG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59701-2024</t>
        </is>
      </c>
      <c r="B867" s="1" t="n">
        <v>45639.4240162037</v>
      </c>
      <c r="C867" s="1" t="n">
        <v>45976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28428-2025</t>
        </is>
      </c>
      <c r="B868" s="1" t="n">
        <v>45819.37645833333</v>
      </c>
      <c r="C868" s="1" t="n">
        <v>45976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28491-2025</t>
        </is>
      </c>
      <c r="B869" s="1" t="n">
        <v>45819.38228009259</v>
      </c>
      <c r="C869" s="1" t="n">
        <v>45976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48065-2025</t>
        </is>
      </c>
      <c r="B870" s="1" t="n">
        <v>45932.68950231482</v>
      </c>
      <c r="C870" s="1" t="n">
        <v>45976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28508-2025</t>
        </is>
      </c>
      <c r="B871" s="1" t="n">
        <v>45819.47800925926</v>
      </c>
      <c r="C871" s="1" t="n">
        <v>45976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56404-2025</t>
        </is>
      </c>
      <c r="B872" s="1" t="n">
        <v>45975.22857638889</v>
      </c>
      <c r="C872" s="1" t="n">
        <v>45976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28905-2025</t>
        </is>
      </c>
      <c r="B873" s="1" t="n">
        <v>45820.64690972222</v>
      </c>
      <c r="C873" s="1" t="n">
        <v>45976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28913-2025</t>
        </is>
      </c>
      <c r="B874" s="1" t="n">
        <v>45820.66185185185</v>
      </c>
      <c r="C874" s="1" t="n">
        <v>45976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64103-2023</t>
        </is>
      </c>
      <c r="B875" s="1" t="n">
        <v>45279.46747685185</v>
      </c>
      <c r="C875" s="1" t="n">
        <v>45976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28792-2025</t>
        </is>
      </c>
      <c r="B876" s="1" t="n">
        <v>45820.47420138889</v>
      </c>
      <c r="C876" s="1" t="n">
        <v>45976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52561-2024</t>
        </is>
      </c>
      <c r="B877" s="1" t="n">
        <v>45609.65366898148</v>
      </c>
      <c r="C877" s="1" t="n">
        <v>45976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56405-2025</t>
        </is>
      </c>
      <c r="B878" s="1" t="n">
        <v>45975.24901620371</v>
      </c>
      <c r="C878" s="1" t="n">
        <v>45976</v>
      </c>
      <c r="D878" t="inlineStr">
        <is>
          <t>ÖSTERGÖTLANDS LÄN</t>
        </is>
      </c>
      <c r="E878" t="inlineStr">
        <is>
          <t>FINSPÅNG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22437-2023</t>
        </is>
      </c>
      <c r="B879" s="1" t="n">
        <v>45070</v>
      </c>
      <c r="C879" s="1" t="n">
        <v>45976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29441-2025</t>
        </is>
      </c>
      <c r="B880" s="1" t="n">
        <v>45824.65921296296</v>
      </c>
      <c r="C880" s="1" t="n">
        <v>45976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7743-2023</t>
        </is>
      </c>
      <c r="B881" s="1" t="n">
        <v>44973</v>
      </c>
      <c r="C881" s="1" t="n">
        <v>45976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29419-2025</t>
        </is>
      </c>
      <c r="B882" s="1" t="n">
        <v>45824.6362037037</v>
      </c>
      <c r="C882" s="1" t="n">
        <v>45976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29454-2025</t>
        </is>
      </c>
      <c r="B883" s="1" t="n">
        <v>45824.68121527778</v>
      </c>
      <c r="C883" s="1" t="n">
        <v>45976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56425-2022</t>
        </is>
      </c>
      <c r="B884" s="1" t="n">
        <v>44891</v>
      </c>
      <c r="C884" s="1" t="n">
        <v>45976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50395-2025</t>
        </is>
      </c>
      <c r="B885" s="1" t="n">
        <v>45944</v>
      </c>
      <c r="C885" s="1" t="n">
        <v>45976</v>
      </c>
      <c r="D885" t="inlineStr">
        <is>
          <t>ÖSTERGÖTLANDS LÄN</t>
        </is>
      </c>
      <c r="E885" t="inlineStr">
        <is>
          <t>FINSPÅNG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53945-2024</t>
        </is>
      </c>
      <c r="B886" s="1" t="n">
        <v>45616.28719907408</v>
      </c>
      <c r="C886" s="1" t="n">
        <v>45976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29430-2025</t>
        </is>
      </c>
      <c r="B887" s="1" t="n">
        <v>45824.64903935185</v>
      </c>
      <c r="C887" s="1" t="n">
        <v>45976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29788-2025</t>
        </is>
      </c>
      <c r="B888" s="1" t="n">
        <v>45825.65684027778</v>
      </c>
      <c r="C888" s="1" t="n">
        <v>45976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48047-2025</t>
        </is>
      </c>
      <c r="B889" s="1" t="n">
        <v>45932.67384259259</v>
      </c>
      <c r="C889" s="1" t="n">
        <v>45976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30064-2025</t>
        </is>
      </c>
      <c r="B890" s="1" t="n">
        <v>45826.61688657408</v>
      </c>
      <c r="C890" s="1" t="n">
        <v>45976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3415-2023</t>
        </is>
      </c>
      <c r="B891" s="1" t="n">
        <v>44949.55903935185</v>
      </c>
      <c r="C891" s="1" t="n">
        <v>45976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31309-2021</t>
        </is>
      </c>
      <c r="B892" s="1" t="n">
        <v>44368</v>
      </c>
      <c r="C892" s="1" t="n">
        <v>45976</v>
      </c>
      <c r="D892" t="inlineStr">
        <is>
          <t>ÖSTERGÖTLANDS LÄN</t>
        </is>
      </c>
      <c r="E892" t="inlineStr">
        <is>
          <t>FINSPÅNG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3399-2025</t>
        </is>
      </c>
      <c r="B893" s="1" t="n">
        <v>45680.36810185185</v>
      </c>
      <c r="C893" s="1" t="n">
        <v>45976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Sveaskog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30647-2025</t>
        </is>
      </c>
      <c r="B894" s="1" t="n">
        <v>45831</v>
      </c>
      <c r="C894" s="1" t="n">
        <v>45976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6735-2023</t>
        </is>
      </c>
      <c r="B895" s="1" t="n">
        <v>44966.74208333333</v>
      </c>
      <c r="C895" s="1" t="n">
        <v>45976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5333-2025</t>
        </is>
      </c>
      <c r="B896" s="1" t="n">
        <v>45692.54231481482</v>
      </c>
      <c r="C896" s="1" t="n">
        <v>45976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4280-2023</t>
        </is>
      </c>
      <c r="B897" s="1" t="n">
        <v>44953</v>
      </c>
      <c r="C897" s="1" t="n">
        <v>45976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31053-2025</t>
        </is>
      </c>
      <c r="B898" s="1" t="n">
        <v>45831</v>
      </c>
      <c r="C898" s="1" t="n">
        <v>45976</v>
      </c>
      <c r="D898" t="inlineStr">
        <is>
          <t>ÖSTERGÖTLANDS LÄN</t>
        </is>
      </c>
      <c r="E898" t="inlineStr">
        <is>
          <t>FINSPÅNG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40319-2022</t>
        </is>
      </c>
      <c r="B899" s="1" t="n">
        <v>44823.31814814815</v>
      </c>
      <c r="C899" s="1" t="n">
        <v>45976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47317-2023</t>
        </is>
      </c>
      <c r="B900" s="1" t="n">
        <v>45202.50096064815</v>
      </c>
      <c r="C900" s="1" t="n">
        <v>45976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31180-2025</t>
        </is>
      </c>
      <c r="B901" s="1" t="n">
        <v>45832.67672453704</v>
      </c>
      <c r="C901" s="1" t="n">
        <v>45976</v>
      </c>
      <c r="D901" t="inlineStr">
        <is>
          <t>ÖSTERGÖTLANDS LÄN</t>
        </is>
      </c>
      <c r="E901" t="inlineStr">
        <is>
          <t>FINSPÅNG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48802-2024</t>
        </is>
      </c>
      <c r="B902" s="1" t="n">
        <v>45593.66155092593</v>
      </c>
      <c r="C902" s="1" t="n">
        <v>45976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12483-2024</t>
        </is>
      </c>
      <c r="B903" s="1" t="n">
        <v>45379.54880787037</v>
      </c>
      <c r="C903" s="1" t="n">
        <v>45976</v>
      </c>
      <c r="D903" t="inlineStr">
        <is>
          <t>ÖSTERGÖTLANDS LÄN</t>
        </is>
      </c>
      <c r="E903" t="inlineStr">
        <is>
          <t>FINSPÅNG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19160-2024</t>
        </is>
      </c>
      <c r="B904" s="1" t="n">
        <v>45428.45214120371</v>
      </c>
      <c r="C904" s="1" t="n">
        <v>45976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39078-2022</t>
        </is>
      </c>
      <c r="B905" s="1" t="n">
        <v>44817</v>
      </c>
      <c r="C905" s="1" t="n">
        <v>45976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32246-2025</t>
        </is>
      </c>
      <c r="B906" s="1" t="n">
        <v>45835.61672453704</v>
      </c>
      <c r="C906" s="1" t="n">
        <v>45976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41328-2023</t>
        </is>
      </c>
      <c r="B907" s="1" t="n">
        <v>45174</v>
      </c>
      <c r="C907" s="1" t="n">
        <v>45976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Kyrkan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32740-2025</t>
        </is>
      </c>
      <c r="B908" s="1" t="n">
        <v>45839</v>
      </c>
      <c r="C908" s="1" t="n">
        <v>45976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32647-2025</t>
        </is>
      </c>
      <c r="B909" s="1" t="n">
        <v>45838.66701388889</v>
      </c>
      <c r="C909" s="1" t="n">
        <v>45976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19529-2025</t>
        </is>
      </c>
      <c r="B910" s="1" t="n">
        <v>45770.46763888889</v>
      </c>
      <c r="C910" s="1" t="n">
        <v>45976</v>
      </c>
      <c r="D910" t="inlineStr">
        <is>
          <t>ÖSTERGÖTLANDS LÄN</t>
        </is>
      </c>
      <c r="E910" t="inlineStr">
        <is>
          <t>FINSPÅNG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33159-2025</t>
        </is>
      </c>
      <c r="B911" s="1" t="n">
        <v>45840.56216435185</v>
      </c>
      <c r="C911" s="1" t="n">
        <v>45976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54727-2023</t>
        </is>
      </c>
      <c r="B912" s="1" t="n">
        <v>45236.37188657407</v>
      </c>
      <c r="C912" s="1" t="n">
        <v>45976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54730-2023</t>
        </is>
      </c>
      <c r="B913" s="1" t="n">
        <v>45236.37878472222</v>
      </c>
      <c r="C913" s="1" t="n">
        <v>45976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33004-2025</t>
        </is>
      </c>
      <c r="B914" s="1" t="n">
        <v>45840.35300925926</v>
      </c>
      <c r="C914" s="1" t="n">
        <v>45976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33018-2025</t>
        </is>
      </c>
      <c r="B915" s="1" t="n">
        <v>45840.37001157407</v>
      </c>
      <c r="C915" s="1" t="n">
        <v>45976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34119-2025</t>
        </is>
      </c>
      <c r="B916" s="1" t="n">
        <v>45845</v>
      </c>
      <c r="C916" s="1" t="n">
        <v>45976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9003-2024</t>
        </is>
      </c>
      <c r="B917" s="1" t="n">
        <v>45357.56899305555</v>
      </c>
      <c r="C917" s="1" t="n">
        <v>45976</v>
      </c>
      <c r="D917" t="inlineStr">
        <is>
          <t>ÖSTERGÖTLANDS LÄN</t>
        </is>
      </c>
      <c r="E917" t="inlineStr">
        <is>
          <t>FINSPÅNG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34172-2025</t>
        </is>
      </c>
      <c r="B918" s="1" t="n">
        <v>45845.59033564815</v>
      </c>
      <c r="C918" s="1" t="n">
        <v>45976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303-2025</t>
        </is>
      </c>
      <c r="B919" s="1" t="n">
        <v>45660.57175925926</v>
      </c>
      <c r="C919" s="1" t="n">
        <v>45976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56420-2023</t>
        </is>
      </c>
      <c r="B920" s="1" t="n">
        <v>45243.44707175926</v>
      </c>
      <c r="C920" s="1" t="n">
        <v>45976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15952-2023</t>
        </is>
      </c>
      <c r="B921" s="1" t="n">
        <v>45022.59966435185</v>
      </c>
      <c r="C921" s="1" t="n">
        <v>45976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34220-2025</t>
        </is>
      </c>
      <c r="B922" s="1" t="n">
        <v>45845.6499537037</v>
      </c>
      <c r="C922" s="1" t="n">
        <v>45976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34309-2025</t>
        </is>
      </c>
      <c r="B923" s="1" t="n">
        <v>45846.37765046296</v>
      </c>
      <c r="C923" s="1" t="n">
        <v>45976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34310-2025</t>
        </is>
      </c>
      <c r="B924" s="1" t="n">
        <v>45846.38990740741</v>
      </c>
      <c r="C924" s="1" t="n">
        <v>45976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38964-2022</t>
        </is>
      </c>
      <c r="B925" s="1" t="n">
        <v>44816.75733796296</v>
      </c>
      <c r="C925" s="1" t="n">
        <v>45976</v>
      </c>
      <c r="D925" t="inlineStr">
        <is>
          <t>ÖSTERGÖTLANDS LÄN</t>
        </is>
      </c>
      <c r="E925" t="inlineStr">
        <is>
          <t>FINSPÅNG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2744-2024</t>
        </is>
      </c>
      <c r="B926" s="1" t="n">
        <v>45314</v>
      </c>
      <c r="C926" s="1" t="n">
        <v>45976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63407-2020</t>
        </is>
      </c>
      <c r="B927" s="1" t="n">
        <v>44165</v>
      </c>
      <c r="C927" s="1" t="n">
        <v>45976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58026-2024</t>
        </is>
      </c>
      <c r="B928" s="1" t="n">
        <v>45631.69237268518</v>
      </c>
      <c r="C928" s="1" t="n">
        <v>45976</v>
      </c>
      <c r="D928" t="inlineStr">
        <is>
          <t>ÖSTERGÖTLANDS LÄN</t>
        </is>
      </c>
      <c r="E928" t="inlineStr">
        <is>
          <t>FINSPÅNG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40194-2022</t>
        </is>
      </c>
      <c r="B929" s="1" t="n">
        <v>44820.59762731481</v>
      </c>
      <c r="C929" s="1" t="n">
        <v>45976</v>
      </c>
      <c r="D929" t="inlineStr">
        <is>
          <t>ÖSTERGÖTLANDS LÄN</t>
        </is>
      </c>
      <c r="E929" t="inlineStr">
        <is>
          <t>FINSPÅNG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41561-2024</t>
        </is>
      </c>
      <c r="B930" s="1" t="n">
        <v>45560</v>
      </c>
      <c r="C930" s="1" t="n">
        <v>45976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20831-2025</t>
        </is>
      </c>
      <c r="B931" s="1" t="n">
        <v>45776.7610300926</v>
      </c>
      <c r="C931" s="1" t="n">
        <v>45976</v>
      </c>
      <c r="D931" t="inlineStr">
        <is>
          <t>ÖSTERGÖTLANDS LÄN</t>
        </is>
      </c>
      <c r="E931" t="inlineStr">
        <is>
          <t>FINSPÅNG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36406-2024</t>
        </is>
      </c>
      <c r="B932" s="1" t="n">
        <v>45535</v>
      </c>
      <c r="C932" s="1" t="n">
        <v>45976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Kommuner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35375-2025</t>
        </is>
      </c>
      <c r="B933" s="1" t="n">
        <v>45854.89873842592</v>
      </c>
      <c r="C933" s="1" t="n">
        <v>45976</v>
      </c>
      <c r="D933" t="inlineStr">
        <is>
          <t>ÖSTERGÖTLANDS LÄN</t>
        </is>
      </c>
      <c r="E933" t="inlineStr">
        <is>
          <t>FINSPÅNG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35374-2025</t>
        </is>
      </c>
      <c r="B934" s="1" t="n">
        <v>45854.89011574074</v>
      </c>
      <c r="C934" s="1" t="n">
        <v>45976</v>
      </c>
      <c r="D934" t="inlineStr">
        <is>
          <t>ÖSTERGÖTLANDS LÄN</t>
        </is>
      </c>
      <c r="E934" t="inlineStr">
        <is>
          <t>FINSPÅNG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35275-2025</t>
        </is>
      </c>
      <c r="B935" s="1" t="n">
        <v>45853.96457175926</v>
      </c>
      <c r="C935" s="1" t="n">
        <v>45976</v>
      </c>
      <c r="D935" t="inlineStr">
        <is>
          <t>ÖSTERGÖTLANDS LÄN</t>
        </is>
      </c>
      <c r="E935" t="inlineStr">
        <is>
          <t>FINSPÅNG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35277-2025</t>
        </is>
      </c>
      <c r="B936" s="1" t="n">
        <v>45853.9731712963</v>
      </c>
      <c r="C936" s="1" t="n">
        <v>45976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35278-2025</t>
        </is>
      </c>
      <c r="B937" s="1" t="n">
        <v>45853.97888888889</v>
      </c>
      <c r="C937" s="1" t="n">
        <v>45976</v>
      </c>
      <c r="D937" t="inlineStr">
        <is>
          <t>ÖSTERGÖTLANDS LÄN</t>
        </is>
      </c>
      <c r="E937" t="inlineStr">
        <is>
          <t>FINSPÅNG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35279-2025</t>
        </is>
      </c>
      <c r="B938" s="1" t="n">
        <v>45853.98606481482</v>
      </c>
      <c r="C938" s="1" t="n">
        <v>45976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35492-2025</t>
        </is>
      </c>
      <c r="B939" s="1" t="n">
        <v>45855.89788194445</v>
      </c>
      <c r="C939" s="1" t="n">
        <v>45976</v>
      </c>
      <c r="D939" t="inlineStr">
        <is>
          <t>ÖSTERGÖTLANDS LÄN</t>
        </is>
      </c>
      <c r="E939" t="inlineStr">
        <is>
          <t>FINSPÅNG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58367-2023</t>
        </is>
      </c>
      <c r="B940" s="1" t="n">
        <v>45250</v>
      </c>
      <c r="C940" s="1" t="n">
        <v>45976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35494-2025</t>
        </is>
      </c>
      <c r="B941" s="1" t="n">
        <v>45855.92417824074</v>
      </c>
      <c r="C941" s="1" t="n">
        <v>45976</v>
      </c>
      <c r="D941" t="inlineStr">
        <is>
          <t>ÖSTERGÖTLANDS LÄN</t>
        </is>
      </c>
      <c r="E941" t="inlineStr">
        <is>
          <t>FINSPÅNG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33997-2024</t>
        </is>
      </c>
      <c r="B942" s="1" t="n">
        <v>45523.54790509259</v>
      </c>
      <c r="C942" s="1" t="n">
        <v>45976</v>
      </c>
      <c r="D942" t="inlineStr">
        <is>
          <t>ÖSTERGÖTLANDS LÄN</t>
        </is>
      </c>
      <c r="E942" t="inlineStr">
        <is>
          <t>FINSPÅNG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46317-2023</t>
        </is>
      </c>
      <c r="B943" s="1" t="n">
        <v>45197.3700462963</v>
      </c>
      <c r="C943" s="1" t="n">
        <v>45976</v>
      </c>
      <c r="D943" t="inlineStr">
        <is>
          <t>ÖSTERGÖTLANDS LÄN</t>
        </is>
      </c>
      <c r="E943" t="inlineStr">
        <is>
          <t>FINSPÅNG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6731-2023</t>
        </is>
      </c>
      <c r="B944" s="1" t="n">
        <v>44966</v>
      </c>
      <c r="C944" s="1" t="n">
        <v>45976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36994-2022</t>
        </is>
      </c>
      <c r="B945" s="1" t="n">
        <v>44806</v>
      </c>
      <c r="C945" s="1" t="n">
        <v>45976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25301-2025</t>
        </is>
      </c>
      <c r="B946" s="1" t="n">
        <v>45800</v>
      </c>
      <c r="C946" s="1" t="n">
        <v>45976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35970-2025</t>
        </is>
      </c>
      <c r="B947" s="1" t="n">
        <v>45863</v>
      </c>
      <c r="C947" s="1" t="n">
        <v>45976</v>
      </c>
      <c r="D947" t="inlineStr">
        <is>
          <t>ÖSTERGÖTLANDS LÄN</t>
        </is>
      </c>
      <c r="E947" t="inlineStr">
        <is>
          <t>FINSPÅNG</t>
        </is>
      </c>
      <c r="G947" t="n">
        <v>22.6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31043-2025</t>
        </is>
      </c>
      <c r="B948" s="1" t="n">
        <v>45831</v>
      </c>
      <c r="C948" s="1" t="n">
        <v>45976</v>
      </c>
      <c r="D948" t="inlineStr">
        <is>
          <t>ÖSTERGÖTLANDS LÄN</t>
        </is>
      </c>
      <c r="E948" t="inlineStr">
        <is>
          <t>FINSPÅNG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31130-2023</t>
        </is>
      </c>
      <c r="B949" s="1" t="n">
        <v>45113.7019212963</v>
      </c>
      <c r="C949" s="1" t="n">
        <v>45976</v>
      </c>
      <c r="D949" t="inlineStr">
        <is>
          <t>ÖSTERGÖTLANDS LÄN</t>
        </is>
      </c>
      <c r="E949" t="inlineStr">
        <is>
          <t>FINSPÅNG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8526-2025</t>
        </is>
      </c>
      <c r="B950" s="1" t="n">
        <v>45709.57898148148</v>
      </c>
      <c r="C950" s="1" t="n">
        <v>45976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6105-2023</t>
        </is>
      </c>
      <c r="B951" s="1" t="n">
        <v>44964.5900462963</v>
      </c>
      <c r="C951" s="1" t="n">
        <v>45976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36592-2025</t>
        </is>
      </c>
      <c r="B952" s="1" t="n">
        <v>45870.4994212963</v>
      </c>
      <c r="C952" s="1" t="n">
        <v>45976</v>
      </c>
      <c r="D952" t="inlineStr">
        <is>
          <t>ÖSTERGÖTLANDS LÄN</t>
        </is>
      </c>
      <c r="E952" t="inlineStr">
        <is>
          <t>FINSPÅNG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11038-2025</t>
        </is>
      </c>
      <c r="B953" s="1" t="n">
        <v>45723.48126157407</v>
      </c>
      <c r="C953" s="1" t="n">
        <v>45976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18171-2024</t>
        </is>
      </c>
      <c r="B954" s="1" t="n">
        <v>45420.63292824074</v>
      </c>
      <c r="C954" s="1" t="n">
        <v>45976</v>
      </c>
      <c r="D954" t="inlineStr">
        <is>
          <t>ÖSTERGÖTLANDS LÄN</t>
        </is>
      </c>
      <c r="E954" t="inlineStr">
        <is>
          <t>FINSPÅNG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43318-2022</t>
        </is>
      </c>
      <c r="B955" s="1" t="n">
        <v>44834</v>
      </c>
      <c r="C955" s="1" t="n">
        <v>45976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20522-2025</t>
        </is>
      </c>
      <c r="B956" s="1" t="n">
        <v>45775.6037037037</v>
      </c>
      <c r="C956" s="1" t="n">
        <v>45976</v>
      </c>
      <c r="D956" t="inlineStr">
        <is>
          <t>ÖSTERGÖTLANDS LÄN</t>
        </is>
      </c>
      <c r="E956" t="inlineStr">
        <is>
          <t>FINSPÅNG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53944-2024</t>
        </is>
      </c>
      <c r="B957" s="1" t="n">
        <v>45616.27108796296</v>
      </c>
      <c r="C957" s="1" t="n">
        <v>45976</v>
      </c>
      <c r="D957" t="inlineStr">
        <is>
          <t>ÖSTERGÖTLANDS LÄN</t>
        </is>
      </c>
      <c r="E957" t="inlineStr">
        <is>
          <t>FINSPÅNG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60038-2023</t>
        </is>
      </c>
      <c r="B958" s="1" t="n">
        <v>45258</v>
      </c>
      <c r="C958" s="1" t="n">
        <v>45976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50341-2022</t>
        </is>
      </c>
      <c r="B959" s="1" t="n">
        <v>44865</v>
      </c>
      <c r="C959" s="1" t="n">
        <v>45976</v>
      </c>
      <c r="D959" t="inlineStr">
        <is>
          <t>ÖSTERGÖTLANDS LÄN</t>
        </is>
      </c>
      <c r="E959" t="inlineStr">
        <is>
          <t>FINSPÅNG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4139-2023</t>
        </is>
      </c>
      <c r="B960" s="1" t="n">
        <v>44953</v>
      </c>
      <c r="C960" s="1" t="n">
        <v>45976</v>
      </c>
      <c r="D960" t="inlineStr">
        <is>
          <t>ÖSTERGÖTLANDS LÄN</t>
        </is>
      </c>
      <c r="E960" t="inlineStr">
        <is>
          <t>FINSPÅNG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42204-2023</t>
        </is>
      </c>
      <c r="B961" s="1" t="n">
        <v>45179</v>
      </c>
      <c r="C961" s="1" t="n">
        <v>45976</v>
      </c>
      <c r="D961" t="inlineStr">
        <is>
          <t>ÖSTERGÖTLANDS LÄN</t>
        </is>
      </c>
      <c r="E961" t="inlineStr">
        <is>
          <t>FINSPÅNG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54505-2024</t>
        </is>
      </c>
      <c r="B962" s="1" t="n">
        <v>45617.58458333334</v>
      </c>
      <c r="C962" s="1" t="n">
        <v>45976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53610-2022</t>
        </is>
      </c>
      <c r="B963" s="1" t="n">
        <v>44879.75650462963</v>
      </c>
      <c r="C963" s="1" t="n">
        <v>45976</v>
      </c>
      <c r="D963" t="inlineStr">
        <is>
          <t>ÖSTERGÖTLANDS LÄN</t>
        </is>
      </c>
      <c r="E963" t="inlineStr">
        <is>
          <t>FINSPÅNG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8924-2025</t>
        </is>
      </c>
      <c r="B964" s="1" t="n">
        <v>45713.4383912037</v>
      </c>
      <c r="C964" s="1" t="n">
        <v>45976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13378-2025</t>
        </is>
      </c>
      <c r="B965" s="1" t="n">
        <v>45735.67384259259</v>
      </c>
      <c r="C965" s="1" t="n">
        <v>45976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49677-2022</t>
        </is>
      </c>
      <c r="B966" s="1" t="n">
        <v>44862</v>
      </c>
      <c r="C966" s="1" t="n">
        <v>45976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41527-2024</t>
        </is>
      </c>
      <c r="B967" s="1" t="n">
        <v>45560</v>
      </c>
      <c r="C967" s="1" t="n">
        <v>45976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56309-2022</t>
        </is>
      </c>
      <c r="B968" s="1" t="n">
        <v>44887</v>
      </c>
      <c r="C968" s="1" t="n">
        <v>45976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56264-2022</t>
        </is>
      </c>
      <c r="B969" s="1" t="n">
        <v>44887</v>
      </c>
      <c r="C969" s="1" t="n">
        <v>45976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54654-2023</t>
        </is>
      </c>
      <c r="B970" s="1" t="n">
        <v>45235.45121527778</v>
      </c>
      <c r="C970" s="1" t="n">
        <v>45976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25193-2023</t>
        </is>
      </c>
      <c r="B971" s="1" t="n">
        <v>45086</v>
      </c>
      <c r="C971" s="1" t="n">
        <v>45976</v>
      </c>
      <c r="D971" t="inlineStr">
        <is>
          <t>ÖSTERGÖTLANDS LÄN</t>
        </is>
      </c>
      <c r="E971" t="inlineStr">
        <is>
          <t>FINSPÅNG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18657-2024</t>
        </is>
      </c>
      <c r="B972" s="1" t="n">
        <v>45426.26847222223</v>
      </c>
      <c r="C972" s="1" t="n">
        <v>45976</v>
      </c>
      <c r="D972" t="inlineStr">
        <is>
          <t>ÖSTERGÖTLANDS LÄN</t>
        </is>
      </c>
      <c r="E972" t="inlineStr">
        <is>
          <t>FINSPÅNG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9339-2022</t>
        </is>
      </c>
      <c r="B973" s="1" t="n">
        <v>44616</v>
      </c>
      <c r="C973" s="1" t="n">
        <v>45976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3908-2024</t>
        </is>
      </c>
      <c r="B974" s="1" t="n">
        <v>45322.49793981481</v>
      </c>
      <c r="C974" s="1" t="n">
        <v>45976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Övriga Aktiebolag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14142-2025</t>
        </is>
      </c>
      <c r="B975" s="1" t="n">
        <v>45740.48484953704</v>
      </c>
      <c r="C975" s="1" t="n">
        <v>45976</v>
      </c>
      <c r="D975" t="inlineStr">
        <is>
          <t>ÖSTERGÖTLANDS LÄN</t>
        </is>
      </c>
      <c r="E975" t="inlineStr">
        <is>
          <t>FINSPÅNG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2025-11-15T10:09:08Z</dcterms:created>
  <dcterms:modified xmlns:dcterms="http://purl.org/dc/terms/" xmlns:xsi="http://www.w3.org/2001/XMLSchema-instance" xsi:type="dcterms:W3CDTF">2025-11-15T10:09:08Z</dcterms:modified>
</cp:coreProperties>
</file>