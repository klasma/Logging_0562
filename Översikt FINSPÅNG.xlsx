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46222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46222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46222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46222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46222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46222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46222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46222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s="2" t="inlineStr">
        <is>
          <t>Kattfotslav
Kolflarnlav
Björksplintborre
Flagellkvastmossa
Kornknutmossa
Rostfläck
Stubbspretmossa</t>
        </is>
      </c>
      <c r="V13">
        <f>HYPERLINK("https://klasma.github.io/Logging_0562/artfynd/A 39827-2025 artfynd.xlsx", "A 39827-2025")</f>
        <v/>
      </c>
      <c r="W13">
        <f>HYPERLINK("https://klasma.github.io/Logging_0562/kartor/A 39827-2025 karta.png", "A 39827-2025")</f>
        <v/>
      </c>
      <c r="Y13">
        <f>HYPERLINK("https://klasma.github.io/Logging_0562/klagomål/A 39827-2025 FSC-klagomål.docx", "A 39827-2025")</f>
        <v/>
      </c>
      <c r="Z13">
        <f>HYPERLINK("https://klasma.github.io/Logging_0562/klagomålsmail/A 39827-2025 FSC-klagomål mail.docx", "A 39827-2025")</f>
        <v/>
      </c>
      <c r="AA13">
        <f>HYPERLINK("https://klasma.github.io/Logging_0562/tillsyn/A 39827-2025 tillsynsbegäran.docx", "A 39827-2025")</f>
        <v/>
      </c>
      <c r="AB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s="2" t="inlineStr">
        <is>
          <t>Tallticka
Björksplintborre
Flagellkvastmossa
Kornknutmossa
Mindre märgborre
Stor revmossa
Tjäder</t>
        </is>
      </c>
      <c r="V14">
        <f>HYPERLINK("https://klasma.github.io/Logging_0562/artfynd/A 18262-2024 artfynd.xlsx", "A 18262-2024")</f>
        <v/>
      </c>
      <c r="W14">
        <f>HYPERLINK("https://klasma.github.io/Logging_0562/kartor/A 18262-2024 karta.png", "A 18262-2024")</f>
        <v/>
      </c>
      <c r="Y14">
        <f>HYPERLINK("https://klasma.github.io/Logging_0562/klagomål/A 18262-2024 FSC-klagomål.docx", "A 18262-2024")</f>
        <v/>
      </c>
      <c r="Z14">
        <f>HYPERLINK("https://klasma.github.io/Logging_0562/klagomålsmail/A 18262-2024 FSC-klagomål mail.docx", "A 18262-2024")</f>
        <v/>
      </c>
      <c r="AA14">
        <f>HYPERLINK("https://klasma.github.io/Logging_0562/tillsyn/A 18262-2024 tillsynsbegäran.docx", "A 18262-2024")</f>
        <v/>
      </c>
      <c r="AB14">
        <f>HYPERLINK("https://klasma.github.io/Logging_0562/tillsynsmail/A 18262-2024 tillsynsbegäran mail.docx", "A 18262-2024")</f>
        <v/>
      </c>
      <c r="AC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46222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46222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46222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s="2" t="inlineStr">
        <is>
          <t>Aspvedgnagare
Barkticka
Fällmossa
Rävticka
Blåsippa</t>
        </is>
      </c>
      <c r="V20">
        <f>HYPERLINK("https://klasma.github.io/Logging_0562/artfynd/A 27354-2025 artfynd.xlsx", "A 27354-2025")</f>
        <v/>
      </c>
      <c r="W20">
        <f>HYPERLINK("https://klasma.github.io/Logging_0562/kartor/A 27354-2025 karta.png", "A 27354-2025")</f>
        <v/>
      </c>
      <c r="Y20">
        <f>HYPERLINK("https://klasma.github.io/Logging_0562/klagomål/A 27354-2025 FSC-klagomål.docx", "A 27354-2025")</f>
        <v/>
      </c>
      <c r="Z20">
        <f>HYPERLINK("https://klasma.github.io/Logging_0562/klagomålsmail/A 27354-2025 FSC-klagomål mail.docx", "A 27354-2025")</f>
        <v/>
      </c>
      <c r="AA20">
        <f>HYPERLINK("https://klasma.github.io/Logging_0562/tillsyn/A 27354-2025 tillsynsbegäran.docx", "A 27354-2025")</f>
        <v/>
      </c>
      <c r="AB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Nordfladdermus
Hasselticka
Dvärgpipistrell
Större brunfladdermus
Vattenfladdermus</t>
        </is>
      </c>
      <c r="V21">
        <f>HYPERLINK("https://klasma.github.io/Logging_0562/artfynd/A 51020-2025 artfynd.xlsx", "A 51020-2025")</f>
        <v/>
      </c>
      <c r="W21">
        <f>HYPERLINK("https://klasma.github.io/Logging_0562/kartor/A 51020-2025 karta.png", "A 51020-2025")</f>
        <v/>
      </c>
      <c r="Y21">
        <f>HYPERLINK("https://klasma.github.io/Logging_0562/klagomål/A 51020-2025 FSC-klagomål.docx", "A 51020-2025")</f>
        <v/>
      </c>
      <c r="Z21">
        <f>HYPERLINK("https://klasma.github.io/Logging_0562/klagomålsmail/A 51020-2025 FSC-klagomål mail.docx", "A 51020-2025")</f>
        <v/>
      </c>
      <c r="AA21">
        <f>HYPERLINK("https://klasma.github.io/Logging_0562/tillsyn/A 51020-2025 tillsynsbegäran.docx", "A 51020-2025")</f>
        <v/>
      </c>
      <c r="AB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46222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s="2" t="inlineStr">
        <is>
          <t>Jättemusseron
Dropptaggsvamp
Motaggsvamp
Tallticka
Blomkålssvamp</t>
        </is>
      </c>
      <c r="V22">
        <f>HYPERLINK("https://klasma.github.io/Logging_0562/artfynd/A 34096-2022 artfynd.xlsx", "A 34096-2022")</f>
        <v/>
      </c>
      <c r="W22">
        <f>HYPERLINK("https://klasma.github.io/Logging_0562/kartor/A 34096-2022 karta.png", "A 34096-2022")</f>
        <v/>
      </c>
      <c r="Y22">
        <f>HYPERLINK("https://klasma.github.io/Logging_0562/klagomål/A 34096-2022 FSC-klagomål.docx", "A 34096-2022")</f>
        <v/>
      </c>
      <c r="Z22">
        <f>HYPERLINK("https://klasma.github.io/Logging_0562/klagomålsmail/A 34096-2022 FSC-klagomål mail.docx", "A 34096-2022")</f>
        <v/>
      </c>
      <c r="AA22">
        <f>HYPERLINK("https://klasma.github.io/Logging_0562/tillsyn/A 34096-2022 tillsynsbegäran.docx", "A 34096-2022")</f>
        <v/>
      </c>
      <c r="AB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s="2" t="inlineStr">
        <is>
          <t>Dropptaggsvamp
Tallticka
Spillkråka</t>
        </is>
      </c>
      <c r="V25">
        <f>HYPERLINK("https://klasma.github.io/Logging_0562/artfynd/A 28464-2025 artfynd.xlsx", "A 28464-2025")</f>
        <v/>
      </c>
      <c r="W25">
        <f>HYPERLINK("https://klasma.github.io/Logging_0562/kartor/A 28464-2025 karta.png", "A 28464-2025")</f>
        <v/>
      </c>
      <c r="Y25">
        <f>HYPERLINK("https://klasma.github.io/Logging_0562/klagomål/A 28464-2025 FSC-klagomål.docx", "A 28464-2025")</f>
        <v/>
      </c>
      <c r="Z25">
        <f>HYPERLINK("https://klasma.github.io/Logging_0562/klagomålsmail/A 28464-2025 FSC-klagomål mail.docx", "A 28464-2025")</f>
        <v/>
      </c>
      <c r="AA25">
        <f>HYPERLINK("https://klasma.github.io/Logging_0562/tillsyn/A 28464-2025 tillsynsbegäran.docx", "A 28464-2025")</f>
        <v/>
      </c>
      <c r="AB25">
        <f>HYPERLINK("https://klasma.github.io/Logging_0562/tillsynsmail/A 28464-2025 tillsynsbegäran mail.docx", "A 28464-2025")</f>
        <v/>
      </c>
      <c r="AC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Fällmossa
Tibast
Blåsippa</t>
        </is>
      </c>
      <c r="V26">
        <f>HYPERLINK("https://klasma.github.io/Logging_0562/artfynd/A 24404-2023 artfynd.xlsx", "A 24404-2023")</f>
        <v/>
      </c>
      <c r="W26">
        <f>HYPERLINK("https://klasma.github.io/Logging_0562/kartor/A 24404-2023 karta.png", "A 24404-2023")</f>
        <v/>
      </c>
      <c r="Y26">
        <f>HYPERLINK("https://klasma.github.io/Logging_0562/klagomål/A 24404-2023 FSC-klagomål.docx", "A 24404-2023")</f>
        <v/>
      </c>
      <c r="Z26">
        <f>HYPERLINK("https://klasma.github.io/Logging_0562/klagomålsmail/A 24404-2023 FSC-klagomål mail.docx", "A 24404-2023")</f>
        <v/>
      </c>
      <c r="AA26">
        <f>HYPERLINK("https://klasma.github.io/Logging_0562/tillsyn/A 24404-2023 tillsynsbegäran.docx", "A 24404-2023")</f>
        <v/>
      </c>
      <c r="AB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46222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Tibast
Vätteros</t>
        </is>
      </c>
      <c r="V27">
        <f>HYPERLINK("https://klasma.github.io/Logging_0562/artfynd/A 31393-2022 artfynd.xlsx", "A 31393-2022")</f>
        <v/>
      </c>
      <c r="W27">
        <f>HYPERLINK("https://klasma.github.io/Logging_0562/kartor/A 31393-2022 karta.png", "A 31393-2022")</f>
        <v/>
      </c>
      <c r="Y27">
        <f>HYPERLINK("https://klasma.github.io/Logging_0562/klagomål/A 31393-2022 FSC-klagomål.docx", "A 31393-2022")</f>
        <v/>
      </c>
      <c r="Z27">
        <f>HYPERLINK("https://klasma.github.io/Logging_0562/klagomålsmail/A 31393-2022 FSC-klagomål mail.docx", "A 31393-2022")</f>
        <v/>
      </c>
      <c r="AA27">
        <f>HYPERLINK("https://klasma.github.io/Logging_0562/tillsyn/A 31393-2022 tillsynsbegäran.docx", "A 31393-2022")</f>
        <v/>
      </c>
      <c r="AB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46222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Igelkottsröksvamp
Svart trolldruva</t>
        </is>
      </c>
      <c r="V28">
        <f>HYPERLINK("https://klasma.github.io/Logging_0562/artfynd/A 50904-2024 artfynd.xlsx", "A 50904-2024")</f>
        <v/>
      </c>
      <c r="W28">
        <f>HYPERLINK("https://klasma.github.io/Logging_0562/kartor/A 50904-2024 karta.png", "A 50904-2024")</f>
        <v/>
      </c>
      <c r="Y28">
        <f>HYPERLINK("https://klasma.github.io/Logging_0562/klagomål/A 50904-2024 FSC-klagomål.docx", "A 50904-2024")</f>
        <v/>
      </c>
      <c r="Z28">
        <f>HYPERLINK("https://klasma.github.io/Logging_0562/klagomålsmail/A 50904-2024 FSC-klagomål mail.docx", "A 50904-2024")</f>
        <v/>
      </c>
      <c r="AA28">
        <f>HYPERLINK("https://klasma.github.io/Logging_0562/tillsyn/A 50904-2024 tillsynsbegäran.docx", "A 50904-2024")</f>
        <v/>
      </c>
      <c r="AB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Y29">
        <f>HYPERLINK("https://klasma.github.io/Logging_0562/klagomål/A 28382-2026 FSC-klagomål.docx", "A 28382-2026")</f>
        <v/>
      </c>
      <c r="Z29">
        <f>HYPERLINK("https://klasma.github.io/Logging_0562/klagomålsmail/A 28382-2026 FSC-klagomål mail.docx", "A 28382-2026")</f>
        <v/>
      </c>
      <c r="AA29">
        <f>HYPERLINK("https://klasma.github.io/Logging_0562/tillsyn/A 28382-2026 tillsynsbegäran.docx", "A 28382-2026")</f>
        <v/>
      </c>
      <c r="AB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46222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Gullklöver
Grönvit nattviol</t>
        </is>
      </c>
      <c r="V31">
        <f>HYPERLINK("https://klasma.github.io/Logging_0562/artfynd/A 38963-2022 artfynd.xlsx", "A 38963-2022")</f>
        <v/>
      </c>
      <c r="W31">
        <f>HYPERLINK("https://klasma.github.io/Logging_0562/kartor/A 38963-2022 karta.png", "A 38963-2022")</f>
        <v/>
      </c>
      <c r="Y31">
        <f>HYPERLINK("https://klasma.github.io/Logging_0562/klagomål/A 38963-2022 FSC-klagomål.docx", "A 38963-2022")</f>
        <v/>
      </c>
      <c r="Z31">
        <f>HYPERLINK("https://klasma.github.io/Logging_0562/klagomålsmail/A 38963-2022 FSC-klagomål mail.docx", "A 38963-2022")</f>
        <v/>
      </c>
      <c r="AA31">
        <f>HYPERLINK("https://klasma.github.io/Logging_0562/tillsyn/A 38963-2022 tillsynsbegäran.docx", "A 38963-2022")</f>
        <v/>
      </c>
      <c r="AB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46222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Mosippa
Gullklöver</t>
        </is>
      </c>
      <c r="V32">
        <f>HYPERLINK("https://klasma.github.io/Logging_0562/artfynd/A 18462-2024 artfynd.xlsx", "A 18462-2024")</f>
        <v/>
      </c>
      <c r="W32">
        <f>HYPERLINK("https://klasma.github.io/Logging_0562/kartor/A 18462-2024 karta.png", "A 18462-2024")</f>
        <v/>
      </c>
      <c r="Y32">
        <f>HYPERLINK("https://klasma.github.io/Logging_0562/klagomål/A 18462-2024 FSC-klagomål.docx", "A 18462-2024")</f>
        <v/>
      </c>
      <c r="Z32">
        <f>HYPERLINK("https://klasma.github.io/Logging_0562/klagomålsmail/A 18462-2024 FSC-klagomål mail.docx", "A 18462-2024")</f>
        <v/>
      </c>
      <c r="AA32">
        <f>HYPERLINK("https://klasma.github.io/Logging_0562/tillsyn/A 18462-2024 tillsynsbegäran.docx", "A 18462-2024")</f>
        <v/>
      </c>
      <c r="AB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46222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Talltita
Havsörn</t>
        </is>
      </c>
      <c r="V33">
        <f>HYPERLINK("https://klasma.github.io/Logging_0562/artfynd/A 32570-2023 artfynd.xlsx", "A 32570-2023")</f>
        <v/>
      </c>
      <c r="W33">
        <f>HYPERLINK("https://klasma.github.io/Logging_0562/kartor/A 32570-2023 karta.png", "A 32570-2023")</f>
        <v/>
      </c>
      <c r="Y33">
        <f>HYPERLINK("https://klasma.github.io/Logging_0562/klagomål/A 32570-2023 FSC-klagomål.docx", "A 32570-2023")</f>
        <v/>
      </c>
      <c r="Z33">
        <f>HYPERLINK("https://klasma.github.io/Logging_0562/klagomålsmail/A 32570-2023 FSC-klagomål mail.docx", "A 32570-2023")</f>
        <v/>
      </c>
      <c r="AA33">
        <f>HYPERLINK("https://klasma.github.io/Logging_0562/tillsyn/A 32570-2023 tillsynsbegäran.docx", "A 32570-2023")</f>
        <v/>
      </c>
      <c r="AB33">
        <f>HYPERLINK("https://klasma.github.io/Logging_0562/tillsynsmail/A 32570-2023 tillsynsbegäran mail.docx", "A 32570-2023")</f>
        <v/>
      </c>
      <c r="AC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Svartvit taggsvamp
Orre</t>
        </is>
      </c>
      <c r="V34">
        <f>HYPERLINK("https://klasma.github.io/Logging_0562/artfynd/A 40002-2025 artfynd.xlsx", "A 40002-2025")</f>
        <v/>
      </c>
      <c r="W34">
        <f>HYPERLINK("https://klasma.github.io/Logging_0562/kartor/A 40002-2025 karta.png", "A 40002-2025")</f>
        <v/>
      </c>
      <c r="Y34">
        <f>HYPERLINK("https://klasma.github.io/Logging_0562/klagomål/A 40002-2025 FSC-klagomål.docx", "A 40002-2025")</f>
        <v/>
      </c>
      <c r="Z34">
        <f>HYPERLINK("https://klasma.github.io/Logging_0562/klagomålsmail/A 40002-2025 FSC-klagomål mail.docx", "A 40002-2025")</f>
        <v/>
      </c>
      <c r="AA34">
        <f>HYPERLINK("https://klasma.github.io/Logging_0562/tillsyn/A 40002-2025 tillsynsbegäran.docx", "A 40002-2025")</f>
        <v/>
      </c>
      <c r="AB34">
        <f>HYPERLINK("https://klasma.github.io/Logging_0562/tillsynsmail/A 40002-2025 tillsynsbegäran mail.docx", "A 40002-2025")</f>
        <v/>
      </c>
      <c r="AC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46222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Skarp dropptaggsvamp
Stor aspticka</t>
        </is>
      </c>
      <c r="V35">
        <f>HYPERLINK("https://klasma.github.io/Logging_0562/artfynd/A 42388-2025 artfynd.xlsx", "A 42388-2025")</f>
        <v/>
      </c>
      <c r="W35">
        <f>HYPERLINK("https://klasma.github.io/Logging_0562/kartor/A 42388-2025 karta.png", "A 42388-2025")</f>
        <v/>
      </c>
      <c r="Y35">
        <f>HYPERLINK("https://klasma.github.io/Logging_0562/klagomål/A 42388-2025 FSC-klagomål.docx", "A 42388-2025")</f>
        <v/>
      </c>
      <c r="Z35">
        <f>HYPERLINK("https://klasma.github.io/Logging_0562/klagomålsmail/A 42388-2025 FSC-klagomål mail.docx", "A 42388-2025")</f>
        <v/>
      </c>
      <c r="AA35">
        <f>HYPERLINK("https://klasma.github.io/Logging_0562/tillsyn/A 42388-2025 tillsynsbegäran.docx", "A 42388-2025")</f>
        <v/>
      </c>
      <c r="AB35">
        <f>HYPERLINK("https://klasma.github.io/Logging_0562/tillsynsmail/A 42388-2025 tillsynsbegäran mail.docx", "A 42388-2025")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46222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Fläcknycklar
Grönvit nattviol</t>
        </is>
      </c>
      <c r="V36">
        <f>HYPERLINK("https://klasma.github.io/Logging_0562/artfynd/A 60890-2024 artfynd.xlsx", "A 60890-2024")</f>
        <v/>
      </c>
      <c r="W36">
        <f>HYPERLINK("https://klasma.github.io/Logging_0562/kartor/A 60890-2024 karta.png", "A 60890-2024")</f>
        <v/>
      </c>
      <c r="Y36">
        <f>HYPERLINK("https://klasma.github.io/Logging_0562/klagomål/A 60890-2024 FSC-klagomål.docx", "A 60890-2024")</f>
        <v/>
      </c>
      <c r="Z36">
        <f>HYPERLINK("https://klasma.github.io/Logging_0562/klagomålsmail/A 60890-2024 FSC-klagomål mail.docx", "A 60890-2024")</f>
        <v/>
      </c>
      <c r="AA36">
        <f>HYPERLINK("https://klasma.github.io/Logging_0562/tillsyn/A 60890-2024 tillsynsbegäran.docx", "A 60890-2024")</f>
        <v/>
      </c>
      <c r="AB36">
        <f>HYPERLINK("https://klasma.github.io/Logging_0562/tillsynsmail/A 60890-2024 tillsynsbegäran mail.docx", "A 60890-2024")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46222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Svedjenäva
Mattlummer</t>
        </is>
      </c>
      <c r="V37">
        <f>HYPERLINK("https://klasma.github.io/Logging_0562/artfynd/A 51549-2025 artfynd.xlsx", "A 51549-2025")</f>
        <v/>
      </c>
      <c r="W37">
        <f>HYPERLINK("https://klasma.github.io/Logging_0562/kartor/A 51549-2025 karta.png", "A 51549-2025")</f>
        <v/>
      </c>
      <c r="Y37">
        <f>HYPERLINK("https://klasma.github.io/Logging_0562/klagomål/A 51549-2025 FSC-klagomål.docx", "A 51549-2025")</f>
        <v/>
      </c>
      <c r="Z37">
        <f>HYPERLINK("https://klasma.github.io/Logging_0562/klagomålsmail/A 51549-2025 FSC-klagomål mail.docx", "A 51549-2025")</f>
        <v/>
      </c>
      <c r="AA37">
        <f>HYPERLINK("https://klasma.github.io/Logging_0562/tillsyn/A 51549-2025 tillsynsbegäran.docx", "A 51549-2025")</f>
        <v/>
      </c>
      <c r="AB37">
        <f>HYPERLINK("https://klasma.github.io/Logging_0562/tillsynsmail/A 51549-2025 tillsynsbegäran mail.docx", "A 51549-2025")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46222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Bronshjon
Fläcknycklar</t>
        </is>
      </c>
      <c r="V38">
        <f>HYPERLINK("https://klasma.github.io/Logging_0562/artfynd/A 9412-2023 artfynd.xlsx", "A 9412-2023")</f>
        <v/>
      </c>
      <c r="W38">
        <f>HYPERLINK("https://klasma.github.io/Logging_0562/kartor/A 9412-2023 karta.png", "A 9412-2023")</f>
        <v/>
      </c>
      <c r="Y38">
        <f>HYPERLINK("https://klasma.github.io/Logging_0562/klagomål/A 9412-2023 FSC-klagomål.docx", "A 9412-2023")</f>
        <v/>
      </c>
      <c r="Z38">
        <f>HYPERLINK("https://klasma.github.io/Logging_0562/klagomålsmail/A 9412-2023 FSC-klagomål mail.docx", "A 9412-2023")</f>
        <v/>
      </c>
      <c r="AA38">
        <f>HYPERLINK("https://klasma.github.io/Logging_0562/tillsyn/A 9412-2023 tillsynsbegäran.docx", "A 9412-2023")</f>
        <v/>
      </c>
      <c r="AB38">
        <f>HYPERLINK("https://klasma.github.io/Logging_0562/tillsynsmail/A 9412-2023 tillsynsbegäran mail.docx", "A 9412-2023")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46222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Tallticka
Blompraktbagge</t>
        </is>
      </c>
      <c r="V39">
        <f>HYPERLINK("https://klasma.github.io/Logging_0562/artfynd/A 21566-2024 artfynd.xlsx", "A 21566-2024")</f>
        <v/>
      </c>
      <c r="W39">
        <f>HYPERLINK("https://klasma.github.io/Logging_0562/kartor/A 21566-2024 karta.png", "A 21566-2024")</f>
        <v/>
      </c>
      <c r="Y39">
        <f>HYPERLINK("https://klasma.github.io/Logging_0562/klagomål/A 21566-2024 FSC-klagomål.docx", "A 21566-2024")</f>
        <v/>
      </c>
      <c r="Z39">
        <f>HYPERLINK("https://klasma.github.io/Logging_0562/klagomålsmail/A 21566-2024 FSC-klagomål mail.docx", "A 21566-2024")</f>
        <v/>
      </c>
      <c r="AA39">
        <f>HYPERLINK("https://klasma.github.io/Logging_0562/tillsyn/A 21566-2024 tillsynsbegäran.docx", "A 21566-2024")</f>
        <v/>
      </c>
      <c r="AB39">
        <f>HYPERLINK("https://klasma.github.io/Logging_0562/tillsynsmail/A 21566-2024 tillsynsbegäran mail.docx", "A 21566-2024")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46222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Motaggsvamp
Flagellkvastmossa</t>
        </is>
      </c>
      <c r="V40">
        <f>HYPERLINK("https://klasma.github.io/Logging_0562/artfynd/A 25941-2026 artfynd.xlsx", "A 25941-2026")</f>
        <v/>
      </c>
      <c r="W40">
        <f>HYPERLINK("https://klasma.github.io/Logging_0562/kartor/A 25941-2026 karta.png", "A 25941-2026")</f>
        <v/>
      </c>
      <c r="Y40">
        <f>HYPERLINK("https://klasma.github.io/Logging_0562/klagomål/A 25941-2026 FSC-klagomål.docx", "A 25941-2026")</f>
        <v/>
      </c>
      <c r="Z40">
        <f>HYPERLINK("https://klasma.github.io/Logging_0562/klagomålsmail/A 25941-2026 FSC-klagomål mail.docx", "A 25941-2026")</f>
        <v/>
      </c>
      <c r="AA40">
        <f>HYPERLINK("https://klasma.github.io/Logging_0562/tillsyn/A 25941-2026 tillsynsbegäran.docx", "A 25941-2026")</f>
        <v/>
      </c>
      <c r="AB40">
        <f>HYPERLINK("https://klasma.github.io/Logging_0562/tillsynsmail/A 25941-2026 tillsynsbegäran mail.docx", "A 25941-2026")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Motaggsvamp
Flagellkvastmossa</t>
        </is>
      </c>
      <c r="V41">
        <f>HYPERLINK("https://klasma.github.io/Logging_0562/artfynd/A 25940-2026 artfynd.xlsx", "A 25940-2026")</f>
        <v/>
      </c>
      <c r="W41">
        <f>HYPERLINK("https://klasma.github.io/Logging_0562/kartor/A 25940-2026 karta.png", "A 25940-2026")</f>
        <v/>
      </c>
      <c r="Y41">
        <f>HYPERLINK("https://klasma.github.io/Logging_0562/klagomål/A 25940-2026 FSC-klagomål.docx", "A 25940-2026")</f>
        <v/>
      </c>
      <c r="Z41">
        <f>HYPERLINK("https://klasma.github.io/Logging_0562/klagomålsmail/A 25940-2026 FSC-klagomål mail.docx", "A 25940-2026")</f>
        <v/>
      </c>
      <c r="AA41">
        <f>HYPERLINK("https://klasma.github.io/Logging_0562/tillsyn/A 25940-2026 tillsynsbegäran.docx", "A 25940-2026")</f>
        <v/>
      </c>
      <c r="AB41">
        <f>HYPERLINK("https://klasma.github.io/Logging_0562/tillsynsmail/A 25940-2026 tillsynsbegäran mail.docx", "A 25940-2026")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46222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Blåmossa
Bronshjon</t>
        </is>
      </c>
      <c r="V42">
        <f>HYPERLINK("https://klasma.github.io/Logging_0562/artfynd/A 54654-2023 artfynd.xlsx", "A 54654-2023")</f>
        <v/>
      </c>
      <c r="W42">
        <f>HYPERLINK("https://klasma.github.io/Logging_0562/kartor/A 54654-2023 karta.png", "A 54654-2023")</f>
        <v/>
      </c>
      <c r="Y42">
        <f>HYPERLINK("https://klasma.github.io/Logging_0562/klagomål/A 54654-2023 FSC-klagomål.docx", "A 54654-2023")</f>
        <v/>
      </c>
      <c r="Z42">
        <f>HYPERLINK("https://klasma.github.io/Logging_0562/klagomålsmail/A 54654-2023 FSC-klagomål mail.docx", "A 54654-2023")</f>
        <v/>
      </c>
      <c r="AA42">
        <f>HYPERLINK("https://klasma.github.io/Logging_0562/tillsyn/A 54654-2023 tillsynsbegäran.docx", "A 54654-2023")</f>
        <v/>
      </c>
      <c r="AB42">
        <f>HYPERLINK("https://klasma.github.io/Logging_0562/tillsynsmail/A 54654-2023 tillsynsbegäran mail.docx", "A 54654-2023")</f>
        <v/>
      </c>
    </row>
    <row r="43" ht="15" customHeight="1">
      <c r="A43" t="inlineStr">
        <is>
          <t>A 58806-2022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46222</v>
      </c>
      <c r="F43" t="inlineStr">
        <is>
          <t>ÖSTERGÖTLANDS LÄN</t>
        </is>
      </c>
      <c r="G43" t="inlineStr">
        <is>
          <t>FINSPÅNG</t>
        </is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Knärot
Flagellkvastmossa</t>
        </is>
      </c>
      <c r="V43">
        <f>HYPERLINK("https://klasma.github.io/Logging_0562/artfynd/A 58806-2022 artfynd.xlsx", "A 58806-2022")</f>
        <v/>
      </c>
      <c r="W43">
        <f>HYPERLINK("https://klasma.github.io/Logging_0562/kartor/A 58806-2022 karta.png", "A 58806-2022")</f>
        <v/>
      </c>
      <c r="X43">
        <f>HYPERLINK("https://klasma.github.io/Logging_0562/knärot/A 58806-2022 karta knärot.png", "A 58806-2022")</f>
        <v/>
      </c>
      <c r="Y43">
        <f>HYPERLINK("https://klasma.github.io/Logging_0562/klagomål/A 58806-2022 FSC-klagomål.docx", "A 58806-2022")</f>
        <v/>
      </c>
      <c r="Z43">
        <f>HYPERLINK("https://klasma.github.io/Logging_0562/klagomålsmail/A 58806-2022 FSC-klagomål mail.docx", "A 58806-2022")</f>
        <v/>
      </c>
      <c r="AA43">
        <f>HYPERLINK("https://klasma.github.io/Logging_0562/tillsyn/A 58806-2022 tillsynsbegäran.docx", "A 58806-2022")</f>
        <v/>
      </c>
      <c r="AB43">
        <f>HYPERLINK("https://klasma.github.io/Logging_0562/tillsynsmail/A 58806-2022 tillsynsbegäran mail.docx", "A 58806-2022")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Backruta
Fläcknycklar</t>
        </is>
      </c>
      <c r="V44">
        <f>HYPERLINK("https://klasma.github.io/Logging_0562/artfynd/A 24834-2026 artfynd.xlsx", "A 24834-2026")</f>
        <v/>
      </c>
      <c r="W44">
        <f>HYPERLINK("https://klasma.github.io/Logging_0562/kartor/A 24834-2026 karta.png", "A 24834-2026")</f>
        <v/>
      </c>
      <c r="Y44">
        <f>HYPERLINK("https://klasma.github.io/Logging_0562/klagomål/A 24834-2026 FSC-klagomål.docx", "A 24834-2026")</f>
        <v/>
      </c>
      <c r="Z44">
        <f>HYPERLINK("https://klasma.github.io/Logging_0562/klagomålsmail/A 24834-2026 FSC-klagomål mail.docx", "A 24834-2026")</f>
        <v/>
      </c>
      <c r="AA44">
        <f>HYPERLINK("https://klasma.github.io/Logging_0562/tillsyn/A 24834-2026 tillsynsbegäran.docx", "A 24834-2026")</f>
        <v/>
      </c>
      <c r="AB44">
        <f>HYPERLINK("https://klasma.github.io/Logging_0562/tillsynsmail/A 24834-2026 tillsynsbegäran mail.docx", "A 24834-2026")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46222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Talltita
Fläcknycklar</t>
        </is>
      </c>
      <c r="V45">
        <f>HYPERLINK("https://klasma.github.io/Logging_0562/artfynd/A 28395-2024 artfynd.xlsx", "A 28395-2024")</f>
        <v/>
      </c>
      <c r="W45">
        <f>HYPERLINK("https://klasma.github.io/Logging_0562/kartor/A 28395-2024 karta.png", "A 28395-2024")</f>
        <v/>
      </c>
      <c r="Y45">
        <f>HYPERLINK("https://klasma.github.io/Logging_0562/klagomål/A 28395-2024 FSC-klagomål.docx", "A 28395-2024")</f>
        <v/>
      </c>
      <c r="Z45">
        <f>HYPERLINK("https://klasma.github.io/Logging_0562/klagomålsmail/A 28395-2024 FSC-klagomål mail.docx", "A 28395-2024")</f>
        <v/>
      </c>
      <c r="AA45">
        <f>HYPERLINK("https://klasma.github.io/Logging_0562/tillsyn/A 28395-2024 tillsynsbegäran.docx", "A 28395-2024")</f>
        <v/>
      </c>
      <c r="AB45">
        <f>HYPERLINK("https://klasma.github.io/Logging_0562/tillsynsmail/A 28395-2024 tillsynsbegäran mail.docx", "A 28395-2024")</f>
        <v/>
      </c>
      <c r="AC45">
        <f>HYPERLINK("https://klasma.github.io/Logging_0562/fåglar/A 28395-2024 prioriterade fågelarter.docx", "A 28395-2024")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46222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Fjällig taggsvamp s.str.
Revlummer</t>
        </is>
      </c>
      <c r="V46">
        <f>HYPERLINK("https://klasma.github.io/Logging_0562/artfynd/A 25284-2025 artfynd.xlsx", "A 25284-2025")</f>
        <v/>
      </c>
      <c r="W46">
        <f>HYPERLINK("https://klasma.github.io/Logging_0562/kartor/A 25284-2025 karta.png", "A 25284-2025")</f>
        <v/>
      </c>
      <c r="Y46">
        <f>HYPERLINK("https://klasma.github.io/Logging_0562/klagomål/A 25284-2025 FSC-klagomål.docx", "A 25284-2025")</f>
        <v/>
      </c>
      <c r="Z46">
        <f>HYPERLINK("https://klasma.github.io/Logging_0562/klagomålsmail/A 25284-2025 FSC-klagomål mail.docx", "A 25284-2025")</f>
        <v/>
      </c>
      <c r="AA46">
        <f>HYPERLINK("https://klasma.github.io/Logging_0562/tillsyn/A 25284-2025 tillsynsbegäran.docx", "A 25284-2025")</f>
        <v/>
      </c>
      <c r="AB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HYPERLINK("https://klasma.github.io/Logging_0562/artfynd/A 54302-2023 artfynd.xlsx", "A 54302-2023")</f>
        <v/>
      </c>
      <c r="W52">
        <f>HYPERLINK("https://klasma.github.io/Logging_0562/kartor/A 54302-2023 karta.png", "A 54302-2023")</f>
        <v/>
      </c>
      <c r="Y52">
        <f>HYPERLINK("https://klasma.github.io/Logging_0562/klagomål/A 54302-2023 FSC-klagomål.docx", "A 54302-2023")</f>
        <v/>
      </c>
      <c r="Z52">
        <f>HYPERLINK("https://klasma.github.io/Logging_0562/klagomålsmail/A 54302-2023 FSC-klagomål mail.docx", "A 54302-2023")</f>
        <v/>
      </c>
      <c r="AA52">
        <f>HYPERLINK("https://klasma.github.io/Logging_0562/tillsyn/A 54302-2023 tillsynsbegäran.docx", "A 54302-2023")</f>
        <v/>
      </c>
      <c r="AB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46222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HYPERLINK("https://klasma.github.io/Logging_0562/artfynd/A 61254-2022 artfynd.xlsx", "A 61254-2022")</f>
        <v/>
      </c>
      <c r="W53">
        <f>HYPERLINK("https://klasma.github.io/Logging_0562/kartor/A 61254-2022 karta.png", "A 61254-2022")</f>
        <v/>
      </c>
      <c r="Y53">
        <f>HYPERLINK("https://klasma.github.io/Logging_0562/klagomål/A 61254-2022 FSC-klagomål.docx", "A 61254-2022")</f>
        <v/>
      </c>
      <c r="Z53">
        <f>HYPERLINK("https://klasma.github.io/Logging_0562/klagomålsmail/A 61254-2022 FSC-klagomål mail.docx", "A 61254-2022")</f>
        <v/>
      </c>
      <c r="AA53">
        <f>HYPERLINK("https://klasma.github.io/Logging_0562/tillsyn/A 61254-2022 tillsynsbegäran.docx", "A 61254-2022")</f>
        <v/>
      </c>
      <c r="AB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46222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Järnsparv</t>
        </is>
      </c>
      <c r="V54">
        <f>HYPERLINK("https://klasma.github.io/Logging_0562/artfynd/A 57662-2022 artfynd.xlsx", "A 57662-2022")</f>
        <v/>
      </c>
      <c r="W54">
        <f>HYPERLINK("https://klasma.github.io/Logging_0562/kartor/A 57662-2022 karta.png", "A 57662-2022")</f>
        <v/>
      </c>
      <c r="Y54">
        <f>HYPERLINK("https://klasma.github.io/Logging_0562/klagomål/A 57662-2022 FSC-klagomål.docx", "A 57662-2022")</f>
        <v/>
      </c>
      <c r="Z54">
        <f>HYPERLINK("https://klasma.github.io/Logging_0562/klagomålsmail/A 57662-2022 FSC-klagomål mail.docx", "A 57662-2022")</f>
        <v/>
      </c>
      <c r="AA54">
        <f>HYPERLINK("https://klasma.github.io/Logging_0562/tillsyn/A 57662-2022 tillsynsbegäran.docx", "A 57662-2022")</f>
        <v/>
      </c>
      <c r="AB54">
        <f>HYPERLINK("https://klasma.github.io/Logging_0562/tillsynsmail/A 57662-2022 tillsynsbegäran mail.docx", "A 57662-2022")</f>
        <v/>
      </c>
      <c r="AC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Kavelhirs</t>
        </is>
      </c>
      <c r="V55">
        <f>HYPERLINK("https://klasma.github.io/Logging_0562/artfynd/A 43858-2021 artfynd.xlsx", "A 43858-2021")</f>
        <v/>
      </c>
      <c r="W55">
        <f>HYPERLINK("https://klasma.github.io/Logging_0562/kartor/A 43858-2021 karta.png", "A 43858-2021")</f>
        <v/>
      </c>
      <c r="Y55">
        <f>HYPERLINK("https://klasma.github.io/Logging_0562/klagomål/A 43858-2021 FSC-klagomål.docx", "A 43858-2021")</f>
        <v/>
      </c>
      <c r="Z55">
        <f>HYPERLINK("https://klasma.github.io/Logging_0562/klagomålsmail/A 43858-2021 FSC-klagomål mail.docx", "A 43858-2021")</f>
        <v/>
      </c>
      <c r="AA55">
        <f>HYPERLINK("https://klasma.github.io/Logging_0562/tillsyn/A 43858-2021 tillsynsbegäran.docx", "A 43858-2021")</f>
        <v/>
      </c>
      <c r="AB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46222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Tallticka</t>
        </is>
      </c>
      <c r="V56">
        <f>HYPERLINK("https://klasma.github.io/Logging_0562/artfynd/A 61104-2022 artfynd.xlsx", "A 61104-2022")</f>
        <v/>
      </c>
      <c r="W56">
        <f>HYPERLINK("https://klasma.github.io/Logging_0562/kartor/A 61104-2022 karta.png", "A 61104-2022")</f>
        <v/>
      </c>
      <c r="Y56">
        <f>HYPERLINK("https://klasma.github.io/Logging_0562/klagomål/A 61104-2022 FSC-klagomål.docx", "A 61104-2022")</f>
        <v/>
      </c>
      <c r="Z56">
        <f>HYPERLINK("https://klasma.github.io/Logging_0562/klagomålsmail/A 61104-2022 FSC-klagomål mail.docx", "A 61104-2022")</f>
        <v/>
      </c>
      <c r="AA56">
        <f>HYPERLINK("https://klasma.github.io/Logging_0562/tillsyn/A 61104-2022 tillsynsbegäran.docx", "A 61104-2022")</f>
        <v/>
      </c>
      <c r="AB56">
        <f>HYPERLINK("https://klasma.github.io/Logging_0562/tillsynsmail/A 61104-2022 tillsynsbegäran mail.docx", "A 61104-2022")</f>
        <v/>
      </c>
    </row>
    <row r="57" ht="15" customHeight="1">
      <c r="A57" t="inlineStr">
        <is>
          <t>A 42837-2024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46222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Knärot</t>
        </is>
      </c>
      <c r="V57">
        <f>HYPERLINK("https://klasma.github.io/Logging_0562/artfynd/A 42837-2024 artfynd.xlsx", "A 42837-2024")</f>
        <v/>
      </c>
      <c r="W57">
        <f>HYPERLINK("https://klasma.github.io/Logging_0562/kartor/A 42837-2024 karta.png", "A 42837-2024")</f>
        <v/>
      </c>
      <c r="X57">
        <f>HYPERLINK("https://klasma.github.io/Logging_0562/knärot/A 42837-2024 karta knärot.png", "A 42837-2024")</f>
        <v/>
      </c>
      <c r="Y57">
        <f>HYPERLINK("https://klasma.github.io/Logging_0562/klagomål/A 42837-2024 FSC-klagomål.docx", "A 42837-2024")</f>
        <v/>
      </c>
      <c r="Z57">
        <f>HYPERLINK("https://klasma.github.io/Logging_0562/klagomålsmail/A 42837-2024 FSC-klagomål mail.docx", "A 42837-2024")</f>
        <v/>
      </c>
      <c r="AA57">
        <f>HYPERLINK("https://klasma.github.io/Logging_0562/tillsyn/A 42837-2024 tillsynsbegäran.docx", "A 42837-2024")</f>
        <v/>
      </c>
      <c r="AB57">
        <f>HYPERLINK("https://klasma.github.io/Logging_0562/tillsynsmail/A 42837-2024 tillsynsbegäran mail.docx", "A 42837-2024")</f>
        <v/>
      </c>
    </row>
    <row r="58" ht="15" customHeight="1">
      <c r="A58" t="inlineStr">
        <is>
          <t>A 27861-2025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46222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Plattlummer</t>
        </is>
      </c>
      <c r="V58">
        <f>HYPERLINK("https://klasma.github.io/Logging_0562/artfynd/A 27861-2025 artfynd.xlsx", "A 27861-2025")</f>
        <v/>
      </c>
      <c r="W58">
        <f>HYPERLINK("https://klasma.github.io/Logging_0562/kartor/A 27861-2025 karta.png", "A 27861-2025")</f>
        <v/>
      </c>
      <c r="Y58">
        <f>HYPERLINK("https://klasma.github.io/Logging_0562/klagomål/A 27861-2025 FSC-klagomål.docx", "A 27861-2025")</f>
        <v/>
      </c>
      <c r="Z58">
        <f>HYPERLINK("https://klasma.github.io/Logging_0562/klagomålsmail/A 27861-2025 FSC-klagomål mail.docx", "A 27861-2025")</f>
        <v/>
      </c>
      <c r="AA58">
        <f>HYPERLINK("https://klasma.github.io/Logging_0562/tillsyn/A 27861-2025 tillsynsbegäran.docx", "A 27861-2025")</f>
        <v/>
      </c>
      <c r="AB58">
        <f>HYPERLINK("https://klasma.github.io/Logging_0562/tillsynsmail/A 27861-2025 tillsynsbegäran mail.docx", "A 27861-2025")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Bred kärrtrollslända</t>
        </is>
      </c>
      <c r="V59">
        <f>HYPERLINK("https://klasma.github.io/Logging_0562/artfynd/A 6035-2022 artfynd.xlsx", "A 6035-2022")</f>
        <v/>
      </c>
      <c r="W59">
        <f>HYPERLINK("https://klasma.github.io/Logging_0562/kartor/A 6035-2022 karta.png", "A 6035-2022")</f>
        <v/>
      </c>
      <c r="Y59">
        <f>HYPERLINK("https://klasma.github.io/Logging_0562/klagomål/A 6035-2022 FSC-klagomål.docx", "A 6035-2022")</f>
        <v/>
      </c>
      <c r="Z59">
        <f>HYPERLINK("https://klasma.github.io/Logging_0562/klagomålsmail/A 6035-2022 FSC-klagomål mail.docx", "A 6035-2022")</f>
        <v/>
      </c>
      <c r="AA59">
        <f>HYPERLINK("https://klasma.github.io/Logging_0562/tillsyn/A 6035-2022 tillsynsbegäran.docx", "A 6035-2022")</f>
        <v/>
      </c>
      <c r="AB59">
        <f>HYPERLINK("https://klasma.github.io/Logging_0562/tillsynsmail/A 6035-2022 tillsynsbegäran mail.docx", "A 6035-2022")</f>
        <v/>
      </c>
    </row>
    <row r="60" ht="15" customHeight="1">
      <c r="A60" t="inlineStr">
        <is>
          <t>A 5427-2026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Skogsklocka</t>
        </is>
      </c>
      <c r="V60">
        <f>HYPERLINK("https://klasma.github.io/Logging_0562/artfynd/A 5427-2026 artfynd.xlsx", "A 5427-2026")</f>
        <v/>
      </c>
      <c r="W60">
        <f>HYPERLINK("https://klasma.github.io/Logging_0562/kartor/A 5427-2026 karta.png", "A 5427-2026")</f>
        <v/>
      </c>
      <c r="Y60">
        <f>HYPERLINK("https://klasma.github.io/Logging_0562/klagomål/A 5427-2026 FSC-klagomål.docx", "A 5427-2026")</f>
        <v/>
      </c>
      <c r="Z60">
        <f>HYPERLINK("https://klasma.github.io/Logging_0562/klagomålsmail/A 5427-2026 FSC-klagomål mail.docx", "A 5427-2026")</f>
        <v/>
      </c>
      <c r="AA60">
        <f>HYPERLINK("https://klasma.github.io/Logging_0562/tillsyn/A 5427-2026 tillsynsbegäran.docx", "A 5427-2026")</f>
        <v/>
      </c>
      <c r="AB60">
        <f>HYPERLINK("https://klasma.github.io/Logging_0562/tillsynsmail/A 5427-2026 tillsynsbegäran mail.docx", "A 5427-2026")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46222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Vit vedfingersvamp</t>
        </is>
      </c>
      <c r="V61">
        <f>HYPERLINK("https://klasma.github.io/Logging_0562/artfynd/A 42366-2025 artfynd.xlsx", "A 42366-2025")</f>
        <v/>
      </c>
      <c r="W61">
        <f>HYPERLINK("https://klasma.github.io/Logging_0562/kartor/A 42366-2025 karta.png", "A 42366-2025")</f>
        <v/>
      </c>
      <c r="Y61">
        <f>HYPERLINK("https://klasma.github.io/Logging_0562/klagomål/A 42366-2025 FSC-klagomål.docx", "A 42366-2025")</f>
        <v/>
      </c>
      <c r="Z61">
        <f>HYPERLINK("https://klasma.github.io/Logging_0562/klagomålsmail/A 42366-2025 FSC-klagomål mail.docx", "A 42366-2025")</f>
        <v/>
      </c>
      <c r="AA61">
        <f>HYPERLINK("https://klasma.github.io/Logging_0562/tillsyn/A 42366-2025 tillsynsbegäran.docx", "A 42366-2025")</f>
        <v/>
      </c>
      <c r="AB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46222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Lake</t>
        </is>
      </c>
      <c r="V62">
        <f>HYPERLINK("https://klasma.github.io/Logging_0562/artfynd/A 38229-2025 artfynd.xlsx", "A 38229-2025")</f>
        <v/>
      </c>
      <c r="W62">
        <f>HYPERLINK("https://klasma.github.io/Logging_0562/kartor/A 38229-2025 karta.png", "A 38229-2025")</f>
        <v/>
      </c>
      <c r="Y62">
        <f>HYPERLINK("https://klasma.github.io/Logging_0562/klagomål/A 38229-2025 FSC-klagomål.docx", "A 38229-2025")</f>
        <v/>
      </c>
      <c r="Z62">
        <f>HYPERLINK("https://klasma.github.io/Logging_0562/klagomålsmail/A 38229-2025 FSC-klagomål mail.docx", "A 38229-2025")</f>
        <v/>
      </c>
      <c r="AA62">
        <f>HYPERLINK("https://klasma.github.io/Logging_0562/tillsyn/A 38229-2025 tillsynsbegäran.docx", "A 38229-2025")</f>
        <v/>
      </c>
      <c r="AB62">
        <f>HYPERLINK("https://klasma.github.io/Logging_0562/tillsynsmail/A 38229-2025 tillsynsbegäran mail.docx", "A 38229-2025")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46222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Revlummer</t>
        </is>
      </c>
      <c r="V63">
        <f>HYPERLINK("https://klasma.github.io/Logging_0562/artfynd/A 34310-2025 artfynd.xlsx", "A 34310-2025")</f>
        <v/>
      </c>
      <c r="W63">
        <f>HYPERLINK("https://klasma.github.io/Logging_0562/kartor/A 34310-2025 karta.png", "A 34310-2025")</f>
        <v/>
      </c>
      <c r="Y63">
        <f>HYPERLINK("https://klasma.github.io/Logging_0562/klagomål/A 34310-2025 FSC-klagomål.docx", "A 34310-2025")</f>
        <v/>
      </c>
      <c r="Z63">
        <f>HYPERLINK("https://klasma.github.io/Logging_0562/klagomålsmail/A 34310-2025 FSC-klagomål mail.docx", "A 34310-2025")</f>
        <v/>
      </c>
      <c r="AA63">
        <f>HYPERLINK("https://klasma.github.io/Logging_0562/tillsyn/A 34310-2025 tillsynsbegäran.docx", "A 34310-2025")</f>
        <v/>
      </c>
      <c r="AB63">
        <f>HYPERLINK("https://klasma.github.io/Logging_0562/tillsynsmail/A 34310-2025 tillsynsbegäran mail.docx", "A 34310-2025")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46222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Tibast</t>
        </is>
      </c>
      <c r="V64">
        <f>HYPERLINK("https://klasma.github.io/Logging_0562/artfynd/A 34220-2025 artfynd.xlsx", "A 34220-2025")</f>
        <v/>
      </c>
      <c r="W64">
        <f>HYPERLINK("https://klasma.github.io/Logging_0562/kartor/A 34220-2025 karta.png", "A 34220-2025")</f>
        <v/>
      </c>
      <c r="Y64">
        <f>HYPERLINK("https://klasma.github.io/Logging_0562/klagomål/A 34220-2025 FSC-klagomål.docx", "A 34220-2025")</f>
        <v/>
      </c>
      <c r="Z64">
        <f>HYPERLINK("https://klasma.github.io/Logging_0562/klagomålsmail/A 34220-2025 FSC-klagomål mail.docx", "A 34220-2025")</f>
        <v/>
      </c>
      <c r="AA64">
        <f>HYPERLINK("https://klasma.github.io/Logging_0562/tillsyn/A 34220-2025 tillsynsbegäran.docx", "A 34220-2025")</f>
        <v/>
      </c>
      <c r="AB64">
        <f>HYPERLINK("https://klasma.github.io/Logging_0562/tillsynsmail/A 34220-2025 tillsynsbegäran mail.docx", "A 34220-2025")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46222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Kungsörn</t>
        </is>
      </c>
      <c r="V65">
        <f>HYPERLINK("https://klasma.github.io/Logging_0562/artfynd/A 4644-2024 artfynd.xlsx", "A 4644-2024")</f>
        <v/>
      </c>
      <c r="W65">
        <f>HYPERLINK("https://klasma.github.io/Logging_0562/kartor/A 4644-2024 karta.png", "A 4644-2024")</f>
        <v/>
      </c>
      <c r="Y65">
        <f>HYPERLINK("https://klasma.github.io/Logging_0562/klagomål/A 4644-2024 FSC-klagomål.docx", "A 4644-2024")</f>
        <v/>
      </c>
      <c r="Z65">
        <f>HYPERLINK("https://klasma.github.io/Logging_0562/klagomålsmail/A 4644-2024 FSC-klagomål mail.docx", "A 4644-2024")</f>
        <v/>
      </c>
      <c r="AA65">
        <f>HYPERLINK("https://klasma.github.io/Logging_0562/tillsyn/A 4644-2024 tillsynsbegäran.docx", "A 4644-2024")</f>
        <v/>
      </c>
      <c r="AB65">
        <f>HYPERLINK("https://klasma.github.io/Logging_0562/tillsynsmail/A 4644-2024 tillsynsbegäran mail.docx", "A 4644-2024")</f>
        <v/>
      </c>
      <c r="AC65">
        <f>HYPERLINK("https://klasma.github.io/Logging_0562/fåglar/A 4644-2024 prioriterade fågelarter.docx", "A 4644-2024")</f>
        <v/>
      </c>
    </row>
    <row r="66" ht="15" customHeight="1">
      <c r="A66" t="inlineStr">
        <is>
          <t>A 7265-2026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46222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Övriga Aktiebolag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Havsörn</t>
        </is>
      </c>
      <c r="V66">
        <f>HYPERLINK("https://klasma.github.io/Logging_0562/artfynd/A 7265-2026 artfynd.xlsx", "A 7265-2026")</f>
        <v/>
      </c>
      <c r="W66">
        <f>HYPERLINK("https://klasma.github.io/Logging_0562/kartor/A 7265-2026 karta.png", "A 7265-2026")</f>
        <v/>
      </c>
      <c r="Y66">
        <f>HYPERLINK("https://klasma.github.io/Logging_0562/klagomål/A 7265-2026 FSC-klagomål.docx", "A 7265-2026")</f>
        <v/>
      </c>
      <c r="Z66">
        <f>HYPERLINK("https://klasma.github.io/Logging_0562/klagomålsmail/A 7265-2026 FSC-klagomål mail.docx", "A 7265-2026")</f>
        <v/>
      </c>
      <c r="AA66">
        <f>HYPERLINK("https://klasma.github.io/Logging_0562/tillsyn/A 7265-2026 tillsynsbegäran.docx", "A 7265-2026")</f>
        <v/>
      </c>
      <c r="AB66">
        <f>HYPERLINK("https://klasma.github.io/Logging_0562/tillsynsmail/A 7265-2026 tillsynsbegäran mail.docx", "A 7265-2026")</f>
        <v/>
      </c>
      <c r="AC66">
        <f>HYPERLINK("https://klasma.github.io/Logging_0562/fåglar/A 7265-2026 prioriterade fågelarter.docx", "A 7265-2026")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46222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Blåsippa</t>
        </is>
      </c>
      <c r="V67">
        <f>HYPERLINK("https://klasma.github.io/Logging_0562/artfynd/A 37748-2025 artfynd.xlsx", "A 37748-2025")</f>
        <v/>
      </c>
      <c r="W67">
        <f>HYPERLINK("https://klasma.github.io/Logging_0562/kartor/A 37748-2025 karta.png", "A 37748-2025")</f>
        <v/>
      </c>
      <c r="Y67">
        <f>HYPERLINK("https://klasma.github.io/Logging_0562/klagomål/A 37748-2025 FSC-klagomål.docx", "A 37748-2025")</f>
        <v/>
      </c>
      <c r="Z67">
        <f>HYPERLINK("https://klasma.github.io/Logging_0562/klagomålsmail/A 37748-2025 FSC-klagomål mail.docx", "A 37748-2025")</f>
        <v/>
      </c>
      <c r="AA67">
        <f>HYPERLINK("https://klasma.github.io/Logging_0562/tillsyn/A 37748-2025 tillsynsbegäran.docx", "A 37748-2025")</f>
        <v/>
      </c>
      <c r="AB67">
        <f>HYPERLINK("https://klasma.github.io/Logging_0562/tillsynsmail/A 37748-2025 tillsynsbegäran mail.docx", "A 37748-2025")</f>
        <v/>
      </c>
    </row>
    <row r="68" ht="15" customHeight="1">
      <c r="A68" t="inlineStr">
        <is>
          <t>A 53673-2024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46222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Knärot</t>
        </is>
      </c>
      <c r="V68">
        <f>HYPERLINK("https://klasma.github.io/Logging_0562/artfynd/A 53673-2024 artfynd.xlsx", "A 53673-2024")</f>
        <v/>
      </c>
      <c r="W68">
        <f>HYPERLINK("https://klasma.github.io/Logging_0562/kartor/A 53673-2024 karta.png", "A 53673-2024")</f>
        <v/>
      </c>
      <c r="X68">
        <f>HYPERLINK("https://klasma.github.io/Logging_0562/knärot/A 53673-2024 karta knärot.png", "A 53673-2024")</f>
        <v/>
      </c>
      <c r="Y68">
        <f>HYPERLINK("https://klasma.github.io/Logging_0562/klagomål/A 53673-2024 FSC-klagomål.docx", "A 53673-2024")</f>
        <v/>
      </c>
      <c r="Z68">
        <f>HYPERLINK("https://klasma.github.io/Logging_0562/klagomålsmail/A 53673-2024 FSC-klagomål mail.docx", "A 53673-2024")</f>
        <v/>
      </c>
      <c r="AA68">
        <f>HYPERLINK("https://klasma.github.io/Logging_0562/tillsyn/A 53673-2024 tillsynsbegäran.docx", "A 53673-2024")</f>
        <v/>
      </c>
      <c r="AB68">
        <f>HYPERLINK("https://klasma.github.io/Logging_0562/tillsynsmail/A 53673-2024 tillsynsbegäran mail.docx", "A 53673-2024")</f>
        <v/>
      </c>
    </row>
    <row r="69" ht="15" customHeight="1">
      <c r="A69" t="inlineStr">
        <is>
          <t>A 39078-2022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46222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Skogsklocka</t>
        </is>
      </c>
      <c r="V69">
        <f>HYPERLINK("https://klasma.github.io/Logging_0562/artfynd/A 39078-2022 artfynd.xlsx", "A 39078-2022")</f>
        <v/>
      </c>
      <c r="W69">
        <f>HYPERLINK("https://klasma.github.io/Logging_0562/kartor/A 39078-2022 karta.png", "A 39078-2022")</f>
        <v/>
      </c>
      <c r="Y69">
        <f>HYPERLINK("https://klasma.github.io/Logging_0562/klagomål/A 39078-2022 FSC-klagomål.docx", "A 39078-2022")</f>
        <v/>
      </c>
      <c r="Z69">
        <f>HYPERLINK("https://klasma.github.io/Logging_0562/klagomålsmail/A 39078-2022 FSC-klagomål mail.docx", "A 39078-2022")</f>
        <v/>
      </c>
      <c r="AA69">
        <f>HYPERLINK("https://klasma.github.io/Logging_0562/tillsyn/A 39078-2022 tillsynsbegäran.docx", "A 39078-2022")</f>
        <v/>
      </c>
      <c r="AB69">
        <f>HYPERLINK("https://klasma.github.io/Logging_0562/tillsynsmail/A 39078-2022 tillsynsbegäran mail.docx", "A 39078-2022")</f>
        <v/>
      </c>
    </row>
    <row r="70" ht="15" customHeight="1">
      <c r="A70" t="inlineStr">
        <is>
          <t>A 11140-2023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46222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HYPERLINK("https://klasma.github.io/Logging_0562/artfynd/A 11140-2023 artfynd.xlsx", "A 11140-2023")</f>
        <v/>
      </c>
      <c r="W70">
        <f>HYPERLINK("https://klasma.github.io/Logging_0562/kartor/A 11140-2023 karta.png", "A 11140-2023")</f>
        <v/>
      </c>
      <c r="Y70">
        <f>HYPERLINK("https://klasma.github.io/Logging_0562/klagomål/A 11140-2023 FSC-klagomål.docx", "A 11140-2023")</f>
        <v/>
      </c>
      <c r="Z70">
        <f>HYPERLINK("https://klasma.github.io/Logging_0562/klagomålsmail/A 11140-2023 FSC-klagomål mail.docx", "A 11140-2023")</f>
        <v/>
      </c>
      <c r="AA70">
        <f>HYPERLINK("https://klasma.github.io/Logging_0562/tillsyn/A 11140-2023 tillsynsbegäran.docx", "A 11140-2023")</f>
        <v/>
      </c>
      <c r="AB70">
        <f>HYPERLINK("https://klasma.github.io/Logging_0562/tillsynsmail/A 11140-2023 tillsynsbegäran mail.docx", "A 11140-2023")</f>
        <v/>
      </c>
    </row>
    <row r="71" ht="15" customHeight="1">
      <c r="A71" t="inlineStr">
        <is>
          <t>A 22439-2023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45070</v>
      </c>
      <c r="E71" s="1" t="n">
        <v>46222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Hasselsnok</t>
        </is>
      </c>
      <c r="V71">
        <f>HYPERLINK("https://klasma.github.io/Logging_0562/artfynd/A 22439-2023 artfynd.xlsx", "A 22439-2023")</f>
        <v/>
      </c>
      <c r="W71">
        <f>HYPERLINK("https://klasma.github.io/Logging_0562/kartor/A 22439-2023 karta.png", "A 22439-2023")</f>
        <v/>
      </c>
      <c r="Y71">
        <f>HYPERLINK("https://klasma.github.io/Logging_0562/klagomål/A 22439-2023 FSC-klagomål.docx", "A 22439-2023")</f>
        <v/>
      </c>
      <c r="Z71">
        <f>HYPERLINK("https://klasma.github.io/Logging_0562/klagomålsmail/A 22439-2023 FSC-klagomål mail.docx", "A 22439-2023")</f>
        <v/>
      </c>
      <c r="AA71">
        <f>HYPERLINK("https://klasma.github.io/Logging_0562/tillsyn/A 22439-2023 tillsynsbegäran.docx", "A 22439-2023")</f>
        <v/>
      </c>
      <c r="AB71">
        <f>HYPERLINK("https://klasma.github.io/Logging_0562/tillsynsmail/A 22439-2023 tillsynsbegäran mail.docx", "A 22439-2023")</f>
        <v/>
      </c>
    </row>
    <row r="72" ht="15" customHeight="1">
      <c r="A72" t="inlineStr">
        <is>
          <t>A 43167-2021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46222</v>
      </c>
      <c r="F72" t="inlineStr">
        <is>
          <t>ÖSTERGÖTLANDS LÄN</t>
        </is>
      </c>
      <c r="G72" t="inlineStr">
        <is>
          <t>FINSPÅNG</t>
        </is>
      </c>
      <c r="I72" t="n">
        <v>6.9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Lopplummer (aggregat)</t>
        </is>
      </c>
      <c r="V72">
        <f>HYPERLINK("https://klasma.github.io/Logging_0562/artfynd/A 43167-2021 artfynd.xlsx", "A 43167-2021")</f>
        <v/>
      </c>
      <c r="W72">
        <f>HYPERLINK("https://klasma.github.io/Logging_0562/kartor/A 43167-2021 karta.png", "A 43167-2021")</f>
        <v/>
      </c>
      <c r="Y72">
        <f>HYPERLINK("https://klasma.github.io/Logging_0562/klagomål/A 43167-2021 FSC-klagomål.docx", "A 43167-2021")</f>
        <v/>
      </c>
      <c r="Z72">
        <f>HYPERLINK("https://klasma.github.io/Logging_0562/klagomålsmail/A 43167-2021 FSC-klagomål mail.docx", "A 43167-2021")</f>
        <v/>
      </c>
      <c r="AA72">
        <f>HYPERLINK("https://klasma.github.io/Logging_0562/tillsyn/A 43167-2021 tillsynsbegäran.docx", "A 43167-2021")</f>
        <v/>
      </c>
      <c r="AB72">
        <f>HYPERLINK("https://klasma.github.io/Logging_0562/tillsynsmail/A 43167-2021 tillsynsbegäran mail.docx", "A 43167-2021")</f>
        <v/>
      </c>
    </row>
    <row r="73" ht="15" customHeight="1">
      <c r="A73" t="inlineStr">
        <is>
          <t>A 43166-2021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46222</v>
      </c>
      <c r="F73" t="inlineStr">
        <is>
          <t>ÖSTERGÖTLANDS LÄN</t>
        </is>
      </c>
      <c r="G73" t="inlineStr">
        <is>
          <t>FINSPÅNG</t>
        </is>
      </c>
      <c r="I73" t="n">
        <v>6.3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Plattlummer</t>
        </is>
      </c>
      <c r="V73">
        <f>HYPERLINK("https://klasma.github.io/Logging_0562/artfynd/A 43166-2021 artfynd.xlsx", "A 43166-2021")</f>
        <v/>
      </c>
      <c r="W73">
        <f>HYPERLINK("https://klasma.github.io/Logging_0562/kartor/A 43166-2021 karta.png", "A 43166-2021")</f>
        <v/>
      </c>
      <c r="Y73">
        <f>HYPERLINK("https://klasma.github.io/Logging_0562/klagomål/A 43166-2021 FSC-klagomål.docx", "A 43166-2021")</f>
        <v/>
      </c>
      <c r="Z73">
        <f>HYPERLINK("https://klasma.github.io/Logging_0562/klagomålsmail/A 43166-2021 FSC-klagomål mail.docx", "A 43166-2021")</f>
        <v/>
      </c>
      <c r="AA73">
        <f>HYPERLINK("https://klasma.github.io/Logging_0562/tillsyn/A 43166-2021 tillsynsbegäran.docx", "A 43166-2021")</f>
        <v/>
      </c>
      <c r="AB73">
        <f>HYPERLINK("https://klasma.github.io/Logging_0562/tillsynsmail/A 43166-2021 tillsynsbegäran mail.docx", "A 43166-2021")</f>
        <v/>
      </c>
    </row>
    <row r="74" ht="15" customHeight="1">
      <c r="A74" t="inlineStr">
        <is>
          <t>A 6407-2023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46222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HYPERLINK("https://klasma.github.io/Logging_0562/artfynd/A 6407-2023 artfynd.xlsx", "A 6407-2023")</f>
        <v/>
      </c>
      <c r="W74">
        <f>HYPERLINK("https://klasma.github.io/Logging_0562/kartor/A 6407-2023 karta.png", "A 6407-2023")</f>
        <v/>
      </c>
      <c r="Y74">
        <f>HYPERLINK("https://klasma.github.io/Logging_0562/klagomål/A 6407-2023 FSC-klagomål.docx", "A 6407-2023")</f>
        <v/>
      </c>
      <c r="Z74">
        <f>HYPERLINK("https://klasma.github.io/Logging_0562/klagomålsmail/A 6407-2023 FSC-klagomål mail.docx", "A 6407-2023")</f>
        <v/>
      </c>
      <c r="AA74">
        <f>HYPERLINK("https://klasma.github.io/Logging_0562/tillsyn/A 6407-2023 tillsynsbegäran.docx", "A 6407-2023")</f>
        <v/>
      </c>
      <c r="AB74">
        <f>HYPERLINK("https://klasma.github.io/Logging_0562/tillsynsmail/A 6407-2023 tillsynsbegäran mail.docx", "A 6407-2023")</f>
        <v/>
      </c>
      <c r="AC74">
        <f>HYPERLINK("https://klasma.github.io/Logging_0562/fåglar/A 6407-2023 prioriterade fågelarter.docx", "A 6407-2023")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46222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Havsörn</t>
        </is>
      </c>
      <c r="V75">
        <f>HYPERLINK("https://klasma.github.io/Logging_0562/artfynd/A 18915-2026 artfynd.xlsx", "A 18915-2026")</f>
        <v/>
      </c>
      <c r="W75">
        <f>HYPERLINK("https://klasma.github.io/Logging_0562/kartor/A 18915-2026 karta.png", "A 18915-2026")</f>
        <v/>
      </c>
      <c r="Y75">
        <f>HYPERLINK("https://klasma.github.io/Logging_0562/klagomål/A 18915-2026 FSC-klagomål.docx", "A 18915-2026")</f>
        <v/>
      </c>
      <c r="Z75">
        <f>HYPERLINK("https://klasma.github.io/Logging_0562/klagomålsmail/A 18915-2026 FSC-klagomål mail.docx", "A 18915-2026")</f>
        <v/>
      </c>
      <c r="AA75">
        <f>HYPERLINK("https://klasma.github.io/Logging_0562/tillsyn/A 18915-2026 tillsynsbegäran.docx", "A 18915-2026")</f>
        <v/>
      </c>
      <c r="AB75">
        <f>HYPERLINK("https://klasma.github.io/Logging_0562/tillsynsmail/A 18915-2026 tillsynsbegäran mail.docx", "A 18915-2026")</f>
        <v/>
      </c>
      <c r="AC75">
        <f>HYPERLINK("https://klasma.github.io/Logging_0562/fåglar/A 18915-2026 prioriterade fågelarter.docx", "A 18915-2026")</f>
        <v/>
      </c>
    </row>
    <row r="76" ht="15" customHeight="1">
      <c r="A76" t="inlineStr">
        <is>
          <t>A 3941-2026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46222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Trana</t>
        </is>
      </c>
      <c r="V76">
        <f>HYPERLINK("https://klasma.github.io/Logging_0562/artfynd/A 3941-2026 artfynd.xlsx", "A 3941-2026")</f>
        <v/>
      </c>
      <c r="W76">
        <f>HYPERLINK("https://klasma.github.io/Logging_0562/kartor/A 3941-2026 karta.png", "A 3941-2026")</f>
        <v/>
      </c>
      <c r="Y76">
        <f>HYPERLINK("https://klasma.github.io/Logging_0562/klagomål/A 3941-2026 FSC-klagomål.docx", "A 3941-2026")</f>
        <v/>
      </c>
      <c r="Z76">
        <f>HYPERLINK("https://klasma.github.io/Logging_0562/klagomålsmail/A 3941-2026 FSC-klagomål mail.docx", "A 3941-2026")</f>
        <v/>
      </c>
      <c r="AA76">
        <f>HYPERLINK("https://klasma.github.io/Logging_0562/tillsyn/A 3941-2026 tillsynsbegäran.docx", "A 3941-2026")</f>
        <v/>
      </c>
      <c r="AB76">
        <f>HYPERLINK("https://klasma.github.io/Logging_0562/tillsynsmail/A 3941-2026 tillsynsbegäran mail.docx", "A 3941-2026")</f>
        <v/>
      </c>
      <c r="AC76">
        <f>HYPERLINK("https://klasma.github.io/Logging_0562/fåglar/A 3941-2026 prioriterade fågelarter.docx", "A 3941-2026")</f>
        <v/>
      </c>
    </row>
    <row r="77" ht="15" customHeight="1">
      <c r="A77" t="inlineStr">
        <is>
          <t>A 22555-2024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45447</v>
      </c>
      <c r="E77" s="1" t="n">
        <v>46222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Hasselsnok</t>
        </is>
      </c>
      <c r="V77">
        <f>HYPERLINK("https://klasma.github.io/Logging_0562/artfynd/A 22555-2024 artfynd.xlsx", "A 22555-2024")</f>
        <v/>
      </c>
      <c r="W77">
        <f>HYPERLINK("https://klasma.github.io/Logging_0562/kartor/A 22555-2024 karta.png", "A 22555-2024")</f>
        <v/>
      </c>
      <c r="Y77">
        <f>HYPERLINK("https://klasma.github.io/Logging_0562/klagomål/A 22555-2024 FSC-klagomål.docx", "A 22555-2024")</f>
        <v/>
      </c>
      <c r="Z77">
        <f>HYPERLINK("https://klasma.github.io/Logging_0562/klagomålsmail/A 22555-2024 FSC-klagomål mail.docx", "A 22555-2024")</f>
        <v/>
      </c>
      <c r="AA77">
        <f>HYPERLINK("https://klasma.github.io/Logging_0562/tillsyn/A 22555-2024 tillsynsbegäran.docx", "A 22555-2024")</f>
        <v/>
      </c>
      <c r="AB77">
        <f>HYPERLINK("https://klasma.github.io/Logging_0562/tillsynsmail/A 22555-2024 tillsynsbegäran mail.docx", "A 22555-2024")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Motaggsvamp</t>
        </is>
      </c>
      <c r="V78">
        <f>HYPERLINK("https://klasma.github.io/Logging_0562/artfynd/A 25942-2026 artfynd.xlsx", "A 25942-2026")</f>
        <v/>
      </c>
      <c r="W78">
        <f>HYPERLINK("https://klasma.github.io/Logging_0562/kartor/A 25942-2026 karta.png", "A 25942-2026")</f>
        <v/>
      </c>
      <c r="Y78">
        <f>HYPERLINK("https://klasma.github.io/Logging_0562/klagomål/A 25942-2026 FSC-klagomål.docx", "A 25942-2026")</f>
        <v/>
      </c>
      <c r="Z78">
        <f>HYPERLINK("https://klasma.github.io/Logging_0562/klagomålsmail/A 25942-2026 FSC-klagomål mail.docx", "A 25942-2026")</f>
        <v/>
      </c>
      <c r="AA78">
        <f>HYPERLINK("https://klasma.github.io/Logging_0562/tillsyn/A 25942-2026 tillsynsbegäran.docx", "A 25942-2026")</f>
        <v/>
      </c>
      <c r="AB78">
        <f>HYPERLINK("https://klasma.github.io/Logging_0562/tillsynsmail/A 25942-2026 tillsynsbegäran mail.docx", "A 25942-2026")</f>
        <v/>
      </c>
    </row>
    <row r="79" ht="15" customHeight="1">
      <c r="A79" t="inlineStr">
        <is>
          <t>A 36128-2023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46222</v>
      </c>
      <c r="F79" t="inlineStr">
        <is>
          <t>ÖSTERGÖTLANDS LÄN</t>
        </is>
      </c>
      <c r="G79" t="inlineStr">
        <is>
          <t>FINSPÅNG</t>
        </is>
      </c>
      <c r="I79" t="n">
        <v>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HYPERLINK("https://klasma.github.io/Logging_0562/artfynd/A 36128-2023 artfynd.xlsx", "A 36128-2023")</f>
        <v/>
      </c>
      <c r="W79">
        <f>HYPERLINK("https://klasma.github.io/Logging_0562/kartor/A 36128-2023 karta.png", "A 36128-2023")</f>
        <v/>
      </c>
      <c r="Y79">
        <f>HYPERLINK("https://klasma.github.io/Logging_0562/klagomål/A 36128-2023 FSC-klagomål.docx", "A 36128-2023")</f>
        <v/>
      </c>
      <c r="Z79">
        <f>HYPERLINK("https://klasma.github.io/Logging_0562/klagomålsmail/A 36128-2023 FSC-klagomål mail.docx", "A 36128-2023")</f>
        <v/>
      </c>
      <c r="AA79">
        <f>HYPERLINK("https://klasma.github.io/Logging_0562/tillsyn/A 36128-2023 tillsynsbegäran.docx", "A 36128-2023")</f>
        <v/>
      </c>
      <c r="AB79">
        <f>HYPERLINK("https://klasma.github.io/Logging_0562/tillsynsmail/A 36128-2023 tillsynsbegäran mail.docx", "A 36128-2023")</f>
        <v/>
      </c>
      <c r="AC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46222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HYPERLINK("https://klasma.github.io/Logging_0562/artfynd/A 53265-2023 artfynd.xlsx", "A 53265-2023")</f>
        <v/>
      </c>
      <c r="W80">
        <f>HYPERLINK("https://klasma.github.io/Logging_0562/kartor/A 53265-2023 karta.png", "A 53265-2023")</f>
        <v/>
      </c>
      <c r="Y80">
        <f>HYPERLINK("https://klasma.github.io/Logging_0562/klagomål/A 53265-2023 FSC-klagomål.docx", "A 53265-2023")</f>
        <v/>
      </c>
      <c r="Z80">
        <f>HYPERLINK("https://klasma.github.io/Logging_0562/klagomålsmail/A 53265-2023 FSC-klagomål mail.docx", "A 53265-2023")</f>
        <v/>
      </c>
      <c r="AA80">
        <f>HYPERLINK("https://klasma.github.io/Logging_0562/tillsyn/A 53265-2023 tillsynsbegäran.docx", "A 53265-2023")</f>
        <v/>
      </c>
      <c r="AB80">
        <f>HYPERLINK("https://klasma.github.io/Logging_0562/tillsynsmail/A 53265-2023 tillsynsbegäran mail.docx", "A 53265-2023")</f>
        <v/>
      </c>
    </row>
    <row r="81" ht="15" customHeight="1">
      <c r="A81" t="inlineStr">
        <is>
          <t>A 1177-2024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46222</v>
      </c>
      <c r="F81" t="inlineStr">
        <is>
          <t>ÖSTERGÖTLANDS LÄN</t>
        </is>
      </c>
      <c r="G81" t="inlineStr">
        <is>
          <t>FINSPÅNG</t>
        </is>
      </c>
      <c r="I81" t="n">
        <v>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s="2" t="inlineStr">
        <is>
          <t>Knärot</t>
        </is>
      </c>
      <c r="V81">
        <f>HYPERLINK("https://klasma.github.io/Logging_0562/artfynd/A 1177-2024 artfynd.xlsx", "A 1177-2024")</f>
        <v/>
      </c>
      <c r="W81">
        <f>HYPERLINK("https://klasma.github.io/Logging_0562/kartor/A 1177-2024 karta.png", "A 1177-2024")</f>
        <v/>
      </c>
      <c r="X81">
        <f>HYPERLINK("https://klasma.github.io/Logging_0562/knärot/A 1177-2024 karta knärot.png", "A 1177-2024")</f>
        <v/>
      </c>
      <c r="Y81">
        <f>HYPERLINK("https://klasma.github.io/Logging_0562/klagomål/A 1177-2024 FSC-klagomål.docx", "A 1177-2024")</f>
        <v/>
      </c>
      <c r="Z81">
        <f>HYPERLINK("https://klasma.github.io/Logging_0562/klagomålsmail/A 1177-2024 FSC-klagomål mail.docx", "A 1177-2024")</f>
        <v/>
      </c>
      <c r="AA81">
        <f>HYPERLINK("https://klasma.github.io/Logging_0562/tillsyn/A 1177-2024 tillsynsbegäran.docx", "A 1177-2024")</f>
        <v/>
      </c>
      <c r="AB81">
        <f>HYPERLINK("https://klasma.github.io/Logging_0562/tillsynsmail/A 1177-2024 tillsynsbegäran mail.docx", "A 1177-2024")</f>
        <v/>
      </c>
    </row>
    <row r="82" ht="15" customHeight="1">
      <c r="A82" t="inlineStr">
        <is>
          <t>A 40385-2024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46222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Talltita</t>
        </is>
      </c>
      <c r="V82">
        <f>HYPERLINK("https://klasma.github.io/Logging_0562/artfynd/A 40385-2024 artfynd.xlsx", "A 40385-2024")</f>
        <v/>
      </c>
      <c r="W82">
        <f>HYPERLINK("https://klasma.github.io/Logging_0562/kartor/A 40385-2024 karta.png", "A 40385-2024")</f>
        <v/>
      </c>
      <c r="Y82">
        <f>HYPERLINK("https://klasma.github.io/Logging_0562/klagomål/A 40385-2024 FSC-klagomål.docx", "A 40385-2024")</f>
        <v/>
      </c>
      <c r="Z82">
        <f>HYPERLINK("https://klasma.github.io/Logging_0562/klagomålsmail/A 40385-2024 FSC-klagomål mail.docx", "A 40385-2024")</f>
        <v/>
      </c>
      <c r="AA82">
        <f>HYPERLINK("https://klasma.github.io/Logging_0562/tillsyn/A 40385-2024 tillsynsbegäran.docx", "A 40385-2024")</f>
        <v/>
      </c>
      <c r="AB82">
        <f>HYPERLINK("https://klasma.github.io/Logging_0562/tillsynsmail/A 40385-2024 tillsynsbegäran mail.docx", "A 40385-2024")</f>
        <v/>
      </c>
      <c r="AC82">
        <f>HYPERLINK("https://klasma.github.io/Logging_0562/fåglar/A 40385-2024 prioriterade fågelarter.docx", "A 40385-2024")</f>
        <v/>
      </c>
    </row>
    <row r="83" ht="15" customHeight="1">
      <c r="A83" t="inlineStr">
        <is>
          <t>A 27456-2026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46222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Tibast</t>
        </is>
      </c>
      <c r="V83">
        <f>HYPERLINK("https://klasma.github.io/Logging_0562/artfynd/A 27456-2026 artfynd.xlsx", "A 27456-2026")</f>
        <v/>
      </c>
      <c r="W83">
        <f>HYPERLINK("https://klasma.github.io/Logging_0562/kartor/A 27456-2026 karta.png", "A 27456-2026")</f>
        <v/>
      </c>
      <c r="Y83">
        <f>HYPERLINK("https://klasma.github.io/Logging_0562/klagomål/A 27456-2026 FSC-klagomål.docx", "A 27456-2026")</f>
        <v/>
      </c>
      <c r="Z83">
        <f>HYPERLINK("https://klasma.github.io/Logging_0562/klagomålsmail/A 27456-2026 FSC-klagomål mail.docx", "A 27456-2026")</f>
        <v/>
      </c>
      <c r="AA83">
        <f>HYPERLINK("https://klasma.github.io/Logging_0562/tillsyn/A 27456-2026 tillsynsbegäran.docx", "A 27456-2026")</f>
        <v/>
      </c>
      <c r="AB83">
        <f>HYPERLINK("https://klasma.github.io/Logging_0562/tillsynsmail/A 27456-2026 tillsynsbegäran mail.docx", "A 27456-2026")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46222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HYPERLINK("https://klasma.github.io/Logging_0562/artfynd/A 22587-2026 artfynd.xlsx", "A 22587-2026")</f>
        <v/>
      </c>
      <c r="W84">
        <f>HYPERLINK("https://klasma.github.io/Logging_0562/kartor/A 22587-2026 karta.png", "A 22587-2026")</f>
        <v/>
      </c>
      <c r="Y84">
        <f>HYPERLINK("https://klasma.github.io/Logging_0562/klagomål/A 22587-2026 FSC-klagomål.docx", "A 22587-2026")</f>
        <v/>
      </c>
      <c r="Z84">
        <f>HYPERLINK("https://klasma.github.io/Logging_0562/klagomålsmail/A 22587-2026 FSC-klagomål mail.docx", "A 22587-2026")</f>
        <v/>
      </c>
      <c r="AA84">
        <f>HYPERLINK("https://klasma.github.io/Logging_0562/tillsyn/A 22587-2026 tillsynsbegäran.docx", "A 22587-2026")</f>
        <v/>
      </c>
      <c r="AB84">
        <f>HYPERLINK("https://klasma.github.io/Logging_0562/tillsynsmail/A 22587-2026 tillsynsbegäran mail.docx", "A 22587-2026")</f>
        <v/>
      </c>
      <c r="AC84">
        <f>HYPERLINK("https://klasma.github.io/Logging_0562/fåglar/A 22587-2026 prioriterade fågelarter.docx", "A 22587-2026")</f>
        <v/>
      </c>
    </row>
    <row r="85" ht="15" customHeight="1">
      <c r="A85" t="inlineStr">
        <is>
          <t>A 61695-2021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44501</v>
      </c>
      <c r="E85" s="1" t="n">
        <v>46222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Kornknutmossa</t>
        </is>
      </c>
      <c r="V85">
        <f>HYPERLINK("https://klasma.github.io/Logging_0562/artfynd/A 61695-2021 artfynd.xlsx", "A 61695-2021")</f>
        <v/>
      </c>
      <c r="W85">
        <f>HYPERLINK("https://klasma.github.io/Logging_0562/kartor/A 61695-2021 karta.png", "A 61695-2021")</f>
        <v/>
      </c>
      <c r="Y85">
        <f>HYPERLINK("https://klasma.github.io/Logging_0562/klagomål/A 61695-2021 FSC-klagomål.docx", "A 61695-2021")</f>
        <v/>
      </c>
      <c r="Z85">
        <f>HYPERLINK("https://klasma.github.io/Logging_0562/klagomålsmail/A 61695-2021 FSC-klagomål mail.docx", "A 61695-2021")</f>
        <v/>
      </c>
      <c r="AA85">
        <f>HYPERLINK("https://klasma.github.io/Logging_0562/tillsyn/A 61695-2021 tillsynsbegäran.docx", "A 61695-2021")</f>
        <v/>
      </c>
      <c r="AB85">
        <f>HYPERLINK("https://klasma.github.io/Logging_0562/tillsynsmail/A 61695-2021 tillsynsbegäran mail.docx", "A 61695-2021")</f>
        <v/>
      </c>
    </row>
    <row r="86" ht="15" customHeight="1">
      <c r="A86" t="inlineStr">
        <is>
          <t>A 663-2023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44930</v>
      </c>
      <c r="E86" s="1" t="n">
        <v>46222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HYPERLINK("https://klasma.github.io/Logging_0562/artfynd/A 663-2023 artfynd.xlsx", "A 663-2023")</f>
        <v/>
      </c>
      <c r="W86">
        <f>HYPERLINK("https://klasma.github.io/Logging_0562/kartor/A 663-2023 karta.png", "A 663-2023")</f>
        <v/>
      </c>
      <c r="Y86">
        <f>HYPERLINK("https://klasma.github.io/Logging_0562/klagomål/A 663-2023 FSC-klagomål.docx", "A 663-2023")</f>
        <v/>
      </c>
      <c r="Z86">
        <f>HYPERLINK("https://klasma.github.io/Logging_0562/klagomålsmail/A 663-2023 FSC-klagomål mail.docx", "A 663-2023")</f>
        <v/>
      </c>
      <c r="AA86">
        <f>HYPERLINK("https://klasma.github.io/Logging_0562/tillsyn/A 663-2023 tillsynsbegäran.docx", "A 663-2023")</f>
        <v/>
      </c>
      <c r="AB86">
        <f>HYPERLINK("https://klasma.github.io/Logging_0562/tillsynsmail/A 663-2023 tillsynsbegäran mail.docx", "A 663-2023")</f>
        <v/>
      </c>
    </row>
    <row r="87" ht="15" customHeight="1">
      <c r="A87" t="inlineStr">
        <is>
          <t>A 59061-2024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46222</v>
      </c>
      <c r="F87" t="inlineStr">
        <is>
          <t>ÖSTERGÖTLANDS LÄN</t>
        </is>
      </c>
      <c r="G87" t="inlineStr">
        <is>
          <t>FINSPÅNG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Ängsnycklar</t>
        </is>
      </c>
      <c r="V87">
        <f>HYPERLINK("https://klasma.github.io/Logging_0562/artfynd/A 59061-2024 artfynd.xlsx", "A 59061-2024")</f>
        <v/>
      </c>
      <c r="W87">
        <f>HYPERLINK("https://klasma.github.io/Logging_0562/kartor/A 59061-2024 karta.png", "A 59061-2024")</f>
        <v/>
      </c>
      <c r="Y87">
        <f>HYPERLINK("https://klasma.github.io/Logging_0562/klagomål/A 59061-2024 FSC-klagomål.docx", "A 59061-2024")</f>
        <v/>
      </c>
      <c r="Z87">
        <f>HYPERLINK("https://klasma.github.io/Logging_0562/klagomålsmail/A 59061-2024 FSC-klagomål mail.docx", "A 59061-2024")</f>
        <v/>
      </c>
      <c r="AA87">
        <f>HYPERLINK("https://klasma.github.io/Logging_0562/tillsyn/A 59061-2024 tillsynsbegäran.docx", "A 59061-2024")</f>
        <v/>
      </c>
      <c r="AB87">
        <f>HYPERLINK("https://klasma.github.io/Logging_0562/tillsynsmail/A 59061-2024 tillsynsbegäran mail.docx", "A 59061-2024")</f>
        <v/>
      </c>
    </row>
    <row r="88" ht="15" customHeight="1">
      <c r="A88" t="inlineStr">
        <is>
          <t>A 10203-2022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44622</v>
      </c>
      <c r="E88" s="1" t="n">
        <v>46222</v>
      </c>
      <c r="F88" t="inlineStr">
        <is>
          <t>ÖSTERGÖTLANDS LÄN</t>
        </is>
      </c>
      <c r="G88" t="inlineStr">
        <is>
          <t>FINSPÅNG</t>
        </is>
      </c>
      <c r="I88" t="n">
        <v>0.6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Vanlig backsmörblomma</t>
        </is>
      </c>
      <c r="V88">
        <f>HYPERLINK("https://klasma.github.io/Logging_0562/artfynd/A 10203-2022 artfynd.xlsx", "A 10203-2022")</f>
        <v/>
      </c>
      <c r="W88">
        <f>HYPERLINK("https://klasma.github.io/Logging_0562/kartor/A 10203-2022 karta.png", "A 10203-2022")</f>
        <v/>
      </c>
      <c r="Y88">
        <f>HYPERLINK("https://klasma.github.io/Logging_0562/klagomål/A 10203-2022 FSC-klagomål.docx", "A 10203-2022")</f>
        <v/>
      </c>
      <c r="Z88">
        <f>HYPERLINK("https://klasma.github.io/Logging_0562/klagomålsmail/A 10203-2022 FSC-klagomål mail.docx", "A 10203-2022")</f>
        <v/>
      </c>
      <c r="AA88">
        <f>HYPERLINK("https://klasma.github.io/Logging_0562/tillsyn/A 10203-2022 tillsynsbegäran.docx", "A 10203-2022")</f>
        <v/>
      </c>
      <c r="AB88">
        <f>HYPERLINK("https://klasma.github.io/Logging_0562/tillsynsmail/A 10203-2022 tillsynsbegäran mail.docx", "A 10203-2022")</f>
        <v/>
      </c>
    </row>
    <row r="89" ht="15" customHeight="1">
      <c r="A89" t="inlineStr">
        <is>
          <t>A 24411-2023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46222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s="2" t="inlineStr">
        <is>
          <t>Blåmossa</t>
        </is>
      </c>
      <c r="V89">
        <f>HYPERLINK("https://klasma.github.io/Logging_0562/artfynd/A 24411-2023 artfynd.xlsx", "A 24411-2023")</f>
        <v/>
      </c>
      <c r="W89">
        <f>HYPERLINK("https://klasma.github.io/Logging_0562/kartor/A 24411-2023 karta.png", "A 24411-2023")</f>
        <v/>
      </c>
      <c r="Y89">
        <f>HYPERLINK("https://klasma.github.io/Logging_0562/klagomål/A 24411-2023 FSC-klagomål.docx", "A 24411-2023")</f>
        <v/>
      </c>
      <c r="Z89">
        <f>HYPERLINK("https://klasma.github.io/Logging_0562/klagomålsmail/A 24411-2023 FSC-klagomål mail.docx", "A 24411-2023")</f>
        <v/>
      </c>
      <c r="AA89">
        <f>HYPERLINK("https://klasma.github.io/Logging_0562/tillsyn/A 24411-2023 tillsynsbegäran.docx", "A 24411-2023")</f>
        <v/>
      </c>
      <c r="AB89">
        <f>HYPERLINK("https://klasma.github.io/Logging_0562/tillsynsmail/A 24411-2023 tillsynsbegäran mail.docx", "A 24411-2023")</f>
        <v/>
      </c>
    </row>
    <row r="90" ht="15" customHeight="1">
      <c r="A90" t="inlineStr">
        <is>
          <t>A 15123-2025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46222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Naturvårdsverket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Orre</t>
        </is>
      </c>
      <c r="V90">
        <f>HYPERLINK("https://klasma.github.io/Logging_0562/artfynd/A 15123-2025 artfynd.xlsx", "A 15123-2025")</f>
        <v/>
      </c>
      <c r="W90">
        <f>HYPERLINK("https://klasma.github.io/Logging_0562/kartor/A 15123-2025 karta.png", "A 15123-2025")</f>
        <v/>
      </c>
      <c r="Y90">
        <f>HYPERLINK("https://klasma.github.io/Logging_0562/klagomål/A 15123-2025 FSC-klagomål.docx", "A 15123-2025")</f>
        <v/>
      </c>
      <c r="Z90">
        <f>HYPERLINK("https://klasma.github.io/Logging_0562/klagomålsmail/A 15123-2025 FSC-klagomål mail.docx", "A 15123-2025")</f>
        <v/>
      </c>
      <c r="AA90">
        <f>HYPERLINK("https://klasma.github.io/Logging_0562/tillsyn/A 15123-2025 tillsynsbegäran.docx", "A 15123-2025")</f>
        <v/>
      </c>
      <c r="AB90">
        <f>HYPERLINK("https://klasma.github.io/Logging_0562/tillsynsmail/A 15123-2025 tillsynsbegäran mail.docx", "A 15123-2025")</f>
        <v/>
      </c>
      <c r="AC90">
        <f>HYPERLINK("https://klasma.github.io/Logging_0562/fåglar/A 15123-2025 prioriterade fågelarter.docx", "A 15123-2025")</f>
        <v/>
      </c>
    </row>
    <row r="91" ht="15" customHeight="1">
      <c r="A91" t="inlineStr">
        <is>
          <t>A 22259-2024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46222</v>
      </c>
      <c r="F91" t="inlineStr">
        <is>
          <t>ÖSTERGÖTLANDS LÄN</t>
        </is>
      </c>
      <c r="G91" t="inlineStr">
        <is>
          <t>FINSPÅNG</t>
        </is>
      </c>
      <c r="I91" t="n">
        <v>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Gullklöver</t>
        </is>
      </c>
      <c r="V91">
        <f>HYPERLINK("https://klasma.github.io/Logging_0562/artfynd/A 22259-2024 artfynd.xlsx", "A 22259-2024")</f>
        <v/>
      </c>
      <c r="W91">
        <f>HYPERLINK("https://klasma.github.io/Logging_0562/kartor/A 22259-2024 karta.png", "A 22259-2024")</f>
        <v/>
      </c>
      <c r="Y91">
        <f>HYPERLINK("https://klasma.github.io/Logging_0562/klagomål/A 22259-2024 FSC-klagomål.docx", "A 22259-2024")</f>
        <v/>
      </c>
      <c r="Z91">
        <f>HYPERLINK("https://klasma.github.io/Logging_0562/klagomålsmail/A 22259-2024 FSC-klagomål mail.docx", "A 22259-2024")</f>
        <v/>
      </c>
      <c r="AA91">
        <f>HYPERLINK("https://klasma.github.io/Logging_0562/tillsyn/A 22259-2024 tillsynsbegäran.docx", "A 22259-2024")</f>
        <v/>
      </c>
      <c r="AB91">
        <f>HYPERLINK("https://klasma.github.io/Logging_0562/tillsynsmail/A 22259-2024 tillsynsbegäran mail.docx", "A 22259-2024")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46222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Revlummer</t>
        </is>
      </c>
      <c r="V92">
        <f>HYPERLINK("https://klasma.github.io/Logging_0562/artfynd/A 42947-2024 artfynd.xlsx", "A 42947-2024")</f>
        <v/>
      </c>
      <c r="W92">
        <f>HYPERLINK("https://klasma.github.io/Logging_0562/kartor/A 42947-2024 karta.png", "A 42947-2024")</f>
        <v/>
      </c>
      <c r="X92">
        <f>HYPERLINK("https://klasma.github.io/Logging_0562/knärot/A 42947-2024 karta knärot.png", "A 42947-2024")</f>
        <v/>
      </c>
      <c r="Y92">
        <f>HYPERLINK("https://klasma.github.io/Logging_0562/klagomål/A 42947-2024 FSC-klagomål.docx", "A 42947-2024")</f>
        <v/>
      </c>
      <c r="Z92">
        <f>HYPERLINK("https://klasma.github.io/Logging_0562/klagomålsmail/A 42947-2024 FSC-klagomål mail.docx", "A 42947-2024")</f>
        <v/>
      </c>
      <c r="AA92">
        <f>HYPERLINK("https://klasma.github.io/Logging_0562/tillsyn/A 42947-2024 tillsynsbegäran.docx", "A 42947-2024")</f>
        <v/>
      </c>
      <c r="AB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HYPERLINK("https://klasma.github.io/Logging_0562/artfynd/S 2873-2022 artfynd.xlsx", "S 2873-2022")</f>
        <v/>
      </c>
      <c r="W93">
        <f>HYPERLINK("https://klasma.github.io/Logging_0562/kartor/S 2873-2022 karta.png", "S 2873-2022")</f>
        <v/>
      </c>
      <c r="Y93">
        <f>HYPERLINK("https://klasma.github.io/Logging_0562/klagomål/S 2873-2022 FSC-klagomål.docx", "S 2873-2022")</f>
        <v/>
      </c>
      <c r="Z93">
        <f>HYPERLINK("https://klasma.github.io/Logging_0562/klagomålsmail/S 2873-2022 FSC-klagomål mail.docx", "S 2873-2022")</f>
        <v/>
      </c>
      <c r="AA93">
        <f>HYPERLINK("https://klasma.github.io/Logging_0562/tillsyn/S 2873-2022 tillsynsbegäran.docx", "S 2873-2022")</f>
        <v/>
      </c>
      <c r="AB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46222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Blåmossa</t>
        </is>
      </c>
      <c r="V94">
        <f>HYPERLINK("https://klasma.github.io/Logging_0562/artfynd/S 1607-2024 artfynd.xlsx", "S 1607-2024")</f>
        <v/>
      </c>
      <c r="W94">
        <f>HYPERLINK("https://klasma.github.io/Logging_0562/kartor/S 1607-2024 karta.png", "S 1607-2024")</f>
        <v/>
      </c>
      <c r="Y94">
        <f>HYPERLINK("https://klasma.github.io/Logging_0562/klagomål/S 1607-2024 FSC-klagomål.docx", "S 1607-2024")</f>
        <v/>
      </c>
      <c r="Z94">
        <f>HYPERLINK("https://klasma.github.io/Logging_0562/klagomålsmail/S 1607-2024 FSC-klagomål mail.docx", "S 1607-2024")</f>
        <v/>
      </c>
      <c r="AA94">
        <f>HYPERLINK("https://klasma.github.io/Logging_0562/tillsyn/S 1607-2024 tillsynsbegäran.docx", "S 1607-2024")</f>
        <v/>
      </c>
      <c r="AB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s="2" t="inlineStr">
        <is>
          <t>Skogsalm</t>
        </is>
      </c>
      <c r="V95">
        <f>HYPERLINK("https://klasma.github.io/Logging_0562/artfynd/S 876-2026 artfynd.xlsx", "S 876-2026")</f>
        <v/>
      </c>
      <c r="W95">
        <f>HYPERLINK("https://klasma.github.io/Logging_0562/kartor/S 876-2026 karta.png", "S 876-2026")</f>
        <v/>
      </c>
      <c r="Y95">
        <f>HYPERLINK("https://klasma.github.io/Logging_0562/klagomål/S 876-2026 FSC-klagomål.docx", "S 876-2026")</f>
        <v/>
      </c>
      <c r="Z95">
        <f>HYPERLINK("https://klasma.github.io/Logging_0562/klagomålsmail/S 876-2026 FSC-klagomål mail.docx", "S 876-2026")</f>
        <v/>
      </c>
      <c r="AA95">
        <f>HYPERLINK("https://klasma.github.io/Logging_0562/tillsyn/S 876-2026 tillsynsbegäran.docx", "S 876-2026")</f>
        <v/>
      </c>
      <c r="AB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46222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Järpe</t>
        </is>
      </c>
      <c r="V96">
        <f>HYPERLINK("https://klasma.github.io/Logging_0562/artfynd/S 1760-2026 artfynd.xlsx", "S 1760-2026")</f>
        <v/>
      </c>
      <c r="W96">
        <f>HYPERLINK("https://klasma.github.io/Logging_0562/kartor/S 1760-2026 karta.png", "S 1760-2026")</f>
        <v/>
      </c>
      <c r="Y96">
        <f>HYPERLINK("https://klasma.github.io/Logging_0562/klagomål/S 1760-2026 FSC-klagomål.docx", "S 1760-2026")</f>
        <v/>
      </c>
      <c r="Z96">
        <f>HYPERLINK("https://klasma.github.io/Logging_0562/klagomålsmail/S 1760-2026 FSC-klagomål mail.docx", "S 1760-2026")</f>
        <v/>
      </c>
      <c r="AA96">
        <f>HYPERLINK("https://klasma.github.io/Logging_0562/tillsyn/S 1760-2026 tillsynsbegäran.docx", "S 1760-2026")</f>
        <v/>
      </c>
      <c r="AB96">
        <f>HYPERLINK("https://klasma.github.io/Logging_0562/tillsynsmail/S 1760-2026 tillsynsbegäran mail.docx", "S 1760-2026")</f>
        <v/>
      </c>
      <c r="AC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46222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46222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46222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46222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46222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46222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44864</v>
      </c>
      <c r="E104" s="1" t="n">
        <v>46222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46222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46222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46222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46222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46222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46222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46222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46222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46222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46222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Naturvårdsverket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46222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46222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46222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46222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46222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46222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46222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46222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51613-2021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46222</v>
      </c>
      <c r="F123" t="inlineStr">
        <is>
          <t>ÖSTERGÖTLANDS LÄN</t>
        </is>
      </c>
      <c r="G123" t="inlineStr">
        <is>
          <t>FINSPÅNG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46222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46222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46222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46222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67767-2021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46222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46222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46222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46222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46222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46222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46222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46222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46222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46222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46222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46222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46222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46222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46222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46222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46222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46222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46222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46222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46222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46222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46222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46222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46222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46222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46222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46222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46222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  <c r="X156">
        <f>HYPERLINK("https://klasma.github.io/Logging_0562/knärot/A 43908-2021 karta knärot.png", "A 43908-2021")</f>
        <v/>
      </c>
      <c r="Y156">
        <f>HYPERLINK("https://klasma.github.io/Logging_0562/klagomål/A 43908-2021 FSC-klagomål.docx", "A 43908-2021")</f>
        <v/>
      </c>
      <c r="Z156">
        <f>HYPERLINK("https://klasma.github.io/Logging_0562/klagomålsmail/A 43908-2021 FSC-klagomål mail.docx", "A 43908-2021")</f>
        <v/>
      </c>
      <c r="AA156">
        <f>HYPERLINK("https://klasma.github.io/Logging_0562/tillsyn/A 43908-2021 tillsynsbegäran.docx", "A 43908-2021")</f>
        <v/>
      </c>
      <c r="AB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46222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46222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46222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46222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46222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46222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46222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46222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46222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46222</v>
      </c>
      <c r="F166" t="inlineStr">
        <is>
          <t>ÖSTERGÖTLANDS LÄN</t>
        </is>
      </c>
      <c r="G166" t="inlineStr">
        <is>
          <t>FINSPÅNG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46222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46222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46222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46222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46222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46222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46222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46222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46222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46222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46222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46222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46222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46222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46222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46222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46222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46222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46222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46222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46222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46222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46222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46222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46222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46222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46222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46222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46222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46222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39043-2021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44412</v>
      </c>
      <c r="E198" s="1" t="n">
        <v>46222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56727-2021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44481</v>
      </c>
      <c r="E199" s="1" t="n">
        <v>46222</v>
      </c>
      <c r="F199" t="inlineStr">
        <is>
          <t>ÖSTERGÖTLANDS LÄN</t>
        </is>
      </c>
      <c r="G199" t="inlineStr">
        <is>
          <t>FINSPÅNG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41805-2021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44425</v>
      </c>
      <c r="E200" s="1" t="n">
        <v>46222</v>
      </c>
      <c r="F200" t="inlineStr">
        <is>
          <t>ÖSTERGÖTLANDS LÄN</t>
        </is>
      </c>
      <c r="G200" t="inlineStr">
        <is>
          <t>FINSPÅNG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11992-2022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44635</v>
      </c>
      <c r="E201" s="1" t="n">
        <v>46222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22412-2022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44713</v>
      </c>
      <c r="E202" s="1" t="n">
        <v>46222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31811-2022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44776</v>
      </c>
      <c r="E203" s="1" t="n">
        <v>46222</v>
      </c>
      <c r="F203" t="inlineStr">
        <is>
          <t>ÖSTERGÖTLANDS LÄN</t>
        </is>
      </c>
      <c r="G203" t="inlineStr">
        <is>
          <t>FINSPÅNG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46222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46222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46222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46222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46222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46222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46222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46222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46222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46222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46222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29630-2022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44754</v>
      </c>
      <c r="E215" s="1" t="n">
        <v>46222</v>
      </c>
      <c r="F215" t="inlineStr">
        <is>
          <t>ÖSTERGÖTLANDS LÄN</t>
        </is>
      </c>
      <c r="G215" t="inlineStr">
        <is>
          <t>FINSPÅNG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45042</v>
      </c>
      <c r="E216" s="1" t="n">
        <v>46222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46222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32044-2022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44778</v>
      </c>
      <c r="E218" s="1" t="n">
        <v>46222</v>
      </c>
      <c r="F218" t="inlineStr">
        <is>
          <t>ÖSTERGÖTLANDS LÄN</t>
        </is>
      </c>
      <c r="G218" t="inlineStr">
        <is>
          <t>FINSPÅNG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54916-2024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45618</v>
      </c>
      <c r="E219" s="1" t="n">
        <v>46222</v>
      </c>
      <c r="F219" t="inlineStr">
        <is>
          <t>ÖSTERGÖTLANDS LÄN</t>
        </is>
      </c>
      <c r="G219" t="inlineStr">
        <is>
          <t>FINSPÅNG</t>
        </is>
      </c>
      <c r="I219" t="n">
        <v>11.8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36100-2022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46222</v>
      </c>
      <c r="F220" t="inlineStr">
        <is>
          <t>ÖSTERGÖTLANDS LÄN</t>
        </is>
      </c>
      <c r="G220" t="inlineStr">
        <is>
          <t>FINSPÅNG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40544-2021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44420</v>
      </c>
      <c r="E221" s="1" t="n">
        <v>46222</v>
      </c>
      <c r="F221" t="inlineStr">
        <is>
          <t>ÖSTERGÖTLANDS LÄN</t>
        </is>
      </c>
      <c r="G221" t="inlineStr">
        <is>
          <t>FINSPÅNG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11785-2024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45374</v>
      </c>
      <c r="E222" s="1" t="n">
        <v>46222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Kyrkan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46222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9809-2024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45362</v>
      </c>
      <c r="E224" s="1" t="n">
        <v>46222</v>
      </c>
      <c r="F224" t="inlineStr">
        <is>
          <t>ÖSTERGÖTLANDS LÄN</t>
        </is>
      </c>
      <c r="G224" t="inlineStr">
        <is>
          <t>FINSPÅNG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36406-2024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45535</v>
      </c>
      <c r="E225" s="1" t="n">
        <v>46222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31176-2022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44770</v>
      </c>
      <c r="E226" s="1" t="n">
        <v>46222</v>
      </c>
      <c r="F226" t="inlineStr">
        <is>
          <t>ÖSTERGÖTLANDS LÄN</t>
        </is>
      </c>
      <c r="G226" t="inlineStr">
        <is>
          <t>FINSPÅNG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59777-2023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46222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46222</v>
      </c>
      <c r="F228" t="inlineStr">
        <is>
          <t>ÖSTERGÖTLANDS LÄN</t>
        </is>
      </c>
      <c r="G228" t="inlineStr">
        <is>
          <t>FINSPÅNG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46222</v>
      </c>
      <c r="F229" t="inlineStr">
        <is>
          <t>ÖSTERGÖTLANDS LÄN</t>
        </is>
      </c>
      <c r="G229" t="inlineStr">
        <is>
          <t>FINSPÅNG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59827-2023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46222</v>
      </c>
      <c r="F230" t="inlineStr">
        <is>
          <t>ÖSTERGÖTLANDS LÄN</t>
        </is>
      </c>
      <c r="G230" t="inlineStr">
        <is>
          <t>FINSPÅNG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44844</v>
      </c>
      <c r="E231" s="1" t="n">
        <v>46222</v>
      </c>
      <c r="F231" t="inlineStr">
        <is>
          <t>ÖSTERGÖTLANDS LÄN</t>
        </is>
      </c>
      <c r="G231" t="inlineStr">
        <is>
          <t>FINSPÅNG</t>
        </is>
      </c>
      <c r="I231" t="n">
        <v>16.6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37647-2024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46222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36994-2022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46222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46222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46222</v>
      </c>
      <c r="F235" t="inlineStr">
        <is>
          <t>ÖSTERGÖTLANDS LÄN</t>
        </is>
      </c>
      <c r="G235" t="inlineStr">
        <is>
          <t>FINSPÅNG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38964-2022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46222</v>
      </c>
      <c r="F236" t="inlineStr">
        <is>
          <t>ÖSTERGÖTLANDS LÄN</t>
        </is>
      </c>
      <c r="G236" t="inlineStr">
        <is>
          <t>FINSPÅNG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46222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15140-2025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46222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Naturvårdsverket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58905-2023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45252</v>
      </c>
      <c r="E239" s="1" t="n">
        <v>46222</v>
      </c>
      <c r="F239" t="inlineStr">
        <is>
          <t>ÖSTERGÖTLANDS LÄN</t>
        </is>
      </c>
      <c r="G239" t="inlineStr">
        <is>
          <t>FINSPÅNG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22579-2024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45447</v>
      </c>
      <c r="E240" s="1" t="n">
        <v>46222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56264-2022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44887</v>
      </c>
      <c r="E241" s="1" t="n">
        <v>46222</v>
      </c>
      <c r="F241" t="inlineStr">
        <is>
          <t>ÖSTERGÖTLANDS LÄN</t>
        </is>
      </c>
      <c r="G241" t="inlineStr">
        <is>
          <t>FINSPÅNG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46222</v>
      </c>
      <c r="F242" t="inlineStr">
        <is>
          <t>ÖSTERGÖTLANDS LÄN</t>
        </is>
      </c>
      <c r="G242" t="inlineStr">
        <is>
          <t>FINSPÅNG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44986</v>
      </c>
      <c r="E243" s="1" t="n">
        <v>46222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21719-2024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46222</v>
      </c>
      <c r="F244" t="inlineStr">
        <is>
          <t>ÖSTERGÖTLANDS LÄN</t>
        </is>
      </c>
      <c r="G244" t="inlineStr">
        <is>
          <t>FINSPÅNG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46222</v>
      </c>
      <c r="F245" t="inlineStr">
        <is>
          <t>ÖSTERGÖTLANDS LÄN</t>
        </is>
      </c>
      <c r="G245" t="inlineStr">
        <is>
          <t>FINSPÅNG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46222</v>
      </c>
      <c r="F246" t="inlineStr">
        <is>
          <t>ÖSTERGÖTLANDS LÄN</t>
        </is>
      </c>
      <c r="G246" t="inlineStr">
        <is>
          <t>FINSPÅNG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46222</v>
      </c>
      <c r="F247" t="inlineStr">
        <is>
          <t>ÖSTERGÖTLANDS LÄN</t>
        </is>
      </c>
      <c r="G247" t="inlineStr">
        <is>
          <t>FINSPÅNG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61076-2023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46222</v>
      </c>
      <c r="F248" t="inlineStr">
        <is>
          <t>ÖSTERGÖTLANDS LÄN</t>
        </is>
      </c>
      <c r="G248" t="inlineStr">
        <is>
          <t>FINSPÅNG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46222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58333-2023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46222</v>
      </c>
      <c r="F250" t="inlineStr">
        <is>
          <t>ÖSTERGÖTLANDS LÄN</t>
        </is>
      </c>
      <c r="G250" t="inlineStr">
        <is>
          <t>FINSPÅNG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45323</v>
      </c>
      <c r="E251" s="1" t="n">
        <v>46222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41932-2021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44425</v>
      </c>
      <c r="E252" s="1" t="n">
        <v>46222</v>
      </c>
      <c r="F252" t="inlineStr">
        <is>
          <t>ÖSTERGÖTLANDS LÄN</t>
        </is>
      </c>
      <c r="G252" t="inlineStr">
        <is>
          <t>FINSPÅNG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56425-2022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44891</v>
      </c>
      <c r="E253" s="1" t="n">
        <v>46222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46222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39467-2024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45551</v>
      </c>
      <c r="E255" s="1" t="n">
        <v>46222</v>
      </c>
      <c r="F255" t="inlineStr">
        <is>
          <t>ÖSTERGÖTLANDS LÄN</t>
        </is>
      </c>
      <c r="G255" t="inlineStr">
        <is>
          <t>FINSPÅNG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50063-2022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44860</v>
      </c>
      <c r="E256" s="1" t="n">
        <v>46222</v>
      </c>
      <c r="F256" t="inlineStr">
        <is>
          <t>ÖSTERGÖTLANDS LÄN</t>
        </is>
      </c>
      <c r="G256" t="inlineStr">
        <is>
          <t>FINSPÅNG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46222</v>
      </c>
      <c r="F257" t="inlineStr">
        <is>
          <t>ÖSTERGÖTLANDS LÄN</t>
        </is>
      </c>
      <c r="G257" t="inlineStr">
        <is>
          <t>FINSPÅNG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46222</v>
      </c>
      <c r="F258" t="inlineStr">
        <is>
          <t>ÖSTERGÖTLANDS LÄN</t>
        </is>
      </c>
      <c r="G258" t="inlineStr">
        <is>
          <t>FINSPÅNG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25877-2024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45467</v>
      </c>
      <c r="E259" s="1" t="n">
        <v>46222</v>
      </c>
      <c r="F259" t="inlineStr">
        <is>
          <t>ÖSTERGÖTLANDS LÄN</t>
        </is>
      </c>
      <c r="G259" t="inlineStr">
        <is>
          <t>FINSPÅNG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27699-2023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45095</v>
      </c>
      <c r="E260" s="1" t="n">
        <v>46222</v>
      </c>
      <c r="F260" t="inlineStr">
        <is>
          <t>ÖSTERGÖTLANDS LÄN</t>
        </is>
      </c>
      <c r="G260" t="inlineStr">
        <is>
          <t>FINSPÅNG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55812-2021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44476</v>
      </c>
      <c r="E261" s="1" t="n">
        <v>46222</v>
      </c>
      <c r="F261" t="inlineStr">
        <is>
          <t>ÖSTERGÖTLANDS LÄN</t>
        </is>
      </c>
      <c r="G261" t="inlineStr">
        <is>
          <t>FINSPÅNG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45463</v>
      </c>
      <c r="E262" s="1" t="n">
        <v>46222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45337</v>
      </c>
      <c r="E263" s="1" t="n">
        <v>46222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19160-2024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46222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19170-2024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45428</v>
      </c>
      <c r="E265" s="1" t="n">
        <v>46222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46222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13.6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45407-2022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44844</v>
      </c>
      <c r="E267" s="1" t="n">
        <v>46222</v>
      </c>
      <c r="F267" t="inlineStr">
        <is>
          <t>ÖSTERGÖTLANDS LÄN</t>
        </is>
      </c>
      <c r="G267" t="inlineStr">
        <is>
          <t>FINSPÅNG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45411-2022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46222</v>
      </c>
      <c r="F268" t="inlineStr">
        <is>
          <t>ÖSTERGÖTLANDS LÄN</t>
        </is>
      </c>
      <c r="G268" t="inlineStr">
        <is>
          <t>FINSPÅNG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50542-2022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46222</v>
      </c>
      <c r="F269" t="inlineStr">
        <is>
          <t>ÖSTERGÖTLANDS LÄN</t>
        </is>
      </c>
      <c r="G269" t="inlineStr">
        <is>
          <t>FINSPÅNG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46222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56246-2022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46222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56288-2022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44887</v>
      </c>
      <c r="E272" s="1" t="n">
        <v>46222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46222</v>
      </c>
      <c r="F273" t="inlineStr">
        <is>
          <t>ÖSTERGÖTLANDS LÄN</t>
        </is>
      </c>
      <c r="G273" t="inlineStr">
        <is>
          <t>FINSPÅNG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50341-2022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46222</v>
      </c>
      <c r="F274" t="inlineStr">
        <is>
          <t>ÖSTERGÖTLANDS LÄN</t>
        </is>
      </c>
      <c r="G274" t="inlineStr">
        <is>
          <t>FINSPÅNG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14866-2022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44656</v>
      </c>
      <c r="E275" s="1" t="n">
        <v>46222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46222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12216-2022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46222</v>
      </c>
      <c r="F277" t="inlineStr">
        <is>
          <t>ÖSTERGÖTLANDS LÄN</t>
        </is>
      </c>
      <c r="G277" t="inlineStr">
        <is>
          <t>FINSPÅNG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59971-2024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46222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46222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55457-2024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46222</v>
      </c>
      <c r="F280" t="inlineStr">
        <is>
          <t>ÖSTERGÖTLANDS LÄN</t>
        </is>
      </c>
      <c r="G280" t="inlineStr">
        <is>
          <t>FINSPÅNG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46040</v>
      </c>
      <c r="E281" s="1" t="n">
        <v>46222</v>
      </c>
      <c r="F281" t="inlineStr">
        <is>
          <t>ÖSTERGÖTLANDS LÄN</t>
        </is>
      </c>
      <c r="G281" t="inlineStr">
        <is>
          <t>FINSPÅNG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6697-2023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46222</v>
      </c>
      <c r="F282" t="inlineStr">
        <is>
          <t>ÖSTERGÖTLANDS LÄN</t>
        </is>
      </c>
      <c r="G282" t="inlineStr">
        <is>
          <t>FINSPÅNG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46222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57738-2022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46222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27258-2025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46222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27192-2025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46222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46222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44966</v>
      </c>
      <c r="E288" s="1" t="n">
        <v>46222</v>
      </c>
      <c r="F288" t="inlineStr">
        <is>
          <t>ÖSTERGÖTLANDS LÄN</t>
        </is>
      </c>
      <c r="G288" t="inlineStr">
        <is>
          <t>FINSPÅNG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46222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46222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40063-2024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46222</v>
      </c>
      <c r="F291" t="inlineStr">
        <is>
          <t>ÖSTERGÖTLANDS LÄN</t>
        </is>
      </c>
      <c r="G291" t="inlineStr">
        <is>
          <t>FINSPÅNG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46222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59468-2021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46222</v>
      </c>
      <c r="F293" t="inlineStr">
        <is>
          <t>ÖSTERGÖTLANDS LÄN</t>
        </is>
      </c>
      <c r="G293" t="inlineStr">
        <is>
          <t>FINSPÅNG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39137-2025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46222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46222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17104-2022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44677</v>
      </c>
      <c r="E296" s="1" t="n">
        <v>46222</v>
      </c>
      <c r="F296" t="inlineStr">
        <is>
          <t>ÖSTERGÖTLANDS LÄN</t>
        </is>
      </c>
      <c r="G296" t="inlineStr">
        <is>
          <t>FINSPÅNG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28508-2025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46222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55231-2024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45621</v>
      </c>
      <c r="E298" s="1" t="n">
        <v>46222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28428-2025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45819</v>
      </c>
      <c r="E299" s="1" t="n">
        <v>46222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46222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40296-2024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46222</v>
      </c>
      <c r="F301" t="inlineStr">
        <is>
          <t>ÖSTERGÖTLANDS LÄN</t>
        </is>
      </c>
      <c r="G301" t="inlineStr">
        <is>
          <t>FINSPÅNG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28792-2025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46222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29419-2025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46222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46222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46222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29454-2025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46222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46222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29430-2025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46222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29441-2025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46222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8193-2025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46222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Allmännings- och besparingsskogar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42785-2024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46222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46222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46222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40006-2025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46222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40557-2025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46222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46222</v>
      </c>
      <c r="F316" t="inlineStr">
        <is>
          <t>ÖSTERGÖTLANDS LÄN</t>
        </is>
      </c>
      <c r="G316" t="inlineStr">
        <is>
          <t>FINSPÅNG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46222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19263-2024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46222</v>
      </c>
      <c r="F318" t="inlineStr">
        <is>
          <t>ÖSTERGÖTLANDS LÄN</t>
        </is>
      </c>
      <c r="G318" t="inlineStr">
        <is>
          <t>FINSPÅNG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53323-2023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46222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41204-2025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46222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45343</v>
      </c>
      <c r="E321" s="1" t="n">
        <v>46222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21517-2024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45441</v>
      </c>
      <c r="E322" s="1" t="n">
        <v>46222</v>
      </c>
      <c r="F322" t="inlineStr">
        <is>
          <t>ÖSTERGÖTLANDS LÄN</t>
        </is>
      </c>
      <c r="G322" t="inlineStr">
        <is>
          <t>FINSPÅNG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21532-2024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45441</v>
      </c>
      <c r="E323" s="1" t="n">
        <v>46222</v>
      </c>
      <c r="F323" t="inlineStr">
        <is>
          <t>ÖSTERGÖTLANDS LÄN</t>
        </is>
      </c>
      <c r="G323" t="inlineStr">
        <is>
          <t>FINSPÅNG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46222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42202-2023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45179</v>
      </c>
      <c r="E325" s="1" t="n">
        <v>46222</v>
      </c>
      <c r="F325" t="inlineStr">
        <is>
          <t>ÖSTERGÖTLANDS LÄN</t>
        </is>
      </c>
      <c r="G325" t="inlineStr">
        <is>
          <t>FINSPÅNG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42205-2023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46222</v>
      </c>
      <c r="F326" t="inlineStr">
        <is>
          <t>ÖSTERGÖTLANDS LÄN</t>
        </is>
      </c>
      <c r="G326" t="inlineStr">
        <is>
          <t>FINSPÅNG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46222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46222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46222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42289-2025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46222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46222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42030-2025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46222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26087-2022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46222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25420-2022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44732</v>
      </c>
      <c r="E335" s="1" t="n">
        <v>46222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46222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46222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46222</v>
      </c>
      <c r="F338" t="inlineStr">
        <is>
          <t>ÖSTERGÖTLANDS LÄN</t>
        </is>
      </c>
      <c r="G338" t="inlineStr">
        <is>
          <t>FINSPÅNG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46222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42452-2025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46222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46222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42432-2025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46222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46222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46222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46222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61998-2022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44918</v>
      </c>
      <c r="E346" s="1" t="n">
        <v>46222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7484-2025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46222</v>
      </c>
      <c r="F347" t="inlineStr">
        <is>
          <t>ÖSTERGÖTLANDS LÄN</t>
        </is>
      </c>
      <c r="G347" t="inlineStr">
        <is>
          <t>FINSPÅNG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46222</v>
      </c>
      <c r="F348" t="inlineStr">
        <is>
          <t>ÖSTERGÖTLANDS LÄN</t>
        </is>
      </c>
      <c r="G348" t="inlineStr">
        <is>
          <t>FINSPÅNG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13671-2023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46222</v>
      </c>
      <c r="F349" t="inlineStr">
        <is>
          <t>ÖSTERGÖTLANDS LÄN</t>
        </is>
      </c>
      <c r="G349" t="inlineStr">
        <is>
          <t>FINSPÅNG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8937-2022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44614</v>
      </c>
      <c r="E350" s="1" t="n">
        <v>46222</v>
      </c>
      <c r="F350" t="inlineStr">
        <is>
          <t>ÖSTERGÖTLANDS LÄN</t>
        </is>
      </c>
      <c r="G350" t="inlineStr">
        <is>
          <t>FINSPÅNG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18657-2024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45426</v>
      </c>
      <c r="E351" s="1" t="n">
        <v>46222</v>
      </c>
      <c r="F351" t="inlineStr">
        <is>
          <t>ÖSTERGÖTLANDS LÄN</t>
        </is>
      </c>
      <c r="G351" t="inlineStr">
        <is>
          <t>FINSPÅNG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17557-2022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44679</v>
      </c>
      <c r="E352" s="1" t="n">
        <v>46222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24192-2022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46222</v>
      </c>
      <c r="F353" t="inlineStr">
        <is>
          <t>ÖSTERGÖTLANDS LÄN</t>
        </is>
      </c>
      <c r="G353" t="inlineStr">
        <is>
          <t>FINSPÅNG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33159-2025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46222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51435-2024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45604</v>
      </c>
      <c r="E355" s="1" t="n">
        <v>46222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53123-2021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44467</v>
      </c>
      <c r="E356" s="1" t="n">
        <v>46222</v>
      </c>
      <c r="F356" t="inlineStr">
        <is>
          <t>ÖSTERGÖTLANDS LÄN</t>
        </is>
      </c>
      <c r="G356" t="inlineStr">
        <is>
          <t>FINSPÅNG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14454-2022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44653</v>
      </c>
      <c r="E357" s="1" t="n">
        <v>46222</v>
      </c>
      <c r="F357" t="inlineStr">
        <is>
          <t>ÖSTERGÖTLANDS LÄN</t>
        </is>
      </c>
      <c r="G357" t="inlineStr">
        <is>
          <t>FINSPÅNG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46222</v>
      </c>
      <c r="F358" t="inlineStr">
        <is>
          <t>ÖSTERGÖTLANDS LÄN</t>
        </is>
      </c>
      <c r="G358" t="inlineStr">
        <is>
          <t>FINSPÅNG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17578-2024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45415</v>
      </c>
      <c r="E359" s="1" t="n">
        <v>46222</v>
      </c>
      <c r="F359" t="inlineStr">
        <is>
          <t>ÖSTERGÖTLANDS LÄN</t>
        </is>
      </c>
      <c r="G359" t="inlineStr">
        <is>
          <t>FINSPÅNG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46222</v>
      </c>
      <c r="F360" t="inlineStr">
        <is>
          <t>ÖSTERGÖTLANDS LÄN</t>
        </is>
      </c>
      <c r="G360" t="inlineStr">
        <is>
          <t>FINSPÅNG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34309-2025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46222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46222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22437-2023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45070</v>
      </c>
      <c r="E363" s="1" t="n">
        <v>46222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46149-2025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46222</v>
      </c>
      <c r="F364" t="inlineStr">
        <is>
          <t>ÖSTERGÖTLANDS LÄN</t>
        </is>
      </c>
      <c r="G364" t="inlineStr">
        <is>
          <t>FINSPÅNG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50356-2024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46222</v>
      </c>
      <c r="F365" t="inlineStr">
        <is>
          <t>ÖSTERGÖTLANDS LÄN</t>
        </is>
      </c>
      <c r="G365" t="inlineStr">
        <is>
          <t>FINSPÅNG</t>
        </is>
      </c>
      <c r="I365" t="n">
        <v>6.9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64103-2023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46222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18261-2024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45421</v>
      </c>
      <c r="E367" s="1" t="n">
        <v>46222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7269-2024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45344</v>
      </c>
      <c r="E368" s="1" t="n">
        <v>46222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20831-2025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45776</v>
      </c>
      <c r="E369" s="1" t="n">
        <v>46222</v>
      </c>
      <c r="F369" t="inlineStr">
        <is>
          <t>ÖSTERGÖTLANDS LÄN</t>
        </is>
      </c>
      <c r="G369" t="inlineStr">
        <is>
          <t>FINSPÅNG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45257</v>
      </c>
      <c r="E370" s="1" t="n">
        <v>46222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35279-2025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45853</v>
      </c>
      <c r="E371" s="1" t="n">
        <v>46222</v>
      </c>
      <c r="F371" t="inlineStr">
        <is>
          <t>ÖSTERGÖTLANDS LÄN</t>
        </is>
      </c>
      <c r="G371" t="inlineStr">
        <is>
          <t>FINSPÅNG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35375-2025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45854</v>
      </c>
      <c r="E372" s="1" t="n">
        <v>46222</v>
      </c>
      <c r="F372" t="inlineStr">
        <is>
          <t>ÖSTERGÖTLANDS LÄN</t>
        </is>
      </c>
      <c r="G372" t="inlineStr">
        <is>
          <t>FINSPÅNG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35492-2025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45855</v>
      </c>
      <c r="E373" s="1" t="n">
        <v>46222</v>
      </c>
      <c r="F373" t="inlineStr">
        <is>
          <t>ÖSTERGÖTLANDS LÄN</t>
        </is>
      </c>
      <c r="G373" t="inlineStr">
        <is>
          <t>FINSPÅNG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35374-2025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45854</v>
      </c>
      <c r="E374" s="1" t="n">
        <v>46222</v>
      </c>
      <c r="F374" t="inlineStr">
        <is>
          <t>ÖSTERGÖTLANDS LÄN</t>
        </is>
      </c>
      <c r="G374" t="inlineStr">
        <is>
          <t>FINSPÅNG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1020-2024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46222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33997-2024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46222</v>
      </c>
      <c r="F376" t="inlineStr">
        <is>
          <t>ÖSTERGÖTLANDS LÄN</t>
        </is>
      </c>
      <c r="G376" t="inlineStr">
        <is>
          <t>FINSPÅNG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45095</v>
      </c>
      <c r="E377" s="1" t="n">
        <v>46222</v>
      </c>
      <c r="F377" t="inlineStr">
        <is>
          <t>ÖSTERGÖTLANDS LÄN</t>
        </is>
      </c>
      <c r="G377" t="inlineStr">
        <is>
          <t>FINSPÅNG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47567-2025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45931</v>
      </c>
      <c r="E378" s="1" t="n">
        <v>46222</v>
      </c>
      <c r="F378" t="inlineStr">
        <is>
          <t>ÖSTERGÖTLANDS LÄN</t>
        </is>
      </c>
      <c r="G378" t="inlineStr">
        <is>
          <t>FINSPÅNG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25184-2023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46222</v>
      </c>
      <c r="F379" t="inlineStr">
        <is>
          <t>ÖSTERGÖTLANDS LÄN</t>
        </is>
      </c>
      <c r="G379" t="inlineStr">
        <is>
          <t>FINSPÅNG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46222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31043-2025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46222</v>
      </c>
      <c r="F381" t="inlineStr">
        <is>
          <t>ÖSTERGÖTLANDS LÄN</t>
        </is>
      </c>
      <c r="G381" t="inlineStr">
        <is>
          <t>FINSPÅNG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35970-2025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45863</v>
      </c>
      <c r="E382" s="1" t="n">
        <v>46222</v>
      </c>
      <c r="F382" t="inlineStr">
        <is>
          <t>ÖSTERGÖTLANDS LÄN</t>
        </is>
      </c>
      <c r="G382" t="inlineStr">
        <is>
          <t>FINSPÅNG</t>
        </is>
      </c>
      <c r="I382" t="n">
        <v>22.6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22586-2023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46222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58984-2022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46222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39896-2023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46222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23249-2023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46222</v>
      </c>
      <c r="F386" t="inlineStr">
        <is>
          <t>ÖSTERGÖTLANDS LÄN</t>
        </is>
      </c>
      <c r="G386" t="inlineStr">
        <is>
          <t>FINSPÅNG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46222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45935</v>
      </c>
      <c r="E388" s="1" t="n">
        <v>46222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36593-2025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45870</v>
      </c>
      <c r="E389" s="1" t="n">
        <v>46222</v>
      </c>
      <c r="F389" t="inlineStr">
        <is>
          <t>ÖSTERGÖTLANDS LÄN</t>
        </is>
      </c>
      <c r="G389" t="inlineStr">
        <is>
          <t>FINSPÅNG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7269-2026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46222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Övriga Aktiebolag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46222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28880-2025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45820</v>
      </c>
      <c r="E392" s="1" t="n">
        <v>46222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36592-2025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46222</v>
      </c>
      <c r="F393" t="inlineStr">
        <is>
          <t>ÖSTERGÖTLANDS LÄN</t>
        </is>
      </c>
      <c r="G393" t="inlineStr">
        <is>
          <t>FINSPÅNG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45665</v>
      </c>
      <c r="E394" s="1" t="n">
        <v>46222</v>
      </c>
      <c r="F394" t="inlineStr">
        <is>
          <t>ÖSTERGÖTLANDS LÄN</t>
        </is>
      </c>
      <c r="G394" t="inlineStr">
        <is>
          <t>FINSPÅNG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34417-2025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45846</v>
      </c>
      <c r="E395" s="1" t="n">
        <v>46222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14241-2023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46222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32795-2024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45516</v>
      </c>
      <c r="E398" s="1" t="n">
        <v>46222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8535-2025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46222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34941-2023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46222</v>
      </c>
      <c r="F400" t="inlineStr">
        <is>
          <t>ÖSTERGÖTLANDS LÄN</t>
        </is>
      </c>
      <c r="G400" t="inlineStr">
        <is>
          <t>FINSPÅNG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50395-2025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45944</v>
      </c>
      <c r="E401" s="1" t="n">
        <v>46222</v>
      </c>
      <c r="F401" t="inlineStr">
        <is>
          <t>ÖSTERGÖTLANDS LÄN</t>
        </is>
      </c>
      <c r="G401" t="inlineStr">
        <is>
          <t>FINSPÅNG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37742-2025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46222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37679-2025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46222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46222</v>
      </c>
      <c r="F404" t="inlineStr">
        <is>
          <t>ÖSTERGÖTLANDS LÄN</t>
        </is>
      </c>
      <c r="G404" t="inlineStr">
        <is>
          <t>FINSPÅNG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53945-2024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45616</v>
      </c>
      <c r="E405" s="1" t="n">
        <v>46222</v>
      </c>
      <c r="F405" t="inlineStr">
        <is>
          <t>ÖSTERGÖTLANDS LÄN</t>
        </is>
      </c>
      <c r="G405" t="inlineStr">
        <is>
          <t>FINSPÅNG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48691-2024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46222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Övriga Aktiebolag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37936-2025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45881</v>
      </c>
      <c r="E407" s="1" t="n">
        <v>46222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Naturvårdsverket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45646</v>
      </c>
      <c r="E408" s="1" t="n">
        <v>46222</v>
      </c>
      <c r="F408" t="inlineStr">
        <is>
          <t>ÖSTERGÖTLANDS LÄN</t>
        </is>
      </c>
      <c r="G408" t="inlineStr">
        <is>
          <t>FINSPÅNG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7559-2026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46060</v>
      </c>
      <c r="E409" s="1" t="n">
        <v>46222</v>
      </c>
      <c r="F409" t="inlineStr">
        <is>
          <t>ÖSTERGÖTLANDS LÄN</t>
        </is>
      </c>
      <c r="G409" t="inlineStr">
        <is>
          <t>FINSPÅNG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31323-2022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44774</v>
      </c>
      <c r="E410" s="1" t="n">
        <v>46222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27697-2023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46222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27699-2023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45095</v>
      </c>
      <c r="E412" s="1" t="n">
        <v>46222</v>
      </c>
      <c r="F412" t="inlineStr">
        <is>
          <t>ÖSTERGÖTLANDS LÄN</t>
        </is>
      </c>
      <c r="G412" t="inlineStr">
        <is>
          <t>FINSPÅNG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51508-2025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46222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8403-2025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45709</v>
      </c>
      <c r="E414" s="1" t="n">
        <v>46222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38231-2025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46222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46222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46058</v>
      </c>
      <c r="E417" s="1" t="n">
        <v>46222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Övriga Aktiebolag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8247-2026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46222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73260-2021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44550</v>
      </c>
      <c r="E419" s="1" t="n">
        <v>46222</v>
      </c>
      <c r="F419" t="inlineStr">
        <is>
          <t>ÖSTERGÖTLANDS LÄN</t>
        </is>
      </c>
      <c r="G419" t="inlineStr">
        <is>
          <t>FINSPÅNG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63321-2021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44508</v>
      </c>
      <c r="E420" s="1" t="n">
        <v>46222</v>
      </c>
      <c r="F420" t="inlineStr">
        <is>
          <t>ÖSTERGÖTLANDS LÄN</t>
        </is>
      </c>
      <c r="G420" t="inlineStr">
        <is>
          <t>FINSPÅNG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8228-2026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46222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8245-2026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46222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46222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7884-2023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46222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8083-2026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46222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8270-2026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46222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Sveaskog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8079-2026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46222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8238-2026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46222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Sveaskog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8266-2026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46222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Sveaskog</t>
        </is>
      </c>
      <c r="I429" t="n">
        <v>10.5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8529-2026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46222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13084-2023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46222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35346-2024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46222</v>
      </c>
      <c r="F432" t="inlineStr">
        <is>
          <t>ÖSTERGÖTLANDS LÄN</t>
        </is>
      </c>
      <c r="G432" t="inlineStr">
        <is>
          <t>FINSPÅNG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8924-2025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45713</v>
      </c>
      <c r="E433" s="1" t="n">
        <v>46222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8553-2026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46222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52659-2025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46222</v>
      </c>
      <c r="F435" t="inlineStr">
        <is>
          <t>ÖSTERGÖTLANDS LÄN</t>
        </is>
      </c>
      <c r="G435" t="inlineStr">
        <is>
          <t>FINSPÅNG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15097-2025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46222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9084-2026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46069</v>
      </c>
      <c r="E437" s="1" t="n">
        <v>46222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35598-2023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46222</v>
      </c>
      <c r="F438" t="inlineStr">
        <is>
          <t>ÖSTERGÖTLANDS LÄN</t>
        </is>
      </c>
      <c r="G438" t="inlineStr">
        <is>
          <t>FINSPÅNG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30271-2022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44759</v>
      </c>
      <c r="E439" s="1" t="n">
        <v>46222</v>
      </c>
      <c r="F439" t="inlineStr">
        <is>
          <t>ÖSTERGÖTLANDS LÄN</t>
        </is>
      </c>
      <c r="G439" t="inlineStr">
        <is>
          <t>FINSPÅNG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9173-2026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46222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45243-2022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46222</v>
      </c>
      <c r="F441" t="inlineStr">
        <is>
          <t>ÖSTERGÖTLANDS LÄN</t>
        </is>
      </c>
      <c r="G441" t="inlineStr">
        <is>
          <t>FINSPÅNG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9206-2026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46222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41397-2021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44424</v>
      </c>
      <c r="E443" s="1" t="n">
        <v>46222</v>
      </c>
      <c r="F443" t="inlineStr">
        <is>
          <t>ÖSTERGÖTLANDS LÄN</t>
        </is>
      </c>
      <c r="G443" t="inlineStr">
        <is>
          <t>FINSPÅNG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46222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4754-2025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46222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53545-2025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46222</v>
      </c>
      <c r="F446" t="inlineStr">
        <is>
          <t>ÖSTERGÖTLANDS LÄN</t>
        </is>
      </c>
      <c r="G446" t="inlineStr">
        <is>
          <t>FINSPÅNG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55612-2021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44476</v>
      </c>
      <c r="E447" s="1" t="n">
        <v>46222</v>
      </c>
      <c r="F447" t="inlineStr">
        <is>
          <t>ÖSTERGÖTLANDS LÄN</t>
        </is>
      </c>
      <c r="G447" t="inlineStr">
        <is>
          <t>FINSPÅNG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54609-2021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44473</v>
      </c>
      <c r="E448" s="1" t="n">
        <v>46222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40194-2022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46222</v>
      </c>
      <c r="F449" t="inlineStr">
        <is>
          <t>ÖSTERGÖTLANDS LÄN</t>
        </is>
      </c>
      <c r="G449" t="inlineStr">
        <is>
          <t>FINSPÅNG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18306-2023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45041</v>
      </c>
      <c r="E450" s="1" t="n">
        <v>46222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Naturvårdsverket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46222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10148-2025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46222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4748-2025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46222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9934-2026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46073</v>
      </c>
      <c r="E454" s="1" t="n">
        <v>46222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10296-2026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46222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10313-2026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46222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43318-2022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46222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49677-2022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44862</v>
      </c>
      <c r="E458" s="1" t="n">
        <v>46222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7788-2023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46222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53821-2022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44880</v>
      </c>
      <c r="E460" s="1" t="n">
        <v>46222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8611-2025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45710</v>
      </c>
      <c r="E461" s="1" t="n">
        <v>46222</v>
      </c>
      <c r="F461" t="inlineStr">
        <is>
          <t>ÖSTERGÖTLANDS LÄN</t>
        </is>
      </c>
      <c r="G461" t="inlineStr">
        <is>
          <t>FINSPÅNG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55292-2025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45969</v>
      </c>
      <c r="E462" s="1" t="n">
        <v>46222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10872-2026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46222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55431-2025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46222</v>
      </c>
      <c r="F464" t="inlineStr">
        <is>
          <t>ÖSTERGÖTLANDS LÄN</t>
        </is>
      </c>
      <c r="G464" t="inlineStr">
        <is>
          <t>FINSPÅNG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45314-2023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45191</v>
      </c>
      <c r="E465" s="1" t="n">
        <v>46222</v>
      </c>
      <c r="F465" t="inlineStr">
        <is>
          <t>ÖSTERGÖTLANDS LÄN</t>
        </is>
      </c>
      <c r="G465" t="inlineStr">
        <is>
          <t>FINSPÅNG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11063-2026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46222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19529-2025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45770</v>
      </c>
      <c r="E467" s="1" t="n">
        <v>46222</v>
      </c>
      <c r="F467" t="inlineStr">
        <is>
          <t>ÖSTERGÖTLANDS LÄN</t>
        </is>
      </c>
      <c r="G467" t="inlineStr">
        <is>
          <t>FINSPÅNG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46222</v>
      </c>
      <c r="F468" t="inlineStr">
        <is>
          <t>ÖSTERGÖTLANDS LÄN</t>
        </is>
      </c>
      <c r="G468" t="inlineStr">
        <is>
          <t>FINSPÅNG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11251-2026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46222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54727-2023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46222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54730-2023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45236</v>
      </c>
      <c r="E471" s="1" t="n">
        <v>46222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56404-2025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46222</v>
      </c>
      <c r="F472" t="inlineStr">
        <is>
          <t>ÖSTERGÖTLANDS LÄN</t>
        </is>
      </c>
      <c r="G472" t="inlineStr">
        <is>
          <t>FINSPÅNG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54923-2022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46222</v>
      </c>
      <c r="F473" t="inlineStr">
        <is>
          <t>ÖSTERGÖTLANDS LÄN</t>
        </is>
      </c>
      <c r="G473" t="inlineStr">
        <is>
          <t>FINSPÅNG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22354-2023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45070</v>
      </c>
      <c r="E474" s="1" t="n">
        <v>46222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46080</v>
      </c>
      <c r="E475" s="1" t="n">
        <v>46222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Kyrkan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11244-2026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46080</v>
      </c>
      <c r="E476" s="1" t="n">
        <v>46222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57290-2025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45979</v>
      </c>
      <c r="E477" s="1" t="n">
        <v>46222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42651-2024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46222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11211-2026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46222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11248-2026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46222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18494-2023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45042</v>
      </c>
      <c r="E481" s="1" t="n">
        <v>46222</v>
      </c>
      <c r="F481" t="inlineStr">
        <is>
          <t>ÖSTERGÖTLANDS LÄN</t>
        </is>
      </c>
      <c r="G481" t="inlineStr">
        <is>
          <t>FINSPÅNG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57666-2025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46222</v>
      </c>
      <c r="F482" t="inlineStr">
        <is>
          <t>ÖSTERGÖTLANDS LÄN</t>
        </is>
      </c>
      <c r="G482" t="inlineStr">
        <is>
          <t>FINSPÅNG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11839-2025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46222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53246-2022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46222</v>
      </c>
      <c r="F484" t="inlineStr">
        <is>
          <t>ÖSTERGÖTLANDS LÄN</t>
        </is>
      </c>
      <c r="G484" t="inlineStr">
        <is>
          <t>FINSPÅNG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46085</v>
      </c>
      <c r="E485" s="1" t="n">
        <v>46222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11814-2026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46085</v>
      </c>
      <c r="E486" s="1" t="n">
        <v>46222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12814-2022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44642</v>
      </c>
      <c r="E487" s="1" t="n">
        <v>46222</v>
      </c>
      <c r="F487" t="inlineStr">
        <is>
          <t>ÖSTERGÖTLANDS LÄN</t>
        </is>
      </c>
      <c r="G487" t="inlineStr">
        <is>
          <t>FINSPÅNG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11839-2026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46222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46222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70505-2021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44536</v>
      </c>
      <c r="E490" s="1" t="n">
        <v>46222</v>
      </c>
      <c r="F490" t="inlineStr">
        <is>
          <t>ÖSTERGÖTLANDS LÄN</t>
        </is>
      </c>
      <c r="G490" t="inlineStr">
        <is>
          <t>FINSPÅNG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58187-2025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45983</v>
      </c>
      <c r="E491" s="1" t="n">
        <v>46222</v>
      </c>
      <c r="F491" t="inlineStr">
        <is>
          <t>ÖSTERGÖTLANDS LÄN</t>
        </is>
      </c>
      <c r="G491" t="inlineStr">
        <is>
          <t>FINSPÅNG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58188-2025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45983</v>
      </c>
      <c r="E492" s="1" t="n">
        <v>46222</v>
      </c>
      <c r="F492" t="inlineStr">
        <is>
          <t>ÖSTERGÖTLANDS LÄN</t>
        </is>
      </c>
      <c r="G492" t="inlineStr">
        <is>
          <t>FINSPÅNG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58190-2025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45983</v>
      </c>
      <c r="E493" s="1" t="n">
        <v>46222</v>
      </c>
      <c r="F493" t="inlineStr">
        <is>
          <t>ÖSTERGÖTLANDS LÄN</t>
        </is>
      </c>
      <c r="G493" t="inlineStr">
        <is>
          <t>FINSPÅNG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13375-2025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45735</v>
      </c>
      <c r="E494" s="1" t="n">
        <v>46222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55052-2023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45237</v>
      </c>
      <c r="E495" s="1" t="n">
        <v>46222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Kyrkan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58709-2025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46222</v>
      </c>
      <c r="F496" t="inlineStr">
        <is>
          <t>ÖSTERGÖTLANDS LÄN</t>
        </is>
      </c>
      <c r="G496" t="inlineStr">
        <is>
          <t>FINSPÅNG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58189-2025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45983</v>
      </c>
      <c r="E497" s="1" t="n">
        <v>46222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58796-2025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46222</v>
      </c>
      <c r="F498" t="inlineStr">
        <is>
          <t>ÖSTERGÖTLANDS LÄN</t>
        </is>
      </c>
      <c r="G498" t="inlineStr">
        <is>
          <t>FINSPÅNG</t>
        </is>
      </c>
      <c r="I498" t="n">
        <v>9.300000000000001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58698-2025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46222</v>
      </c>
      <c r="F499" t="inlineStr">
        <is>
          <t>ÖSTERGÖTLANDS LÄN</t>
        </is>
      </c>
      <c r="G499" t="inlineStr">
        <is>
          <t>FINSPÅNG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23350-2023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45076</v>
      </c>
      <c r="E500" s="1" t="n">
        <v>46222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13378-2025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46222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44944</v>
      </c>
      <c r="E502" s="1" t="n">
        <v>46222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44595</v>
      </c>
      <c r="E503" s="1" t="n">
        <v>46222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Övriga Aktiebolag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54404-2023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45233</v>
      </c>
      <c r="E504" s="1" t="n">
        <v>46222</v>
      </c>
      <c r="F504" t="inlineStr">
        <is>
          <t>ÖSTERGÖTLANDS LÄN</t>
        </is>
      </c>
      <c r="G504" t="inlineStr">
        <is>
          <t>FINSPÅNG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13365-2026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46222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42204-2023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45179</v>
      </c>
      <c r="E506" s="1" t="n">
        <v>46222</v>
      </c>
      <c r="F506" t="inlineStr">
        <is>
          <t>ÖSTERGÖTLANDS LÄN</t>
        </is>
      </c>
      <c r="G506" t="inlineStr">
        <is>
          <t>FINSPÅNG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46222</v>
      </c>
      <c r="F507" t="inlineStr">
        <is>
          <t>ÖSTERGÖTLANDS LÄN</t>
        </is>
      </c>
      <c r="G507" t="inlineStr">
        <is>
          <t>FINSPÅNG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40306-2021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44419</v>
      </c>
      <c r="E508" s="1" t="n">
        <v>46222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44564</v>
      </c>
      <c r="E509" s="1" t="n">
        <v>46222</v>
      </c>
      <c r="F509" t="inlineStr">
        <is>
          <t>ÖSTERGÖTLANDS LÄN</t>
        </is>
      </c>
      <c r="G509" t="inlineStr">
        <is>
          <t>FINSPÅNG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46222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28024-2023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45095</v>
      </c>
      <c r="E511" s="1" t="n">
        <v>46222</v>
      </c>
      <c r="F511" t="inlineStr">
        <is>
          <t>ÖSTERGÖTLANDS LÄN</t>
        </is>
      </c>
      <c r="G511" t="inlineStr">
        <is>
          <t>FINSPÅNG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14064-2026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46222</v>
      </c>
      <c r="F512" t="inlineStr">
        <is>
          <t>ÖSTERGÖTLANDS LÄN</t>
        </is>
      </c>
      <c r="G512" t="inlineStr">
        <is>
          <t>FINSPÅNG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61202-2025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46222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46222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24510-2023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45082</v>
      </c>
      <c r="E515" s="1" t="n">
        <v>46222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14560-2023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45013</v>
      </c>
      <c r="E516" s="1" t="n">
        <v>46222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14078-2026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46222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25121-2023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45086</v>
      </c>
      <c r="E518" s="1" t="n">
        <v>46222</v>
      </c>
      <c r="F518" t="inlineStr">
        <is>
          <t>ÖSTERGÖTLANDS LÄN</t>
        </is>
      </c>
      <c r="G518" t="inlineStr">
        <is>
          <t>FINSPÅNG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4351-2022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44589</v>
      </c>
      <c r="E519" s="1" t="n">
        <v>46222</v>
      </c>
      <c r="F519" t="inlineStr">
        <is>
          <t>ÖSTERGÖTLANDS LÄN</t>
        </is>
      </c>
      <c r="G519" t="inlineStr">
        <is>
          <t>FINSPÅNG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46002</v>
      </c>
      <c r="E520" s="1" t="n">
        <v>46222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61683-2025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46222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46222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46002</v>
      </c>
      <c r="E523" s="1" t="n">
        <v>46222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61712-2025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46002</v>
      </c>
      <c r="E524" s="1" t="n">
        <v>46222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16229-2024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45407</v>
      </c>
      <c r="E525" s="1" t="n">
        <v>46222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62221-2025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46222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14125-2026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46222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62139-2025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46006</v>
      </c>
      <c r="E528" s="1" t="n">
        <v>46222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14117-2026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46222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Sveaskog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58142-2022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46222</v>
      </c>
      <c r="F530" t="inlineStr">
        <is>
          <t>ÖSTERGÖTLANDS LÄN</t>
        </is>
      </c>
      <c r="G530" t="inlineStr">
        <is>
          <t>FINSPÅNG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62235-2025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46222</v>
      </c>
      <c r="F531" t="inlineStr">
        <is>
          <t>ÖSTERGÖTLANDS LÄN</t>
        </is>
      </c>
      <c r="G531" t="inlineStr">
        <is>
          <t>FINSPÅNG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62242-2025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46222</v>
      </c>
      <c r="F532" t="inlineStr">
        <is>
          <t>ÖSTERGÖTLANDS LÄN</t>
        </is>
      </c>
      <c r="G532" t="inlineStr">
        <is>
          <t>FINSPÅNG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43744-2021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44433</v>
      </c>
      <c r="E533" s="1" t="n">
        <v>46222</v>
      </c>
      <c r="F533" t="inlineStr">
        <is>
          <t>ÖSTERGÖTLANDS LÄN</t>
        </is>
      </c>
      <c r="G533" t="inlineStr">
        <is>
          <t>FINSPÅNG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9003-2024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46222</v>
      </c>
      <c r="F534" t="inlineStr">
        <is>
          <t>ÖSTERGÖTLANDS LÄN</t>
        </is>
      </c>
      <c r="G534" t="inlineStr">
        <is>
          <t>FINSPÅNG</t>
        </is>
      </c>
      <c r="I534" t="n">
        <v>7.6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56309-2022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44887</v>
      </c>
      <c r="E535" s="1" t="n">
        <v>46222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60547-2023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46222</v>
      </c>
      <c r="F536" t="inlineStr">
        <is>
          <t>ÖSTERGÖTLANDS LÄN</t>
        </is>
      </c>
      <c r="G536" t="inlineStr">
        <is>
          <t>FINSPÅNG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63585-2023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45275</v>
      </c>
      <c r="E537" s="1" t="n">
        <v>46222</v>
      </c>
      <c r="F537" t="inlineStr">
        <is>
          <t>ÖSTERGÖTLANDS LÄN</t>
        </is>
      </c>
      <c r="G537" t="inlineStr">
        <is>
          <t>FINSPÅNG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25678-2024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45463</v>
      </c>
      <c r="E538" s="1" t="n">
        <v>46222</v>
      </c>
      <c r="F538" t="inlineStr">
        <is>
          <t>ÖSTERGÖTLANDS LÄN</t>
        </is>
      </c>
      <c r="G538" t="inlineStr">
        <is>
          <t>FINSPÅNG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11950-2023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44995</v>
      </c>
      <c r="E539" s="1" t="n">
        <v>46222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46222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28556-2023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46222</v>
      </c>
      <c r="F541" t="inlineStr">
        <is>
          <t>ÖSTERGÖTLANDS LÄN</t>
        </is>
      </c>
      <c r="G541" t="inlineStr">
        <is>
          <t>FINSPÅNG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31130-2023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46222</v>
      </c>
      <c r="F542" t="inlineStr">
        <is>
          <t>ÖSTERGÖTLANDS LÄN</t>
        </is>
      </c>
      <c r="G542" t="inlineStr">
        <is>
          <t>FINSPÅNG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11540-2023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46222</v>
      </c>
      <c r="F543" t="inlineStr">
        <is>
          <t>ÖSTERGÖTLANDS LÄN</t>
        </is>
      </c>
      <c r="G543" t="inlineStr">
        <is>
          <t>FINSPÅNG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6527-2023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44966</v>
      </c>
      <c r="E544" s="1" t="n">
        <v>46222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45293</v>
      </c>
      <c r="E545" s="1" t="n">
        <v>46222</v>
      </c>
      <c r="F545" t="inlineStr">
        <is>
          <t>ÖSTERGÖTLANDS LÄN</t>
        </is>
      </c>
      <c r="G545" t="inlineStr">
        <is>
          <t>FINSPÅNG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13821-2024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45391</v>
      </c>
      <c r="E546" s="1" t="n">
        <v>46222</v>
      </c>
      <c r="F546" t="inlineStr">
        <is>
          <t>ÖSTERGÖTLANDS LÄN</t>
        </is>
      </c>
      <c r="G546" t="inlineStr">
        <is>
          <t>FINSPÅNG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58367-2023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46222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35276-2025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45853</v>
      </c>
      <c r="E548" s="1" t="n">
        <v>46222</v>
      </c>
      <c r="F548" t="inlineStr">
        <is>
          <t>ÖSTERGÖTLANDS LÄN</t>
        </is>
      </c>
      <c r="G548" t="inlineStr">
        <is>
          <t>FINSPÅNG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46222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46030</v>
      </c>
      <c r="E550" s="1" t="n">
        <v>46222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44949</v>
      </c>
      <c r="E551" s="1" t="n">
        <v>46222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46029</v>
      </c>
      <c r="E552" s="1" t="n">
        <v>46222</v>
      </c>
      <c r="F552" t="inlineStr">
        <is>
          <t>ÖSTERGÖTLANDS LÄN</t>
        </is>
      </c>
      <c r="G552" t="inlineStr">
        <is>
          <t>FINSPÅNG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7743-2023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44973</v>
      </c>
      <c r="E553" s="1" t="n">
        <v>46222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46222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62158-2022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44922</v>
      </c>
      <c r="E555" s="1" t="n">
        <v>46222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28732-2023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46222</v>
      </c>
      <c r="F556" t="inlineStr">
        <is>
          <t>ÖSTERGÖTLANDS LÄN</t>
        </is>
      </c>
      <c r="G556" t="inlineStr">
        <is>
          <t>FINSPÅNG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46222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1583-2026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46222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15490-2026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46222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46222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6575-2024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46222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Övriga Aktiebolag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220-2024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45293</v>
      </c>
      <c r="E562" s="1" t="n">
        <v>46222</v>
      </c>
      <c r="F562" t="inlineStr">
        <is>
          <t>ÖSTERGÖTLANDS LÄN</t>
        </is>
      </c>
      <c r="G562" t="inlineStr">
        <is>
          <t>FINSPÅNG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46222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13826-2024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45391</v>
      </c>
      <c r="E564" s="1" t="n">
        <v>46222</v>
      </c>
      <c r="F564" t="inlineStr">
        <is>
          <t>ÖSTERGÖTLANDS LÄN</t>
        </is>
      </c>
      <c r="G564" t="inlineStr">
        <is>
          <t>FINSPÅNG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46222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17321-2022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44678</v>
      </c>
      <c r="E566" s="1" t="n">
        <v>46222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13229-2023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46222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Kyrkan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23821-2023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45078</v>
      </c>
      <c r="E568" s="1" t="n">
        <v>46222</v>
      </c>
      <c r="F568" t="inlineStr">
        <is>
          <t>ÖSTERGÖTLANDS LÄN</t>
        </is>
      </c>
      <c r="G568" t="inlineStr">
        <is>
          <t>FINSPÅNG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11541-2023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44993</v>
      </c>
      <c r="E569" s="1" t="n">
        <v>46222</v>
      </c>
      <c r="F569" t="inlineStr">
        <is>
          <t>ÖSTERGÖTLANDS LÄN</t>
        </is>
      </c>
      <c r="G569" t="inlineStr">
        <is>
          <t>FINSPÅNG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16355-2026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46222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33804-2023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45133</v>
      </c>
      <c r="E571" s="1" t="n">
        <v>46222</v>
      </c>
      <c r="F571" t="inlineStr">
        <is>
          <t>ÖSTERGÖTLANDS LÄN</t>
        </is>
      </c>
      <c r="G571" t="inlineStr">
        <is>
          <t>FINSPÅNG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73655-2021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44551</v>
      </c>
      <c r="E572" s="1" t="n">
        <v>46222</v>
      </c>
      <c r="F572" t="inlineStr">
        <is>
          <t>ÖSTERGÖTLANDS LÄN</t>
        </is>
      </c>
      <c r="G572" t="inlineStr">
        <is>
          <t>FINSPÅNG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22603-2024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45447</v>
      </c>
      <c r="E573" s="1" t="n">
        <v>46222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39655-2023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45167</v>
      </c>
      <c r="E574" s="1" t="n">
        <v>46222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Kyrkan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16849-2026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46222</v>
      </c>
      <c r="F575" t="inlineStr">
        <is>
          <t>ÖSTERGÖTLANDS LÄN</t>
        </is>
      </c>
      <c r="G575" t="inlineStr">
        <is>
          <t>FINSPÅNG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16902-2026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46113</v>
      </c>
      <c r="E576" s="1" t="n">
        <v>46222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1628-2023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44937</v>
      </c>
      <c r="E577" s="1" t="n">
        <v>46222</v>
      </c>
      <c r="F577" t="inlineStr">
        <is>
          <t>ÖSTERGÖTLANDS LÄN</t>
        </is>
      </c>
      <c r="G577" t="inlineStr">
        <is>
          <t>FINSPÅNG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17068-2026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46114</v>
      </c>
      <c r="E578" s="1" t="n">
        <v>46222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45314</v>
      </c>
      <c r="E579" s="1" t="n">
        <v>46222</v>
      </c>
      <c r="F579" t="inlineStr">
        <is>
          <t>ÖSTERGÖTLANDS LÄN</t>
        </is>
      </c>
      <c r="G579" t="inlineStr">
        <is>
          <t>FINSPÅNG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46114</v>
      </c>
      <c r="E580" s="1" t="n">
        <v>46222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16996-2026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46114</v>
      </c>
      <c r="E581" s="1" t="n">
        <v>46222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46222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18295-2023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45041</v>
      </c>
      <c r="E583" s="1" t="n">
        <v>46222</v>
      </c>
      <c r="F583" t="inlineStr">
        <is>
          <t>ÖSTERGÖTLANDS LÄN</t>
        </is>
      </c>
      <c r="G583" t="inlineStr">
        <is>
          <t>FINSPÅNG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17545-2026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46222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17594-2026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46121</v>
      </c>
      <c r="E585" s="1" t="n">
        <v>46222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21655-2023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45063</v>
      </c>
      <c r="E586" s="1" t="n">
        <v>46222</v>
      </c>
      <c r="F586" t="inlineStr">
        <is>
          <t>ÖSTERGÖTLANDS LÄN</t>
        </is>
      </c>
      <c r="G586" t="inlineStr">
        <is>
          <t>FINSPÅNG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31025-2023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46222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50670-2024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45601</v>
      </c>
      <c r="E588" s="1" t="n">
        <v>46222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18086-2026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46125</v>
      </c>
      <c r="E589" s="1" t="n">
        <v>46222</v>
      </c>
      <c r="F589" t="inlineStr">
        <is>
          <t>ÖSTERGÖTLANDS LÄN</t>
        </is>
      </c>
      <c r="G589" t="inlineStr">
        <is>
          <t>FINSPÅNG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17994-2023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45040</v>
      </c>
      <c r="E590" s="1" t="n">
        <v>46222</v>
      </c>
      <c r="F590" t="inlineStr">
        <is>
          <t>ÖSTERGÖTLANDS LÄN</t>
        </is>
      </c>
      <c r="G590" t="inlineStr">
        <is>
          <t>FINSPÅNG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17769-2026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46222</v>
      </c>
      <c r="F591" t="inlineStr">
        <is>
          <t>ÖSTERGÖTLANDS LÄN</t>
        </is>
      </c>
      <c r="G591" t="inlineStr">
        <is>
          <t>FINSPÅNG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15614-2023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45020</v>
      </c>
      <c r="E592" s="1" t="n">
        <v>46222</v>
      </c>
      <c r="F592" t="inlineStr">
        <is>
          <t>ÖSTERGÖTLANDS LÄN</t>
        </is>
      </c>
      <c r="G592" t="inlineStr">
        <is>
          <t>FINSPÅNG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48652-2024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46222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Övriga Aktiebolag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21907-2023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45068</v>
      </c>
      <c r="E594" s="1" t="n">
        <v>46222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36192-2023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46222</v>
      </c>
      <c r="F595" t="inlineStr">
        <is>
          <t>ÖSTERGÖTLANDS LÄN</t>
        </is>
      </c>
      <c r="G595" t="inlineStr">
        <is>
          <t>FINSPÅNG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46129</v>
      </c>
      <c r="E596" s="1" t="n">
        <v>46222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54581-2024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45617</v>
      </c>
      <c r="E597" s="1" t="n">
        <v>46222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45302</v>
      </c>
      <c r="E598" s="1" t="n">
        <v>46222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10206-2022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44622</v>
      </c>
      <c r="E599" s="1" t="n">
        <v>46222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18725-2026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46222</v>
      </c>
      <c r="F600" t="inlineStr">
        <is>
          <t>ÖSTERGÖTLANDS LÄN</t>
        </is>
      </c>
      <c r="G600" t="inlineStr">
        <is>
          <t>FINSPÅNG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44564</v>
      </c>
      <c r="E601" s="1" t="n">
        <v>46222</v>
      </c>
      <c r="F601" t="inlineStr">
        <is>
          <t>ÖSTERGÖTLANDS LÄN</t>
        </is>
      </c>
      <c r="G601" t="inlineStr">
        <is>
          <t>FINSPÅNG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44958</v>
      </c>
      <c r="E602" s="1" t="n">
        <v>46222</v>
      </c>
      <c r="F602" t="inlineStr">
        <is>
          <t>ÖSTERGÖTLANDS LÄN</t>
        </is>
      </c>
      <c r="G602" t="inlineStr">
        <is>
          <t>FINSPÅNG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27698-2023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45095</v>
      </c>
      <c r="E603" s="1" t="n">
        <v>46222</v>
      </c>
      <c r="F603" t="inlineStr">
        <is>
          <t>ÖSTERGÖTLANDS LÄN</t>
        </is>
      </c>
      <c r="G603" t="inlineStr">
        <is>
          <t>FINSPÅNG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65742-2021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44516</v>
      </c>
      <c r="E604" s="1" t="n">
        <v>46222</v>
      </c>
      <c r="F604" t="inlineStr">
        <is>
          <t>ÖSTERGÖTLANDS LÄN</t>
        </is>
      </c>
      <c r="G604" t="inlineStr">
        <is>
          <t>FINSPÅNG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18134-2023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45040</v>
      </c>
      <c r="E605" s="1" t="n">
        <v>46222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53670-2024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45615</v>
      </c>
      <c r="E606" s="1" t="n">
        <v>46222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25188-2023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45086</v>
      </c>
      <c r="E607" s="1" t="n">
        <v>46222</v>
      </c>
      <c r="F607" t="inlineStr">
        <is>
          <t>ÖSTERGÖTLANDS LÄN</t>
        </is>
      </c>
      <c r="G607" t="inlineStr">
        <is>
          <t>FINSPÅNG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7825-2025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45706</v>
      </c>
      <c r="E608" s="1" t="n">
        <v>46222</v>
      </c>
      <c r="F608" t="inlineStr">
        <is>
          <t>ÖSTERGÖTLANDS LÄN</t>
        </is>
      </c>
      <c r="G608" t="inlineStr">
        <is>
          <t>FINSPÅNG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5333-2025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45692</v>
      </c>
      <c r="E609" s="1" t="n">
        <v>46222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14142-2025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46222</v>
      </c>
      <c r="F610" t="inlineStr">
        <is>
          <t>ÖSTERGÖTLANDS LÄN</t>
        </is>
      </c>
      <c r="G610" t="inlineStr">
        <is>
          <t>FINSPÅNG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52561-2024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45609</v>
      </c>
      <c r="E611" s="1" t="n">
        <v>46222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40065-2024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45554</v>
      </c>
      <c r="E612" s="1" t="n">
        <v>46222</v>
      </c>
      <c r="F612" t="inlineStr">
        <is>
          <t>ÖSTERGÖTLANDS LÄN</t>
        </is>
      </c>
      <c r="G612" t="inlineStr">
        <is>
          <t>FINSPÅNG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43950-2025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46222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7826-2025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45706</v>
      </c>
      <c r="E614" s="1" t="n">
        <v>46222</v>
      </c>
      <c r="F614" t="inlineStr">
        <is>
          <t>ÖSTERGÖTLANDS LÄN</t>
        </is>
      </c>
      <c r="G614" t="inlineStr">
        <is>
          <t>FINSPÅNG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35278-2025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45853</v>
      </c>
      <c r="E615" s="1" t="n">
        <v>46222</v>
      </c>
      <c r="F615" t="inlineStr">
        <is>
          <t>ÖSTERGÖTLANDS LÄN</t>
        </is>
      </c>
      <c r="G615" t="inlineStr">
        <is>
          <t>FINSPÅNG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21722-2025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45783</v>
      </c>
      <c r="E616" s="1" t="n">
        <v>46222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39415-2024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45551</v>
      </c>
      <c r="E617" s="1" t="n">
        <v>46222</v>
      </c>
      <c r="F617" t="inlineStr">
        <is>
          <t>ÖSTERGÖTLANDS LÄN</t>
        </is>
      </c>
      <c r="G617" t="inlineStr">
        <is>
          <t>FINSPÅNG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19710-2026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46222</v>
      </c>
      <c r="F618" t="inlineStr">
        <is>
          <t>ÖSTERGÖTLANDS LÄN</t>
        </is>
      </c>
      <c r="G618" t="inlineStr">
        <is>
          <t>FINSPÅNG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10215-2022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44622</v>
      </c>
      <c r="E619" s="1" t="n">
        <v>46222</v>
      </c>
      <c r="F619" t="inlineStr">
        <is>
          <t>ÖSTERGÖTLANDS LÄN</t>
        </is>
      </c>
      <c r="G619" t="inlineStr">
        <is>
          <t>FINSPÅNG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23724-2023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45077</v>
      </c>
      <c r="E620" s="1" t="n">
        <v>46222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6635-2025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45700</v>
      </c>
      <c r="E621" s="1" t="n">
        <v>46222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48466-2023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46222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24806-2023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45084</v>
      </c>
      <c r="E623" s="1" t="n">
        <v>46222</v>
      </c>
      <c r="F623" t="inlineStr">
        <is>
          <t>ÖSTERGÖTLANDS LÄN</t>
        </is>
      </c>
      <c r="G623" t="inlineStr">
        <is>
          <t>FINSPÅNG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24012-2024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45456</v>
      </c>
      <c r="E624" s="1" t="n">
        <v>46222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41328-2023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45174</v>
      </c>
      <c r="E625" s="1" t="n">
        <v>46222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Kyrkan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61114-2024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46222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34758-2022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44795</v>
      </c>
      <c r="E627" s="1" t="n">
        <v>46222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Övriga Aktiebolag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25943-2026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46181</v>
      </c>
      <c r="E628" s="1" t="n">
        <v>46222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9635-2025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45715</v>
      </c>
      <c r="E629" s="1" t="n">
        <v>46222</v>
      </c>
      <c r="F629" t="inlineStr">
        <is>
          <t>ÖSTERGÖTLANDS LÄN</t>
        </is>
      </c>
      <c r="G629" t="inlineStr">
        <is>
          <t>FINSPÅNG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11730-2022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44634</v>
      </c>
      <c r="E630" s="1" t="n">
        <v>46222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32789-2024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45516</v>
      </c>
      <c r="E631" s="1" t="n">
        <v>46222</v>
      </c>
      <c r="F631" t="inlineStr">
        <is>
          <t>ÖSTERGÖTLANDS LÄN</t>
        </is>
      </c>
      <c r="G631" t="inlineStr">
        <is>
          <t>FINSPÅNG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18349-2025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45762</v>
      </c>
      <c r="E632" s="1" t="n">
        <v>46222</v>
      </c>
      <c r="F632" t="inlineStr">
        <is>
          <t>ÖSTERGÖTLANDS LÄN</t>
        </is>
      </c>
      <c r="G632" t="inlineStr">
        <is>
          <t>FINSPÅNG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41513-2024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46222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10083-2025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45719</v>
      </c>
      <c r="E634" s="1" t="n">
        <v>46222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35570-2023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45147</v>
      </c>
      <c r="E635" s="1" t="n">
        <v>46222</v>
      </c>
      <c r="F635" t="inlineStr">
        <is>
          <t>ÖSTERGÖTLANDS LÄN</t>
        </is>
      </c>
      <c r="G635" t="inlineStr">
        <is>
          <t>FINSPÅNG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31180-2025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45832</v>
      </c>
      <c r="E636" s="1" t="n">
        <v>46222</v>
      </c>
      <c r="F636" t="inlineStr">
        <is>
          <t>ÖSTERGÖTLANDS LÄN</t>
        </is>
      </c>
      <c r="G636" t="inlineStr">
        <is>
          <t>FINSPÅNG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48790-2023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45209</v>
      </c>
      <c r="E637" s="1" t="n">
        <v>46222</v>
      </c>
      <c r="F637" t="inlineStr">
        <is>
          <t>ÖSTERGÖTLANDS LÄN</t>
        </is>
      </c>
      <c r="G637" t="inlineStr">
        <is>
          <t>FINSPÅNG</t>
        </is>
      </c>
      <c r="I637" t="n">
        <v>14.6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48793-2023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45209</v>
      </c>
      <c r="E638" s="1" t="n">
        <v>46222</v>
      </c>
      <c r="F638" t="inlineStr">
        <is>
          <t>ÖSTERGÖTLANDS LÄN</t>
        </is>
      </c>
      <c r="G638" t="inlineStr">
        <is>
          <t>FINSPÅNG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56420-2023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45243</v>
      </c>
      <c r="E639" s="1" t="n">
        <v>46222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45660</v>
      </c>
      <c r="E640" s="1" t="n">
        <v>46222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Övriga Aktiebolag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28722-2023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45103</v>
      </c>
      <c r="E641" s="1" t="n">
        <v>46222</v>
      </c>
      <c r="F641" t="inlineStr">
        <is>
          <t>ÖSTERGÖTLANDS LÄN</t>
        </is>
      </c>
      <c r="G641" t="inlineStr">
        <is>
          <t>FINSPÅNG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59287-2023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46222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15824-2022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44664</v>
      </c>
      <c r="E643" s="1" t="n">
        <v>46222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63482-2023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45274</v>
      </c>
      <c r="E644" s="1" t="n">
        <v>46222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44767</v>
      </c>
      <c r="E645" s="1" t="n">
        <v>46222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10252-2025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45720</v>
      </c>
      <c r="E646" s="1" t="n">
        <v>46222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26247-2022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44735</v>
      </c>
      <c r="E647" s="1" t="n">
        <v>46222</v>
      </c>
      <c r="F647" t="inlineStr">
        <is>
          <t>ÖSTERGÖTLANDS LÄN</t>
        </is>
      </c>
      <c r="G647" t="inlineStr">
        <is>
          <t>FINSPÅNG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8236-2026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46064</v>
      </c>
      <c r="E648" s="1" t="n">
        <v>46222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25195-2022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44729</v>
      </c>
      <c r="E649" s="1" t="n">
        <v>46222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36191-2023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45149</v>
      </c>
      <c r="E650" s="1" t="n">
        <v>46222</v>
      </c>
      <c r="F650" t="inlineStr">
        <is>
          <t>ÖSTERGÖTLANDS LÄN</t>
        </is>
      </c>
      <c r="G650" t="inlineStr">
        <is>
          <t>FINSPÅNG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20821-2026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46222</v>
      </c>
      <c r="F651" t="inlineStr">
        <is>
          <t>ÖSTERGÖTLANDS LÄN</t>
        </is>
      </c>
      <c r="G651" t="inlineStr">
        <is>
          <t>FINSPÅNG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59799-2023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45257</v>
      </c>
      <c r="E652" s="1" t="n">
        <v>46222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20819-2026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46141</v>
      </c>
      <c r="E653" s="1" t="n">
        <v>46222</v>
      </c>
      <c r="F653" t="inlineStr">
        <is>
          <t>ÖSTERGÖTLANDS LÄN</t>
        </is>
      </c>
      <c r="G653" t="inlineStr">
        <is>
          <t>FINSPÅNG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46222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16680-2022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44672</v>
      </c>
      <c r="E655" s="1" t="n">
        <v>46222</v>
      </c>
      <c r="F655" t="inlineStr">
        <is>
          <t>ÖSTERGÖTLANDS LÄN</t>
        </is>
      </c>
      <c r="G655" t="inlineStr">
        <is>
          <t>FINSPÅNG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26905-2026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46185</v>
      </c>
      <c r="E656" s="1" t="n">
        <v>46222</v>
      </c>
      <c r="F656" t="inlineStr">
        <is>
          <t>ÖSTERGÖTLANDS LÄN</t>
        </is>
      </c>
      <c r="G656" t="inlineStr">
        <is>
          <t>FINSPÅNG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45308</v>
      </c>
      <c r="E657" s="1" t="n">
        <v>46222</v>
      </c>
      <c r="F657" t="inlineStr">
        <is>
          <t>ÖSTERGÖTLANDS LÄN</t>
        </is>
      </c>
      <c r="G657" t="inlineStr">
        <is>
          <t>FINSPÅNG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40319-2022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44823</v>
      </c>
      <c r="E658" s="1" t="n">
        <v>46222</v>
      </c>
      <c r="F658" t="inlineStr">
        <is>
          <t>ÖSTERGÖTLANDS LÄN</t>
        </is>
      </c>
      <c r="G658" t="inlineStr">
        <is>
          <t>FINSPÅNG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27018-2026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46222</v>
      </c>
      <c r="F659" t="inlineStr">
        <is>
          <t>ÖSTERGÖTLANDS LÄN</t>
        </is>
      </c>
      <c r="G659" t="inlineStr">
        <is>
          <t>FINSPÅNG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55980-2024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45623</v>
      </c>
      <c r="E660" s="1" t="n">
        <v>46222</v>
      </c>
      <c r="F660" t="inlineStr">
        <is>
          <t>ÖSTERGÖTLANDS LÄN</t>
        </is>
      </c>
      <c r="G660" t="inlineStr">
        <is>
          <t>FINSPÅNG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38613-2022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44813</v>
      </c>
      <c r="E661" s="1" t="n">
        <v>46222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43051-2022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44833</v>
      </c>
      <c r="E662" s="1" t="n">
        <v>46222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26195-2024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45468</v>
      </c>
      <c r="E663" s="1" t="n">
        <v>46222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27369-2026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46188</v>
      </c>
      <c r="E664" s="1" t="n">
        <v>46222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12483-2024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45379</v>
      </c>
      <c r="E665" s="1" t="n">
        <v>46222</v>
      </c>
      <c r="F665" t="inlineStr">
        <is>
          <t>ÖSTERGÖTLANDS LÄN</t>
        </is>
      </c>
      <c r="G665" t="inlineStr">
        <is>
          <t>FINSPÅNG</t>
        </is>
      </c>
      <c r="I665" t="n">
        <v>11.9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45309</v>
      </c>
      <c r="E666" s="1" t="n">
        <v>46222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45309</v>
      </c>
      <c r="E667" s="1" t="n">
        <v>46222</v>
      </c>
      <c r="F667" t="inlineStr">
        <is>
          <t>ÖSTERGÖTLANDS LÄN</t>
        </is>
      </c>
      <c r="G667" t="inlineStr">
        <is>
          <t>FINSPÅNG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45309</v>
      </c>
      <c r="E668" s="1" t="n">
        <v>46222</v>
      </c>
      <c r="F668" t="inlineStr">
        <is>
          <t>ÖSTERGÖTLANDS LÄN</t>
        </is>
      </c>
      <c r="G668" t="inlineStr">
        <is>
          <t>FINSPÅNG</t>
        </is>
      </c>
      <c r="I668" t="n">
        <v>15.1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59838-2023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45257</v>
      </c>
      <c r="E669" s="1" t="n">
        <v>46222</v>
      </c>
      <c r="F669" t="inlineStr">
        <is>
          <t>ÖSTERGÖTLANDS LÄN</t>
        </is>
      </c>
      <c r="G669" t="inlineStr">
        <is>
          <t>FINSPÅNG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45302</v>
      </c>
      <c r="E670" s="1" t="n">
        <v>46222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6731-2023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44966</v>
      </c>
      <c r="E671" s="1" t="n">
        <v>46222</v>
      </c>
      <c r="F671" t="inlineStr">
        <is>
          <t>ÖSTERGÖTLANDS LÄN</t>
        </is>
      </c>
      <c r="G671" t="inlineStr">
        <is>
          <t>FINSPÅNG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30922-2022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44767</v>
      </c>
      <c r="E672" s="1" t="n">
        <v>46222</v>
      </c>
      <c r="F672" t="inlineStr">
        <is>
          <t>ÖSTERGÖTLANDS LÄN</t>
        </is>
      </c>
      <c r="G672" t="inlineStr">
        <is>
          <t>FINSPÅNG</t>
        </is>
      </c>
      <c r="I672" t="n">
        <v>10.6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39205-2022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44817</v>
      </c>
      <c r="E673" s="1" t="n">
        <v>46222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17992-2023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45040</v>
      </c>
      <c r="E674" s="1" t="n">
        <v>46222</v>
      </c>
      <c r="F674" t="inlineStr">
        <is>
          <t>ÖSTERGÖTLANDS LÄN</t>
        </is>
      </c>
      <c r="G674" t="inlineStr">
        <is>
          <t>FINSPÅNG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5616-2022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44595</v>
      </c>
      <c r="E675" s="1" t="n">
        <v>46222</v>
      </c>
      <c r="F675" t="inlineStr">
        <is>
          <t>ÖSTERGÖTLANDS LÄN</t>
        </is>
      </c>
      <c r="G675" t="inlineStr">
        <is>
          <t>FINSPÅNG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8700-2025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45712</v>
      </c>
      <c r="E676" s="1" t="n">
        <v>46222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14110-2023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45009</v>
      </c>
      <c r="E677" s="1" t="n">
        <v>46222</v>
      </c>
      <c r="F677" t="inlineStr">
        <is>
          <t>ÖSTERGÖTLANDS LÄN</t>
        </is>
      </c>
      <c r="G677" t="inlineStr">
        <is>
          <t>FINSPÅNG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24804-2023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45084</v>
      </c>
      <c r="E678" s="1" t="n">
        <v>46222</v>
      </c>
      <c r="F678" t="inlineStr">
        <is>
          <t>ÖSTERGÖTLANDS LÄN</t>
        </is>
      </c>
      <c r="G678" t="inlineStr">
        <is>
          <t>FINSPÅNG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33027-2022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44782</v>
      </c>
      <c r="E679" s="1" t="n">
        <v>46222</v>
      </c>
      <c r="F679" t="inlineStr">
        <is>
          <t>ÖSTERGÖTLANDS LÄN</t>
        </is>
      </c>
      <c r="G679" t="inlineStr">
        <is>
          <t>FINSPÅNG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46222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Kommuner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22714-2022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44714</v>
      </c>
      <c r="E681" s="1" t="n">
        <v>46222</v>
      </c>
      <c r="F681" t="inlineStr">
        <is>
          <t>ÖSTERGÖTLANDS LÄN</t>
        </is>
      </c>
      <c r="G681" t="inlineStr">
        <is>
          <t>FINSPÅNG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507-2024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46222</v>
      </c>
      <c r="F682" t="inlineStr">
        <is>
          <t>ÖSTERGÖTLANDS LÄN</t>
        </is>
      </c>
      <c r="G682" t="inlineStr">
        <is>
          <t>FINSPÅNG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29078-2022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44749</v>
      </c>
      <c r="E683" s="1" t="n">
        <v>46222</v>
      </c>
      <c r="F683" t="inlineStr">
        <is>
          <t>ÖSTERGÖTLANDS LÄN</t>
        </is>
      </c>
      <c r="G683" t="inlineStr">
        <is>
          <t>FINSPÅNG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49494-2022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44861</v>
      </c>
      <c r="E684" s="1" t="n">
        <v>46222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Naturvårdsverket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10420-2023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44987</v>
      </c>
      <c r="E685" s="1" t="n">
        <v>46222</v>
      </c>
      <c r="F685" t="inlineStr">
        <is>
          <t>ÖSTERGÖTLANDS LÄN</t>
        </is>
      </c>
      <c r="G685" t="inlineStr">
        <is>
          <t>FINSPÅNG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53610-2022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44879</v>
      </c>
      <c r="E686" s="1" t="n">
        <v>46222</v>
      </c>
      <c r="F686" t="inlineStr">
        <is>
          <t>ÖSTERGÖTLANDS LÄN</t>
        </is>
      </c>
      <c r="G686" t="inlineStr">
        <is>
          <t>FINSPÅNG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51610-2022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44871</v>
      </c>
      <c r="E687" s="1" t="n">
        <v>46222</v>
      </c>
      <c r="F687" t="inlineStr">
        <is>
          <t>ÖSTERGÖTLANDS LÄN</t>
        </is>
      </c>
      <c r="G687" t="inlineStr">
        <is>
          <t>FINSPÅNG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57678-2025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45980</v>
      </c>
      <c r="E688" s="1" t="n">
        <v>46222</v>
      </c>
      <c r="F688" t="inlineStr">
        <is>
          <t>ÖSTERGÖTLANDS LÄN</t>
        </is>
      </c>
      <c r="G688" t="inlineStr">
        <is>
          <t>FINSPÅNG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68122-2021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44526</v>
      </c>
      <c r="E689" s="1" t="n">
        <v>46222</v>
      </c>
      <c r="F689" t="inlineStr">
        <is>
          <t>ÖSTERGÖTLANDS LÄN</t>
        </is>
      </c>
      <c r="G689" t="inlineStr">
        <is>
          <t>FINSPÅNG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43534-2023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45184</v>
      </c>
      <c r="E690" s="1" t="n">
        <v>46222</v>
      </c>
      <c r="F690" t="inlineStr">
        <is>
          <t>ÖSTERGÖTLANDS LÄN</t>
        </is>
      </c>
      <c r="G690" t="inlineStr">
        <is>
          <t>FINSPÅNG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61012-2022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46222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39114-2024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46222</v>
      </c>
      <c r="F692" t="inlineStr">
        <is>
          <t>ÖSTERGÖTLANDS LÄN</t>
        </is>
      </c>
      <c r="G692" t="inlineStr">
        <is>
          <t>FINSPÅNG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18488-2025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46222</v>
      </c>
      <c r="F693" t="inlineStr">
        <is>
          <t>ÖSTERGÖTLANDS LÄN</t>
        </is>
      </c>
      <c r="G693" t="inlineStr">
        <is>
          <t>FINSPÅNG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56405-2025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45975</v>
      </c>
      <c r="E694" s="1" t="n">
        <v>46222</v>
      </c>
      <c r="F694" t="inlineStr">
        <is>
          <t>ÖSTERGÖTLANDS LÄN</t>
        </is>
      </c>
      <c r="G694" t="inlineStr">
        <is>
          <t>FINSPÅNG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62421-2021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44503</v>
      </c>
      <c r="E695" s="1" t="n">
        <v>46222</v>
      </c>
      <c r="F695" t="inlineStr">
        <is>
          <t>ÖSTERGÖTLANDS LÄN</t>
        </is>
      </c>
      <c r="G695" t="inlineStr">
        <is>
          <t>FINSPÅNG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59062-2024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45636</v>
      </c>
      <c r="E696" s="1" t="n">
        <v>46222</v>
      </c>
      <c r="F696" t="inlineStr">
        <is>
          <t>ÖSTERGÖTLANDS LÄN</t>
        </is>
      </c>
      <c r="G696" t="inlineStr">
        <is>
          <t>FINSPÅNG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7445-2022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44607</v>
      </c>
      <c r="E697" s="1" t="n">
        <v>46222</v>
      </c>
      <c r="F697" t="inlineStr">
        <is>
          <t>ÖSTERGÖTLANDS LÄN</t>
        </is>
      </c>
      <c r="G697" t="inlineStr">
        <is>
          <t>FINSPÅNG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4280-2023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46222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34119-2025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45845</v>
      </c>
      <c r="E699" s="1" t="n">
        <v>46222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39356-2022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44817</v>
      </c>
      <c r="E700" s="1" t="n">
        <v>46222</v>
      </c>
      <c r="F700" t="inlineStr">
        <is>
          <t>ÖSTERGÖTLANDS LÄN</t>
        </is>
      </c>
      <c r="G700" t="inlineStr">
        <is>
          <t>FINSPÅNG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34001-2024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45523</v>
      </c>
      <c r="E701" s="1" t="n">
        <v>46222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45761-2021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44441</v>
      </c>
      <c r="E702" s="1" t="n">
        <v>46222</v>
      </c>
      <c r="F702" t="inlineStr">
        <is>
          <t>ÖSTERGÖTLANDS LÄN</t>
        </is>
      </c>
      <c r="G702" t="inlineStr">
        <is>
          <t>FINSPÅNG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50811-2022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44867</v>
      </c>
      <c r="E703" s="1" t="n">
        <v>46222</v>
      </c>
      <c r="F703" t="inlineStr">
        <is>
          <t>ÖSTERGÖTLANDS LÄN</t>
        </is>
      </c>
      <c r="G703" t="inlineStr">
        <is>
          <t>FINSPÅNG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25356-2022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44732</v>
      </c>
      <c r="E704" s="1" t="n">
        <v>46222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44949</v>
      </c>
      <c r="E705" s="1" t="n">
        <v>46222</v>
      </c>
      <c r="F705" t="inlineStr">
        <is>
          <t>ÖSTERGÖTLANDS LÄN</t>
        </is>
      </c>
      <c r="G705" t="inlineStr">
        <is>
          <t>FINSPÅNG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3415-2023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44949</v>
      </c>
      <c r="E706" s="1" t="n">
        <v>46222</v>
      </c>
      <c r="F706" t="inlineStr">
        <is>
          <t>ÖSTERGÖTLANDS LÄN</t>
        </is>
      </c>
      <c r="G706" t="inlineStr">
        <is>
          <t>FINSPÅNG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3436-2023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46222</v>
      </c>
      <c r="F707" t="inlineStr">
        <is>
          <t>ÖSTERGÖTLANDS LÄN</t>
        </is>
      </c>
      <c r="G707" t="inlineStr">
        <is>
          <t>FINSPÅNG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5656-2023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44960</v>
      </c>
      <c r="E708" s="1" t="n">
        <v>46222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6733-2023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46222</v>
      </c>
      <c r="F709" t="inlineStr">
        <is>
          <t>ÖSTERGÖTLANDS LÄN</t>
        </is>
      </c>
      <c r="G709" t="inlineStr">
        <is>
          <t>FINSPÅNG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15473-2022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44662</v>
      </c>
      <c r="E710" s="1" t="n">
        <v>46222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22938-2026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46160</v>
      </c>
      <c r="E711" s="1" t="n">
        <v>46222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29018-2026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46222</v>
      </c>
      <c r="F712" t="inlineStr">
        <is>
          <t>ÖSTERGÖTLANDS LÄN</t>
        </is>
      </c>
      <c r="G712" t="inlineStr">
        <is>
          <t>FINSPÅNG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27370-2026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46222</v>
      </c>
      <c r="F713" t="inlineStr">
        <is>
          <t>ÖSTERGÖTLANDS LÄN</t>
        </is>
      </c>
      <c r="G713" t="inlineStr">
        <is>
          <t>FINSPÅNG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40410-2024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46222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61994-2022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44918</v>
      </c>
      <c r="E715" s="1" t="n">
        <v>46222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55624-2024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46222</v>
      </c>
      <c r="F716" t="inlineStr">
        <is>
          <t>ÖSTERGÖTLANDS LÄN</t>
        </is>
      </c>
      <c r="G716" t="inlineStr">
        <is>
          <t>FINSPÅNG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46077</v>
      </c>
      <c r="E717" s="1" t="n">
        <v>46222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Kyrkan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611-2023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44930</v>
      </c>
      <c r="E718" s="1" t="n">
        <v>46222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60173-2023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45258</v>
      </c>
      <c r="E719" s="1" t="n">
        <v>46222</v>
      </c>
      <c r="F719" t="inlineStr">
        <is>
          <t>ÖSTERGÖTLANDS LÄN</t>
        </is>
      </c>
      <c r="G719" t="inlineStr">
        <is>
          <t>FINSPÅNG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12472-2024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45379</v>
      </c>
      <c r="E720" s="1" t="n">
        <v>46222</v>
      </c>
      <c r="F720" t="inlineStr">
        <is>
          <t>ÖSTERGÖTLANDS LÄN</t>
        </is>
      </c>
      <c r="G720" t="inlineStr">
        <is>
          <t>FINSPÅNG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60619-2023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46222</v>
      </c>
      <c r="F721" t="inlineStr">
        <is>
          <t>ÖSTERGÖTLANDS LÄN</t>
        </is>
      </c>
      <c r="G721" t="inlineStr">
        <is>
          <t>FINSPÅNG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15674-2023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45021</v>
      </c>
      <c r="E722" s="1" t="n">
        <v>46222</v>
      </c>
      <c r="F722" t="inlineStr">
        <is>
          <t>ÖSTERGÖTLANDS LÄN</t>
        </is>
      </c>
      <c r="G722" t="inlineStr">
        <is>
          <t>FINSPÅNG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39740-2023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45167</v>
      </c>
      <c r="E723" s="1" t="n">
        <v>46222</v>
      </c>
      <c r="F723" t="inlineStr">
        <is>
          <t>ÖSTERGÖTLANDS LÄN</t>
        </is>
      </c>
      <c r="G723" t="inlineStr">
        <is>
          <t>FINSPÅNG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14061-2023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45008</v>
      </c>
      <c r="E724" s="1" t="n">
        <v>46222</v>
      </c>
      <c r="F724" t="inlineStr">
        <is>
          <t>ÖSTERGÖTLANDS LÄN</t>
        </is>
      </c>
      <c r="G724" t="inlineStr">
        <is>
          <t>FINSPÅNG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49142-2023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46222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Övriga Aktiebolag</t>
        </is>
      </c>
      <c r="I725" t="n">
        <v>12.3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9339-2022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44616</v>
      </c>
      <c r="E726" s="1" t="n">
        <v>46222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73260-2021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44550</v>
      </c>
      <c r="E727" s="1" t="n">
        <v>46222</v>
      </c>
      <c r="F727" t="inlineStr">
        <is>
          <t>ÖSTERGÖTLANDS LÄN</t>
        </is>
      </c>
      <c r="G727" t="inlineStr">
        <is>
          <t>FINSPÅNG</t>
        </is>
      </c>
      <c r="I727" t="n">
        <v>10.3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53572-2023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45230</v>
      </c>
      <c r="E728" s="1" t="n">
        <v>46222</v>
      </c>
      <c r="F728" t="inlineStr">
        <is>
          <t>ÖSTERGÖTLANDS LÄN</t>
        </is>
      </c>
      <c r="G728" t="inlineStr">
        <is>
          <t>FINSPÅNG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14565-2023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45013</v>
      </c>
      <c r="E729" s="1" t="n">
        <v>46222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47836-2021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44448</v>
      </c>
      <c r="E730" s="1" t="n">
        <v>46222</v>
      </c>
      <c r="F730" t="inlineStr">
        <is>
          <t>ÖSTERGÖTLANDS LÄN</t>
        </is>
      </c>
      <c r="G730" t="inlineStr">
        <is>
          <t>FINSPÅNG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29482-2026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46222</v>
      </c>
      <c r="F731" t="inlineStr">
        <is>
          <t>ÖSTERGÖTLANDS LÄN</t>
        </is>
      </c>
      <c r="G731" t="inlineStr">
        <is>
          <t>FINSPÅNG</t>
        </is>
      </c>
      <c r="I731" t="n">
        <v>13.3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40069-2024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45554</v>
      </c>
      <c r="E732" s="1" t="n">
        <v>46222</v>
      </c>
      <c r="F732" t="inlineStr">
        <is>
          <t>ÖSTERGÖTLANDS LÄN</t>
        </is>
      </c>
      <c r="G732" t="inlineStr">
        <is>
          <t>FINSPÅNG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27487-2023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45095</v>
      </c>
      <c r="E733" s="1" t="n">
        <v>46222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Övriga Aktiebolag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29731-2026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46222</v>
      </c>
      <c r="F734" t="inlineStr">
        <is>
          <t>ÖSTERGÖTLANDS LÄN</t>
        </is>
      </c>
      <c r="G734" t="inlineStr">
        <is>
          <t>FINSPÅNG</t>
        </is>
      </c>
      <c r="I734" t="n">
        <v>18.6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20157-2023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45055</v>
      </c>
      <c r="E735" s="1" t="n">
        <v>46222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11974-2023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44995</v>
      </c>
      <c r="E736" s="1" t="n">
        <v>46222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28020-2023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45095</v>
      </c>
      <c r="E737" s="1" t="n">
        <v>46222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18585-2024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45425</v>
      </c>
      <c r="E738" s="1" t="n">
        <v>46222</v>
      </c>
      <c r="F738" t="inlineStr">
        <is>
          <t>ÖSTERGÖTLANDS LÄN</t>
        </is>
      </c>
      <c r="G738" t="inlineStr">
        <is>
          <t>FINSPÅNG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57854-2022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44898</v>
      </c>
      <c r="E739" s="1" t="n">
        <v>46222</v>
      </c>
      <c r="F739" t="inlineStr">
        <is>
          <t>ÖSTERGÖTLANDS LÄN</t>
        </is>
      </c>
      <c r="G739" t="inlineStr">
        <is>
          <t>FINSPÅNG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45177</v>
      </c>
      <c r="E740" s="1" t="n">
        <v>46222</v>
      </c>
      <c r="F740" t="inlineStr">
        <is>
          <t>ÖSTERGÖTLANDS LÄN</t>
        </is>
      </c>
      <c r="G740" t="inlineStr">
        <is>
          <t>FINSPÅNG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24015-2024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45456</v>
      </c>
      <c r="E741" s="1" t="n">
        <v>46222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50189-2022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44865</v>
      </c>
      <c r="E742" s="1" t="n">
        <v>46222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9130-2023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44980</v>
      </c>
      <c r="E743" s="1" t="n">
        <v>46222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6628-2023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44966</v>
      </c>
      <c r="E744" s="1" t="n">
        <v>46222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60749-2022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44914</v>
      </c>
      <c r="E745" s="1" t="n">
        <v>46222</v>
      </c>
      <c r="F745" t="inlineStr">
        <is>
          <t>ÖSTERGÖTLANDS LÄN</t>
        </is>
      </c>
      <c r="G745" t="inlineStr">
        <is>
          <t>FINSPÅNG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8317-2023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44974</v>
      </c>
      <c r="E746" s="1" t="n">
        <v>46222</v>
      </c>
      <c r="F746" t="inlineStr">
        <is>
          <t>ÖSTERGÖTLANDS LÄN</t>
        </is>
      </c>
      <c r="G746" t="inlineStr">
        <is>
          <t>FINSPÅNG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3568-2023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46222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50510-2024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45601</v>
      </c>
      <c r="E748" s="1" t="n">
        <v>46222</v>
      </c>
      <c r="F748" t="inlineStr">
        <is>
          <t>ÖSTERGÖTLANDS LÄN</t>
        </is>
      </c>
      <c r="G748" t="inlineStr">
        <is>
          <t>FINSPÅNG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4083-2024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46222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42779-2023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45181</v>
      </c>
      <c r="E750" s="1" t="n">
        <v>46222</v>
      </c>
      <c r="F750" t="inlineStr">
        <is>
          <t>ÖSTERGÖTLANDS LÄN</t>
        </is>
      </c>
      <c r="G750" t="inlineStr">
        <is>
          <t>FINSPÅNG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18445-2023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45042</v>
      </c>
      <c r="E751" s="1" t="n">
        <v>46222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59808-2023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45257</v>
      </c>
      <c r="E752" s="1" t="n">
        <v>46222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52731-2023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45225</v>
      </c>
      <c r="E753" s="1" t="n">
        <v>46222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24458-2023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46222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36110-2023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45149</v>
      </c>
      <c r="E755" s="1" t="n">
        <v>46222</v>
      </c>
      <c r="F755" t="inlineStr">
        <is>
          <t>ÖSTERGÖTLANDS LÄN</t>
        </is>
      </c>
      <c r="G755" t="inlineStr">
        <is>
          <t>FINSPÅNG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46222</v>
      </c>
      <c r="F756" t="inlineStr">
        <is>
          <t>ÖSTERGÖTLANDS LÄN</t>
        </is>
      </c>
      <c r="G756" t="inlineStr">
        <is>
          <t>FINSPÅNG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30864-2026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46212</v>
      </c>
      <c r="E757" s="1" t="n">
        <v>46222</v>
      </c>
      <c r="F757" t="inlineStr">
        <is>
          <t>ÖSTERGÖTLANDS LÄN</t>
        </is>
      </c>
      <c r="G757" t="inlineStr">
        <is>
          <t>FINSPÅNG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11481-2023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44993</v>
      </c>
      <c r="E758" s="1" t="n">
        <v>46222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10412-2023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44987</v>
      </c>
      <c r="E759" s="1" t="n">
        <v>46222</v>
      </c>
      <c r="F759" t="inlineStr">
        <is>
          <t>ÖSTERGÖTLANDS LÄN</t>
        </is>
      </c>
      <c r="G759" t="inlineStr">
        <is>
          <t>FINSPÅNG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31147-2026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46209</v>
      </c>
      <c r="E760" s="1" t="n">
        <v>46222</v>
      </c>
      <c r="F760" t="inlineStr">
        <is>
          <t>ÖSTERGÖTLANDS LÄN</t>
        </is>
      </c>
      <c r="G760" t="inlineStr">
        <is>
          <t>FINSPÅNG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31152-2026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46222</v>
      </c>
      <c r="F761" t="inlineStr">
        <is>
          <t>ÖSTERGÖTLANDS LÄN</t>
        </is>
      </c>
      <c r="G761" t="inlineStr">
        <is>
          <t>FINSPÅNG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58011-2023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45247</v>
      </c>
      <c r="E762" s="1" t="n">
        <v>46222</v>
      </c>
      <c r="F762" t="inlineStr">
        <is>
          <t>ÖSTERGÖTLANDS LÄN</t>
        </is>
      </c>
      <c r="G762" t="inlineStr">
        <is>
          <t>FINSPÅNG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18356-2024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45422</v>
      </c>
      <c r="E763" s="1" t="n">
        <v>46222</v>
      </c>
      <c r="F763" t="inlineStr">
        <is>
          <t>ÖSTERGÖTLANDS LÄN</t>
        </is>
      </c>
      <c r="G763" t="inlineStr">
        <is>
          <t>FINSPÅNG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49904-2023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45214</v>
      </c>
      <c r="E764" s="1" t="n">
        <v>46222</v>
      </c>
      <c r="F764" t="inlineStr">
        <is>
          <t>ÖSTERGÖTLANDS LÄN</t>
        </is>
      </c>
      <c r="G764" t="inlineStr">
        <is>
          <t>FINSPÅNG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18258-2024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45421</v>
      </c>
      <c r="E765" s="1" t="n">
        <v>46222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18171-2024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45420</v>
      </c>
      <c r="E766" s="1" t="n">
        <v>46222</v>
      </c>
      <c r="F766" t="inlineStr">
        <is>
          <t>ÖSTERGÖTLANDS LÄN</t>
        </is>
      </c>
      <c r="G766" t="inlineStr">
        <is>
          <t>FINSPÅNG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32973-2023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45125</v>
      </c>
      <c r="E767" s="1" t="n">
        <v>46222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16975-2023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45033</v>
      </c>
      <c r="E768" s="1" t="n">
        <v>46222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Naturvårdsverket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31151-2026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46222</v>
      </c>
      <c r="F769" t="inlineStr">
        <is>
          <t>ÖSTERGÖTLANDS LÄN</t>
        </is>
      </c>
      <c r="G769" t="inlineStr">
        <is>
          <t>FINSPÅNG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28559-2023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45103</v>
      </c>
      <c r="E770" s="1" t="n">
        <v>46222</v>
      </c>
      <c r="F770" t="inlineStr">
        <is>
          <t>ÖSTERGÖTLANDS LÄN</t>
        </is>
      </c>
      <c r="G770" t="inlineStr">
        <is>
          <t>FINSPÅNG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4753-2025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45688</v>
      </c>
      <c r="E771" s="1" t="n">
        <v>46222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15952-2023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46222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15129-2025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45744</v>
      </c>
      <c r="E773" s="1" t="n">
        <v>46222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Naturvårdsverket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62186-2023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45267</v>
      </c>
      <c r="E774" s="1" t="n">
        <v>46222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47224-2023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45202</v>
      </c>
      <c r="E775" s="1" t="n">
        <v>46222</v>
      </c>
      <c r="F775" t="inlineStr">
        <is>
          <t>ÖSTERGÖTLANDS LÄN</t>
        </is>
      </c>
      <c r="G775" t="inlineStr">
        <is>
          <t>FINSPÅNG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31801-2023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45118</v>
      </c>
      <c r="E776" s="1" t="n">
        <v>46222</v>
      </c>
      <c r="F776" t="inlineStr">
        <is>
          <t>ÖSTERGÖTLANDS LÄN</t>
        </is>
      </c>
      <c r="G776" t="inlineStr">
        <is>
          <t>FINSPÅNG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31301-2026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46218</v>
      </c>
      <c r="E777" s="1" t="n">
        <v>46222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Sveaskog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25844-2026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46222</v>
      </c>
      <c r="F778" t="inlineStr">
        <is>
          <t>ÖSTERGÖTLANDS LÄN</t>
        </is>
      </c>
      <c r="G778" t="inlineStr">
        <is>
          <t>FINSPÅNG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25864-2026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46222</v>
      </c>
      <c r="F779" t="inlineStr">
        <is>
          <t>ÖSTERGÖTLANDS LÄN</t>
        </is>
      </c>
      <c r="G779" t="inlineStr">
        <is>
          <t>FINSPÅNG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52730-2023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45225</v>
      </c>
      <c r="E780" s="1" t="n">
        <v>46222</v>
      </c>
      <c r="F780" t="inlineStr">
        <is>
          <t>ÖSTERGÖTLANDS LÄN</t>
        </is>
      </c>
      <c r="G780" t="inlineStr">
        <is>
          <t>FINSPÅNG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58141-2022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44900</v>
      </c>
      <c r="E781" s="1" t="n">
        <v>46222</v>
      </c>
      <c r="F781" t="inlineStr">
        <is>
          <t>ÖSTERGÖTLANDS LÄN</t>
        </is>
      </c>
      <c r="G781" t="inlineStr">
        <is>
          <t>FINSPÅNG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31300-2026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46218</v>
      </c>
      <c r="E782" s="1" t="n">
        <v>46222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Sveaskog</t>
        </is>
      </c>
      <c r="I782" t="n">
        <v>9.5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9418-2023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44981</v>
      </c>
      <c r="E783" s="1" t="n">
        <v>46222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25860-2026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46176</v>
      </c>
      <c r="E784" s="1" t="n">
        <v>46222</v>
      </c>
      <c r="F784" t="inlineStr">
        <is>
          <t>ÖSTERGÖTLANDS LÄN</t>
        </is>
      </c>
      <c r="G784" t="inlineStr">
        <is>
          <t>FINSPÅNG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62168-2022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44922</v>
      </c>
      <c r="E785" s="1" t="n">
        <v>46222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45311-2023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45191</v>
      </c>
      <c r="E786" s="1" t="n">
        <v>46222</v>
      </c>
      <c r="F786" t="inlineStr">
        <is>
          <t>ÖSTERGÖTLANDS LÄN</t>
        </is>
      </c>
      <c r="G786" t="inlineStr">
        <is>
          <t>FINSPÅNG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42176-2023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45178</v>
      </c>
      <c r="E787" s="1" t="n">
        <v>46222</v>
      </c>
      <c r="F787" t="inlineStr">
        <is>
          <t>ÖSTERGÖTLANDS LÄN</t>
        </is>
      </c>
      <c r="G787" t="inlineStr">
        <is>
          <t>FINSPÅNG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24833-2026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46222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24835-2026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46222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42111-2023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45177</v>
      </c>
      <c r="E790" s="1" t="n">
        <v>46222</v>
      </c>
      <c r="F790" t="inlineStr">
        <is>
          <t>ÖSTERGÖTLANDS LÄN</t>
        </is>
      </c>
      <c r="G790" t="inlineStr">
        <is>
          <t>FINSPÅNG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55956-2024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45623</v>
      </c>
      <c r="E791" s="1" t="n">
        <v>46222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59699-2024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45639</v>
      </c>
      <c r="E792" s="1" t="n">
        <v>46222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46317-2023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45197</v>
      </c>
      <c r="E793" s="1" t="n">
        <v>46222</v>
      </c>
      <c r="F793" t="inlineStr">
        <is>
          <t>ÖSTERGÖTLANDS LÄN</t>
        </is>
      </c>
      <c r="G793" t="inlineStr">
        <is>
          <t>FINSPÅNG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25629-2026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46222</v>
      </c>
      <c r="F794" t="inlineStr">
        <is>
          <t>ÖSTERGÖTLANDS LÄN</t>
        </is>
      </c>
      <c r="G794" t="inlineStr">
        <is>
          <t>FINSPÅNG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61359-2023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45264</v>
      </c>
      <c r="E795" s="1" t="n">
        <v>46222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32431-2023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45110</v>
      </c>
      <c r="E796" s="1" t="n">
        <v>46222</v>
      </c>
      <c r="F796" t="inlineStr">
        <is>
          <t>ÖSTERGÖTLANDS LÄN</t>
        </is>
      </c>
      <c r="G796" t="inlineStr">
        <is>
          <t>FINSPÅNG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14022-2023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45008</v>
      </c>
      <c r="E797" s="1" t="n">
        <v>46222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25760-2026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46222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31307-2026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46219</v>
      </c>
      <c r="E799" s="1" t="n">
        <v>46222</v>
      </c>
      <c r="F799" t="inlineStr">
        <is>
          <t>ÖSTERGÖTLANDS LÄN</t>
        </is>
      </c>
      <c r="G799" t="inlineStr">
        <is>
          <t>FINSPÅNG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25759-2026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46222</v>
      </c>
      <c r="F800" t="inlineStr">
        <is>
          <t>ÖSTERGÖTLANDS LÄN</t>
        </is>
      </c>
      <c r="G800" t="inlineStr">
        <is>
          <t>FINSPÅNG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25766-2026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46222</v>
      </c>
      <c r="F801" t="inlineStr">
        <is>
          <t>ÖSTERGÖTLANDS LÄN</t>
        </is>
      </c>
      <c r="G801" t="inlineStr">
        <is>
          <t>FINSPÅNG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48767-2024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45593</v>
      </c>
      <c r="E802" s="1" t="n">
        <v>46222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2381-2023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44942</v>
      </c>
      <c r="E803" s="1" t="n">
        <v>46222</v>
      </c>
      <c r="F803" t="inlineStr">
        <is>
          <t>ÖSTERGÖTLANDS LÄN</t>
        </is>
      </c>
      <c r="G803" t="inlineStr">
        <is>
          <t>FINSPÅNG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9554-2022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44617</v>
      </c>
      <c r="E804" s="1" t="n">
        <v>46222</v>
      </c>
      <c r="F804" t="inlineStr">
        <is>
          <t>ÖSTERGÖTLANDS LÄN</t>
        </is>
      </c>
      <c r="G804" t="inlineStr">
        <is>
          <t>FINSPÅNG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1913-2023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44939</v>
      </c>
      <c r="E805" s="1" t="n">
        <v>46222</v>
      </c>
      <c r="F805" t="inlineStr">
        <is>
          <t>ÖSTERGÖTLANDS LÄN</t>
        </is>
      </c>
      <c r="G805" t="inlineStr">
        <is>
          <t>FINSPÅNG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47317-2023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45202</v>
      </c>
      <c r="E806" s="1" t="n">
        <v>46222</v>
      </c>
      <c r="F806" t="inlineStr">
        <is>
          <t>ÖSTERGÖTLANDS LÄN</t>
        </is>
      </c>
      <c r="G806" t="inlineStr">
        <is>
          <t>FINSPÅNG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44946</v>
      </c>
      <c r="E807" s="1" t="n">
        <v>46222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3107-2023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44946</v>
      </c>
      <c r="E808" s="1" t="n">
        <v>46222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24503-2023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46222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499-2024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45299</v>
      </c>
      <c r="E810" s="1" t="n">
        <v>46222</v>
      </c>
      <c r="F810" t="inlineStr">
        <is>
          <t>ÖSTERGÖTLANDS LÄN</t>
        </is>
      </c>
      <c r="G810" t="inlineStr">
        <is>
          <t>FINSPÅNG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10258-2025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45720</v>
      </c>
      <c r="E811" s="1" t="n">
        <v>46222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58313-2023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45250</v>
      </c>
      <c r="E812" s="1" t="n">
        <v>46222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48443-2023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45206</v>
      </c>
      <c r="E813" s="1" t="n">
        <v>46222</v>
      </c>
      <c r="F813" t="inlineStr">
        <is>
          <t>ÖSTERGÖTLANDS LÄN</t>
        </is>
      </c>
      <c r="G813" t="inlineStr">
        <is>
          <t>FINSPÅNG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6154-2023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44964</v>
      </c>
      <c r="E814" s="1" t="n">
        <v>46222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52007-2024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45607</v>
      </c>
      <c r="E815" s="1" t="n">
        <v>46222</v>
      </c>
      <c r="F815" t="inlineStr">
        <is>
          <t>ÖSTERGÖTLANDS LÄN</t>
        </is>
      </c>
      <c r="G815" t="inlineStr">
        <is>
          <t>FINSPÅNG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52008-2024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45607</v>
      </c>
      <c r="E816" s="1" t="n">
        <v>46222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58991-2021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44490</v>
      </c>
      <c r="E817" s="1" t="n">
        <v>46222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19609-2025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45770</v>
      </c>
      <c r="E818" s="1" t="n">
        <v>46222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15900-2025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45749</v>
      </c>
      <c r="E819" s="1" t="n">
        <v>46222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59702-2024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45639</v>
      </c>
      <c r="E820" s="1" t="n">
        <v>46222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8438-2025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45709</v>
      </c>
      <c r="E821" s="1" t="n">
        <v>46222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42705-2024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46222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42711-2024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45566</v>
      </c>
      <c r="E823" s="1" t="n">
        <v>46222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14031-2025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45740</v>
      </c>
      <c r="E824" s="1" t="n">
        <v>46222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28558-2023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45103</v>
      </c>
      <c r="E825" s="1" t="n">
        <v>46222</v>
      </c>
      <c r="F825" t="inlineStr">
        <is>
          <t>ÖSTERGÖTLANDS LÄN</t>
        </is>
      </c>
      <c r="G825" t="inlineStr">
        <is>
          <t>FINSPÅNG</t>
        </is>
      </c>
      <c r="I825" t="n">
        <v>11.1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54299-2023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45232</v>
      </c>
      <c r="E826" s="1" t="n">
        <v>46222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52557-2024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45609</v>
      </c>
      <c r="E827" s="1" t="n">
        <v>46222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42678-2024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45566</v>
      </c>
      <c r="E828" s="1" t="n">
        <v>46222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42699-2024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45566</v>
      </c>
      <c r="E829" s="1" t="n">
        <v>46222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42682-2024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46222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13392-2025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45735</v>
      </c>
      <c r="E831" s="1" t="n">
        <v>46222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13457-2025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45736</v>
      </c>
      <c r="E832" s="1" t="n">
        <v>46222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35343-2024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45530</v>
      </c>
      <c r="E833" s="1" t="n">
        <v>46222</v>
      </c>
      <c r="F833" t="inlineStr">
        <is>
          <t>ÖSTERGÖTLANDS LÄN</t>
        </is>
      </c>
      <c r="G833" t="inlineStr">
        <is>
          <t>FINSPÅNG</t>
        </is>
      </c>
      <c r="I833" t="n">
        <v>7.2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60249-2024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45642</v>
      </c>
      <c r="E834" s="1" t="n">
        <v>46222</v>
      </c>
      <c r="F834" t="inlineStr">
        <is>
          <t>ÖSTERGÖTLANDS LÄN</t>
        </is>
      </c>
      <c r="G834" t="inlineStr">
        <is>
          <t>FINSPÅNG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62155-2023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45267</v>
      </c>
      <c r="E835" s="1" t="n">
        <v>46222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35340-2024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45530</v>
      </c>
      <c r="E836" s="1" t="n">
        <v>46222</v>
      </c>
      <c r="F836" t="inlineStr">
        <is>
          <t>ÖSTERGÖTLANDS LÄN</t>
        </is>
      </c>
      <c r="G836" t="inlineStr">
        <is>
          <t>FINSPÅNG</t>
        </is>
      </c>
      <c r="I836" t="n">
        <v>7.9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46222</v>
      </c>
      <c r="F837" t="inlineStr">
        <is>
          <t>ÖSTERGÖTLANDS LÄN</t>
        </is>
      </c>
      <c r="G837" t="inlineStr">
        <is>
          <t>FINSPÅNG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11149-2024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45371</v>
      </c>
      <c r="E838" s="1" t="n">
        <v>46222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Kyrkan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24009-2025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45796</v>
      </c>
      <c r="E839" s="1" t="n">
        <v>46222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Naturvårdsverket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24021-2025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45796</v>
      </c>
      <c r="E840" s="1" t="n">
        <v>46222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Naturvårdsverket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3169-2024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45316</v>
      </c>
      <c r="E841" s="1" t="n">
        <v>46222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Övriga Aktiebolag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24310-2025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45797</v>
      </c>
      <c r="E842" s="1" t="n">
        <v>46222</v>
      </c>
      <c r="F842" t="inlineStr">
        <is>
          <t>ÖSTERGÖTLANDS LÄN</t>
        </is>
      </c>
      <c r="G842" t="inlineStr">
        <is>
          <t>FINSPÅNG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24328-2025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45797</v>
      </c>
      <c r="E843" s="1" t="n">
        <v>46222</v>
      </c>
      <c r="F843" t="inlineStr">
        <is>
          <t>ÖSTERGÖTLANDS LÄN</t>
        </is>
      </c>
      <c r="G843" t="inlineStr">
        <is>
          <t>FINSPÅNG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24363-2025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45797</v>
      </c>
      <c r="E844" s="1" t="n">
        <v>46222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7131-2025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45702</v>
      </c>
      <c r="E845" s="1" t="n">
        <v>46222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Övriga Aktiebolag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25306-2025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46222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Naturvårdsverket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25272-2025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46222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Naturvårdsverket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25342-2025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46222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Naturvårdsverket</t>
        </is>
      </c>
      <c r="I848" t="n">
        <v>8.199999999999999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25319-2025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45800</v>
      </c>
      <c r="E849" s="1" t="n">
        <v>46222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Naturvårdsverket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46222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46222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46222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46222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46222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46222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2026-07-19T01:36:35Z</dcterms:created>
  <dcterms:modified xmlns:dcterms="http://purl.org/dc/terms/" xmlns:xsi="http://www.w3.org/2001/XMLSchema-instance" xsi:type="dcterms:W3CDTF">2026-07-19T01:36:36Z</dcterms:modified>
</cp:coreProperties>
</file>