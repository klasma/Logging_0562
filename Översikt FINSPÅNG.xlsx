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46277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46277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46277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46277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46277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46277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46277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46277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46277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46277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46277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46277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46277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46277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46277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46277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46277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46277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46277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46277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46277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46277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46277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46277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46277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46277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46277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46277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46277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46277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46277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46277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46277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46277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46277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46277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46277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46277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46277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46277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42837-2024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46277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2</v>
      </c>
      <c r="V56" s="2" t="inlineStr">
        <is>
          <t>Knärot</t>
        </is>
      </c>
      <c r="W56">
        <f>HYPERLINK("https://klasma.github.io/Logging_0562/artfynd/A 42837-2024 artfynd.xlsx", "A 42837-2024")</f>
        <v/>
      </c>
      <c r="X56">
        <f>HYPERLINK("https://klasma.github.io/Logging_0562/kartor/A 42837-2024 karta.png", "A 42837-2024")</f>
        <v/>
      </c>
      <c r="Y56">
        <f>HYPERLINK("https://klasma.github.io/Logging_0562/kartor_geotiff/A 42837-2024 georefererad karta.tif", "A 42837-2024")</f>
        <v/>
      </c>
      <c r="Z56">
        <f>HYPERLINK("https://klasma.github.io/Logging_0562/knärot/A 42837-2024 karta knärot.png", "A 42837-2024")</f>
        <v/>
      </c>
      <c r="AA56">
        <f>HYPERLINK("https://klasma.github.io/Logging_0562/klagomål/A 42837-2024 FSC-klagomål.docx", "A 42837-2024")</f>
        <v/>
      </c>
      <c r="AB56">
        <f>HYPERLINK("https://klasma.github.io/Logging_0562/klagomålsmail/A 42837-2024 FSC-klagomål mail.docx", "A 42837-2024")</f>
        <v/>
      </c>
      <c r="AC56">
        <f>HYPERLINK("https://klasma.github.io/Logging_0562/tillsyn/A 42837-2024 tillsynsbegäran.docx", "A 42837-2024")</f>
        <v/>
      </c>
      <c r="AD56">
        <f>HYPERLINK("https://klasma.github.io/Logging_0562/tillsynsmail/A 42837-2024 tillsynsbegäran mail.docx", "A 42837-2024")</f>
        <v/>
      </c>
    </row>
    <row r="57" ht="15" customHeight="1">
      <c r="A57" t="inlineStr">
        <is>
          <t>A 6035-2022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46277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Naturvårdsverket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Bred kärrtrollslända</t>
        </is>
      </c>
      <c r="W57">
        <f>HYPERLINK("https://klasma.github.io/Logging_0562/artfynd/A 6035-2022 artfynd.xlsx", "A 6035-2022")</f>
        <v/>
      </c>
      <c r="X57">
        <f>HYPERLINK("https://klasma.github.io/Logging_0562/kartor/A 6035-2022 karta.png", "A 6035-2022")</f>
        <v/>
      </c>
      <c r="Y57">
        <f>HYPERLINK("https://klasma.github.io/Logging_0562/kartor_geotiff/A 6035-2022 georefererad karta.tif", "A 6035-2022")</f>
        <v/>
      </c>
      <c r="AA57">
        <f>HYPERLINK("https://klasma.github.io/Logging_0562/klagomål/A 6035-2022 FSC-klagomål.docx", "A 6035-2022")</f>
        <v/>
      </c>
      <c r="AB57">
        <f>HYPERLINK("https://klasma.github.io/Logging_0562/klagomålsmail/A 6035-2022 FSC-klagomål mail.docx", "A 6035-2022")</f>
        <v/>
      </c>
      <c r="AC57">
        <f>HYPERLINK("https://klasma.github.io/Logging_0562/tillsyn/A 6035-2022 tillsynsbegäran.docx", "A 6035-2022")</f>
        <v/>
      </c>
      <c r="AD57">
        <f>HYPERLINK("https://klasma.github.io/Logging_0562/tillsynsmail/A 6035-2022 tillsynsbegäran mail.docx", "A 6035-2022")</f>
        <v/>
      </c>
    </row>
    <row r="58" ht="15" customHeight="1">
      <c r="A58" t="inlineStr">
        <is>
          <t>A 34310-2025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45846</v>
      </c>
      <c r="E58" s="1" t="n">
        <v>46277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34310-2025 artfynd.xlsx", "A 34310-2025")</f>
        <v/>
      </c>
      <c r="X58">
        <f>HYPERLINK("https://klasma.github.io/Logging_0562/kartor/A 34310-2025 karta.png", "A 34310-2025")</f>
        <v/>
      </c>
      <c r="Y58">
        <f>HYPERLINK("https://klasma.github.io/Logging_0562/kartor_geotiff/A 34310-2025 georefererad karta.tif", "A 34310-2025")</f>
        <v/>
      </c>
      <c r="AA58">
        <f>HYPERLINK("https://klasma.github.io/Logging_0562/klagomål/A 34310-2025 FSC-klagomål.docx", "A 34310-2025")</f>
        <v/>
      </c>
      <c r="AB58">
        <f>HYPERLINK("https://klasma.github.io/Logging_0562/klagomålsmail/A 34310-2025 FSC-klagomål mail.docx", "A 34310-2025")</f>
        <v/>
      </c>
      <c r="AC58">
        <f>HYPERLINK("https://klasma.github.io/Logging_0562/tillsyn/A 34310-2025 tillsynsbegäran.docx", "A 34310-2025")</f>
        <v/>
      </c>
      <c r="AD58">
        <f>HYPERLINK("https://klasma.github.io/Logging_0562/tillsynsmail/A 34310-2025 tillsynsbegäran mail.docx", "A 34310-2025")</f>
        <v/>
      </c>
    </row>
    <row r="59" ht="15" customHeight="1">
      <c r="A59" t="inlineStr">
        <is>
          <t>A 34220-2025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45845</v>
      </c>
      <c r="E59" s="1" t="n">
        <v>46277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Tibast</t>
        </is>
      </c>
      <c r="W59">
        <f>HYPERLINK("https://klasma.github.io/Logging_0562/artfynd/A 34220-2025 artfynd.xlsx", "A 34220-2025")</f>
        <v/>
      </c>
      <c r="X59">
        <f>HYPERLINK("https://klasma.github.io/Logging_0562/kartor/A 34220-2025 karta.png", "A 34220-2025")</f>
        <v/>
      </c>
      <c r="Y59">
        <f>HYPERLINK("https://klasma.github.io/Logging_0562/kartor_geotiff/A 34220-2025 georefererad karta.tif", "A 34220-2025")</f>
        <v/>
      </c>
      <c r="AA59">
        <f>HYPERLINK("https://klasma.github.io/Logging_0562/klagomål/A 34220-2025 FSC-klagomål.docx", "A 34220-2025")</f>
        <v/>
      </c>
      <c r="AB59">
        <f>HYPERLINK("https://klasma.github.io/Logging_0562/klagomålsmail/A 34220-2025 FSC-klagomål mail.docx", "A 34220-2025")</f>
        <v/>
      </c>
      <c r="AC59">
        <f>HYPERLINK("https://klasma.github.io/Logging_0562/tillsyn/A 34220-2025 tillsynsbegäran.docx", "A 34220-2025")</f>
        <v/>
      </c>
      <c r="AD59">
        <f>HYPERLINK("https://klasma.github.io/Logging_0562/tillsynsmail/A 34220-2025 tillsynsbegäran mail.docx", "A 34220-2025")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46277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46277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4644-2024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45328</v>
      </c>
      <c r="E62" s="1" t="n">
        <v>46277</v>
      </c>
      <c r="F62" t="inlineStr">
        <is>
          <t>ÖSTERGÖTLANDS LÄN</t>
        </is>
      </c>
      <c r="G62" t="inlineStr">
        <is>
          <t>FINSPÅNG</t>
        </is>
      </c>
      <c r="I62" t="n">
        <v>5.3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Kungsörn</t>
        </is>
      </c>
      <c r="W62">
        <f>HYPERLINK("https://klasma.github.io/Logging_0562/artfynd/A 4644-2024 artfynd.xlsx", "A 4644-2024")</f>
        <v/>
      </c>
      <c r="X62">
        <f>HYPERLINK("https://klasma.github.io/Logging_0562/kartor/A 4644-2024 karta.png", "A 4644-2024")</f>
        <v/>
      </c>
      <c r="Y62">
        <f>HYPERLINK("https://klasma.github.io/Logging_0562/kartor_geotiff/A 4644-2024 georefererad karta.tif", "A 4644-2024")</f>
        <v/>
      </c>
      <c r="AA62">
        <f>HYPERLINK("https://klasma.github.io/Logging_0562/klagomål/A 4644-2024 FSC-klagomål.docx", "A 4644-2024")</f>
        <v/>
      </c>
      <c r="AB62">
        <f>HYPERLINK("https://klasma.github.io/Logging_0562/klagomålsmail/A 4644-2024 FSC-klagomål mail.docx", "A 4644-2024")</f>
        <v/>
      </c>
      <c r="AC62">
        <f>HYPERLINK("https://klasma.github.io/Logging_0562/tillsyn/A 4644-2024 tillsynsbegäran.docx", "A 4644-2024")</f>
        <v/>
      </c>
      <c r="AD62">
        <f>HYPERLINK("https://klasma.github.io/Logging_0562/tillsynsmail/A 4644-2024 tillsynsbegäran mail.docx", "A 4644-2024")</f>
        <v/>
      </c>
      <c r="AE62">
        <f>HYPERLINK("https://klasma.github.io/Logging_0562/fåglar/A 4644-2024 prioriterade fågelarter.docx", "A 4644-2024")</f>
        <v/>
      </c>
    </row>
    <row r="63" ht="15" customHeight="1">
      <c r="A63" t="inlineStr">
        <is>
          <t>A 37748-2025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45880</v>
      </c>
      <c r="E63" s="1" t="n">
        <v>46277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37748-2025 artfynd.xlsx", "A 37748-2025")</f>
        <v/>
      </c>
      <c r="X63">
        <f>HYPERLINK("https://klasma.github.io/Logging_0562/kartor/A 37748-2025 karta.png", "A 37748-2025")</f>
        <v/>
      </c>
      <c r="Y63">
        <f>HYPERLINK("https://klasma.github.io/Logging_0562/kartor_geotiff/A 37748-2025 georefererad karta.tif", "A 37748-2025")</f>
        <v/>
      </c>
      <c r="AA63">
        <f>HYPERLINK("https://klasma.github.io/Logging_0562/klagomål/A 37748-2025 FSC-klagomål.docx", "A 37748-2025")</f>
        <v/>
      </c>
      <c r="AB63">
        <f>HYPERLINK("https://klasma.github.io/Logging_0562/klagomålsmail/A 37748-2025 FSC-klagomål mail.docx", "A 37748-2025")</f>
        <v/>
      </c>
      <c r="AC63">
        <f>HYPERLINK("https://klasma.github.io/Logging_0562/tillsyn/A 37748-2025 tillsynsbegäran.docx", "A 37748-2025")</f>
        <v/>
      </c>
      <c r="AD63">
        <f>HYPERLINK("https://klasma.github.io/Logging_0562/tillsynsmail/A 37748-2025 tillsynsbegäran mail.docx", "A 37748-2025")</f>
        <v/>
      </c>
    </row>
    <row r="64" ht="15" customHeight="1">
      <c r="A64" t="inlineStr">
        <is>
          <t>A 53673-2024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46277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HYPERLINK("https://klasma.github.io/Logging_0562/artfynd/A 53673-2024 artfynd.xlsx", "A 53673-2024")</f>
        <v/>
      </c>
      <c r="X64">
        <f>HYPERLINK("https://klasma.github.io/Logging_0562/kartor/A 53673-2024 karta.png", "A 53673-2024")</f>
        <v/>
      </c>
      <c r="Y64">
        <f>HYPERLINK("https://klasma.github.io/Logging_0562/kartor_geotiff/A 53673-2024 georefererad karta.tif", "A 53673-2024")</f>
        <v/>
      </c>
      <c r="Z64">
        <f>HYPERLINK("https://klasma.github.io/Logging_0562/knärot/A 53673-2024 karta knärot.png", "A 53673-2024")</f>
        <v/>
      </c>
      <c r="AA64">
        <f>HYPERLINK("https://klasma.github.io/Logging_0562/klagomål/A 53673-2024 FSC-klagomål.docx", "A 53673-2024")</f>
        <v/>
      </c>
      <c r="AB64">
        <f>HYPERLINK("https://klasma.github.io/Logging_0562/klagomålsmail/A 53673-2024 FSC-klagomål mail.docx", "A 53673-2024")</f>
        <v/>
      </c>
      <c r="AC64">
        <f>HYPERLINK("https://klasma.github.io/Logging_0562/tillsyn/A 53673-2024 tillsynsbegäran.docx", "A 53673-2024")</f>
        <v/>
      </c>
      <c r="AD64">
        <f>HYPERLINK("https://klasma.github.io/Logging_0562/tillsynsmail/A 53673-2024 tillsynsbegäran mail.docx", "A 53673-2024")</f>
        <v/>
      </c>
    </row>
    <row r="65" ht="15" customHeight="1">
      <c r="A65" t="inlineStr">
        <is>
          <t>A 39078-2022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46277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Skogsklocka</t>
        </is>
      </c>
      <c r="W65">
        <f>HYPERLINK("https://klasma.github.io/Logging_0562/artfynd/A 39078-2022 artfynd.xlsx", "A 39078-2022")</f>
        <v/>
      </c>
      <c r="X65">
        <f>HYPERLINK("https://klasma.github.io/Logging_0562/kartor/A 39078-2022 karta.png", "A 39078-2022")</f>
        <v/>
      </c>
      <c r="Y65">
        <f>HYPERLINK("https://klasma.github.io/Logging_0562/kartor_geotiff/A 39078-2022 georefererad karta.tif", "A 39078-2022")</f>
        <v/>
      </c>
      <c r="AA65">
        <f>HYPERLINK("https://klasma.github.io/Logging_0562/klagomål/A 39078-2022 FSC-klagomål.docx", "A 39078-2022")</f>
        <v/>
      </c>
      <c r="AB65">
        <f>HYPERLINK("https://klasma.github.io/Logging_0562/klagomålsmail/A 39078-2022 FSC-klagomål mail.docx", "A 39078-2022")</f>
        <v/>
      </c>
      <c r="AC65">
        <f>HYPERLINK("https://klasma.github.io/Logging_0562/tillsyn/A 39078-2022 tillsynsbegäran.docx", "A 39078-2022")</f>
        <v/>
      </c>
      <c r="AD65">
        <f>HYPERLINK("https://klasma.github.io/Logging_0562/tillsynsmail/A 39078-2022 tillsynsbegäran mail.docx", "A 39078-2022")</f>
        <v/>
      </c>
    </row>
    <row r="66" ht="15" customHeight="1">
      <c r="A66" t="inlineStr">
        <is>
          <t>A 11140-2023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44992</v>
      </c>
      <c r="E66" s="1" t="n">
        <v>46277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Grönvit nattviol</t>
        </is>
      </c>
      <c r="W66">
        <f>HYPERLINK("https://klasma.github.io/Logging_0562/artfynd/A 11140-2023 artfynd.xlsx", "A 11140-2023")</f>
        <v/>
      </c>
      <c r="X66">
        <f>HYPERLINK("https://klasma.github.io/Logging_0562/kartor/A 11140-2023 karta.png", "A 11140-2023")</f>
        <v/>
      </c>
      <c r="Y66">
        <f>HYPERLINK("https://klasma.github.io/Logging_0562/kartor_geotiff/A 11140-2023 georefererad karta.tif", "A 11140-2023")</f>
        <v/>
      </c>
      <c r="AA66">
        <f>HYPERLINK("https://klasma.github.io/Logging_0562/klagomål/A 11140-2023 FSC-klagomål.docx", "A 11140-2023")</f>
        <v/>
      </c>
      <c r="AB66">
        <f>HYPERLINK("https://klasma.github.io/Logging_0562/klagomålsmail/A 11140-2023 FSC-klagomål mail.docx", "A 11140-2023")</f>
        <v/>
      </c>
      <c r="AC66">
        <f>HYPERLINK("https://klasma.github.io/Logging_0562/tillsyn/A 11140-2023 tillsynsbegäran.docx", "A 11140-2023")</f>
        <v/>
      </c>
      <c r="AD66">
        <f>HYPERLINK("https://klasma.github.io/Logging_0562/tillsynsmail/A 11140-2023 tillsynsbegäran mail.docx", "A 11140-2023")</f>
        <v/>
      </c>
    </row>
    <row r="67" ht="15" customHeight="1">
      <c r="A67" t="inlineStr">
        <is>
          <t>A 22439-2023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46277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1.3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Hasselsnok</t>
        </is>
      </c>
      <c r="W67">
        <f>HYPERLINK("https://klasma.github.io/Logging_0562/artfynd/A 22439-2023 artfynd.xlsx", "A 22439-2023")</f>
        <v/>
      </c>
      <c r="X67">
        <f>HYPERLINK("https://klasma.github.io/Logging_0562/kartor/A 22439-2023 karta.png", "A 22439-2023")</f>
        <v/>
      </c>
      <c r="Y67">
        <f>HYPERLINK("https://klasma.github.io/Logging_0562/kartor_geotiff/A 22439-2023 georefererad karta.tif", "A 22439-2023")</f>
        <v/>
      </c>
      <c r="AA67">
        <f>HYPERLINK("https://klasma.github.io/Logging_0562/klagomål/A 22439-2023 FSC-klagomål.docx", "A 22439-2023")</f>
        <v/>
      </c>
      <c r="AB67">
        <f>HYPERLINK("https://klasma.github.io/Logging_0562/klagomålsmail/A 22439-2023 FSC-klagomål mail.docx", "A 22439-2023")</f>
        <v/>
      </c>
      <c r="AC67">
        <f>HYPERLINK("https://klasma.github.io/Logging_0562/tillsyn/A 22439-2023 tillsynsbegäran.docx", "A 22439-2023")</f>
        <v/>
      </c>
      <c r="AD67">
        <f>HYPERLINK("https://klasma.github.io/Logging_0562/tillsynsmail/A 22439-2023 tillsynsbegäran mail.docx", "A 22439-2023")</f>
        <v/>
      </c>
    </row>
    <row r="68" ht="15" customHeight="1">
      <c r="A68" t="inlineStr">
        <is>
          <t>A 6407-2023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46277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HYPERLINK("https://klasma.github.io/Logging_0562/artfynd/A 6407-2023 artfynd.xlsx", "A 6407-2023")</f>
        <v/>
      </c>
      <c r="X68">
        <f>HYPERLINK("https://klasma.github.io/Logging_0562/kartor/A 6407-2023 karta.png", "A 6407-2023")</f>
        <v/>
      </c>
      <c r="Y68">
        <f>HYPERLINK("https://klasma.github.io/Logging_0562/kartor_geotiff/A 6407-2023 georefererad karta.tif", "A 6407-2023")</f>
        <v/>
      </c>
      <c r="AA68">
        <f>HYPERLINK("https://klasma.github.io/Logging_0562/klagomål/A 6407-2023 FSC-klagomål.docx", "A 6407-2023")</f>
        <v/>
      </c>
      <c r="AB68">
        <f>HYPERLINK("https://klasma.github.io/Logging_0562/klagomålsmail/A 6407-2023 FSC-klagomål mail.docx", "A 6407-2023")</f>
        <v/>
      </c>
      <c r="AC68">
        <f>HYPERLINK("https://klasma.github.io/Logging_0562/tillsyn/A 6407-2023 tillsynsbegäran.docx", "A 6407-2023")</f>
        <v/>
      </c>
      <c r="AD68">
        <f>HYPERLINK("https://klasma.github.io/Logging_0562/tillsynsmail/A 6407-2023 tillsynsbegäran mail.docx", "A 6407-2023")</f>
        <v/>
      </c>
      <c r="AE68">
        <f>HYPERLINK("https://klasma.github.io/Logging_0562/fåglar/A 6407-2023 prioriterade fågelarter.docx", "A 6407-2023")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46277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3941-2026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46277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Trana</t>
        </is>
      </c>
      <c r="W70">
        <f>HYPERLINK("https://klasma.github.io/Logging_0562/artfynd/A 3941-2026 artfynd.xlsx", "A 3941-2026")</f>
        <v/>
      </c>
      <c r="X70">
        <f>HYPERLINK("https://klasma.github.io/Logging_0562/kartor/A 3941-2026 karta.png", "A 3941-2026")</f>
        <v/>
      </c>
      <c r="Y70">
        <f>HYPERLINK("https://klasma.github.io/Logging_0562/kartor_geotiff/A 3941-2026 georefererad karta.tif", "A 3941-2026")</f>
        <v/>
      </c>
      <c r="AA70">
        <f>HYPERLINK("https://klasma.github.io/Logging_0562/klagomål/A 3941-2026 FSC-klagomål.docx", "A 3941-2026")</f>
        <v/>
      </c>
      <c r="AB70">
        <f>HYPERLINK("https://klasma.github.io/Logging_0562/klagomålsmail/A 3941-2026 FSC-klagomål mail.docx", "A 3941-2026")</f>
        <v/>
      </c>
      <c r="AC70">
        <f>HYPERLINK("https://klasma.github.io/Logging_0562/tillsyn/A 3941-2026 tillsynsbegäran.docx", "A 3941-2026")</f>
        <v/>
      </c>
      <c r="AD70">
        <f>HYPERLINK("https://klasma.github.io/Logging_0562/tillsynsmail/A 3941-2026 tillsynsbegäran mail.docx", "A 3941-2026")</f>
        <v/>
      </c>
      <c r="AE70">
        <f>HYPERLINK("https://klasma.github.io/Logging_0562/fåglar/A 3941-2026 prioriterade fågelarter.docx", "A 3941-2026")</f>
        <v/>
      </c>
    </row>
    <row r="71" ht="15" customHeight="1">
      <c r="A71" t="inlineStr">
        <is>
          <t>A 22555-2024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46277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26.7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Hasselsnok</t>
        </is>
      </c>
      <c r="W71">
        <f>HYPERLINK("https://klasma.github.io/Logging_0562/artfynd/A 22555-2024 artfynd.xlsx", "A 22555-2024")</f>
        <v/>
      </c>
      <c r="X71">
        <f>HYPERLINK("https://klasma.github.io/Logging_0562/kartor/A 22555-2024 karta.png", "A 22555-2024")</f>
        <v/>
      </c>
      <c r="Y71">
        <f>HYPERLINK("https://klasma.github.io/Logging_0562/kartor_geotiff/A 22555-2024 georefererad karta.tif", "A 22555-2024")</f>
        <v/>
      </c>
      <c r="AA71">
        <f>HYPERLINK("https://klasma.github.io/Logging_0562/klagomål/A 22555-2024 FSC-klagomål.docx", "A 22555-2024")</f>
        <v/>
      </c>
      <c r="AB71">
        <f>HYPERLINK("https://klasma.github.io/Logging_0562/klagomålsmail/A 22555-2024 FSC-klagomål mail.docx", "A 22555-2024")</f>
        <v/>
      </c>
      <c r="AC71">
        <f>HYPERLINK("https://klasma.github.io/Logging_0562/tillsyn/A 22555-2024 tillsynsbegäran.docx", "A 22555-2024")</f>
        <v/>
      </c>
      <c r="AD71">
        <f>HYPERLINK("https://klasma.github.io/Logging_0562/tillsynsmail/A 22555-2024 tillsynsbegäran mail.docx", "A 22555-2024")</f>
        <v/>
      </c>
    </row>
    <row r="72" ht="15" customHeight="1">
      <c r="A72" t="inlineStr">
        <is>
          <t>A 7265-2026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46277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2.2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Havsörn</t>
        </is>
      </c>
      <c r="W72">
        <f>HYPERLINK("https://klasma.github.io/Logging_0562/artfynd/A 7265-2026 artfynd.xlsx", "A 7265-2026")</f>
        <v/>
      </c>
      <c r="X72">
        <f>HYPERLINK("https://klasma.github.io/Logging_0562/kartor/A 7265-2026 karta.png", "A 7265-2026")</f>
        <v/>
      </c>
      <c r="Y72">
        <f>HYPERLINK("https://klasma.github.io/Logging_0562/kartor_geotiff/A 7265-2026 georefererad karta.tif", "A 7265-2026")</f>
        <v/>
      </c>
      <c r="AA72">
        <f>HYPERLINK("https://klasma.github.io/Logging_0562/klagomål/A 7265-2026 FSC-klagomål.docx", "A 7265-2026")</f>
        <v/>
      </c>
      <c r="AB72">
        <f>HYPERLINK("https://klasma.github.io/Logging_0562/klagomålsmail/A 7265-2026 FSC-klagomål mail.docx", "A 7265-2026")</f>
        <v/>
      </c>
      <c r="AC72">
        <f>HYPERLINK("https://klasma.github.io/Logging_0562/tillsyn/A 7265-2026 tillsynsbegäran.docx", "A 7265-2026")</f>
        <v/>
      </c>
      <c r="AD72">
        <f>HYPERLINK("https://klasma.github.io/Logging_0562/tillsynsmail/A 7265-2026 tillsynsbegäran mail.docx", "A 7265-2026")</f>
        <v/>
      </c>
      <c r="AE72">
        <f>HYPERLINK("https://klasma.github.io/Logging_0562/fåglar/A 7265-2026 prioriterade fågelarter.docx", "A 7265-2026")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46277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36128-2023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46277</v>
      </c>
      <c r="F74" t="inlineStr">
        <is>
          <t>ÖSTERGÖTLANDS LÄN</t>
        </is>
      </c>
      <c r="G74" t="inlineStr">
        <is>
          <t>FINSPÅNG</t>
        </is>
      </c>
      <c r="I74" t="n">
        <v>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HYPERLINK("https://klasma.github.io/Logging_0562/artfynd/A 36128-2023 artfynd.xlsx", "A 36128-2023")</f>
        <v/>
      </c>
      <c r="X74">
        <f>HYPERLINK("https://klasma.github.io/Logging_0562/kartor/A 36128-2023 karta.png", "A 36128-2023")</f>
        <v/>
      </c>
      <c r="Y74">
        <f>HYPERLINK("https://klasma.github.io/Logging_0562/kartor_geotiff/A 36128-2023 georefererad karta.tif", "A 36128-2023")</f>
        <v/>
      </c>
      <c r="AA74">
        <f>HYPERLINK("https://klasma.github.io/Logging_0562/klagomål/A 36128-2023 FSC-klagomål.docx", "A 36128-2023")</f>
        <v/>
      </c>
      <c r="AB74">
        <f>HYPERLINK("https://klasma.github.io/Logging_0562/klagomålsmail/A 36128-2023 FSC-klagomål mail.docx", "A 36128-2023")</f>
        <v/>
      </c>
      <c r="AC74">
        <f>HYPERLINK("https://klasma.github.io/Logging_0562/tillsyn/A 36128-2023 tillsynsbegäran.docx", "A 36128-2023")</f>
        <v/>
      </c>
      <c r="AD74">
        <f>HYPERLINK("https://klasma.github.io/Logging_0562/tillsynsmail/A 36128-2023 tillsynsbegäran mail.docx", "A 36128-2023")</f>
        <v/>
      </c>
      <c r="AE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46277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HYPERLINK("https://klasma.github.io/Logging_0562/artfynd/A 53265-2023 artfynd.xlsx", "A 53265-2023")</f>
        <v/>
      </c>
      <c r="X75">
        <f>HYPERLINK("https://klasma.github.io/Logging_0562/kartor/A 53265-2023 karta.png", "A 53265-2023")</f>
        <v/>
      </c>
      <c r="Y75">
        <f>HYPERLINK("https://klasma.github.io/Logging_0562/kartor_geotiff/A 53265-2023 georefererad karta.tif", "A 53265-2023")</f>
        <v/>
      </c>
      <c r="AA75">
        <f>HYPERLINK("https://klasma.github.io/Logging_0562/klagomål/A 53265-2023 FSC-klagomål.docx", "A 53265-2023")</f>
        <v/>
      </c>
      <c r="AB75">
        <f>HYPERLINK("https://klasma.github.io/Logging_0562/klagomålsmail/A 53265-2023 FSC-klagomål mail.docx", "A 53265-2023")</f>
        <v/>
      </c>
      <c r="AC75">
        <f>HYPERLINK("https://klasma.github.io/Logging_0562/tillsyn/A 53265-2023 tillsynsbegäran.docx", "A 53265-2023")</f>
        <v/>
      </c>
      <c r="AD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46277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27456-2026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46189</v>
      </c>
      <c r="E77" s="1" t="n">
        <v>46277</v>
      </c>
      <c r="F77" t="inlineStr">
        <is>
          <t>ÖSTERGÖTLANDS LÄN</t>
        </is>
      </c>
      <c r="G77" t="inlineStr">
        <is>
          <t>FINSPÅNG</t>
        </is>
      </c>
      <c r="I77" t="n">
        <v>0.6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Tibast</t>
        </is>
      </c>
      <c r="W77">
        <f>HYPERLINK("https://klasma.github.io/Logging_0562/artfynd/A 27456-2026 artfynd.xlsx", "A 27456-2026")</f>
        <v/>
      </c>
      <c r="X77">
        <f>HYPERLINK("https://klasma.github.io/Logging_0562/kartor/A 27456-2026 karta.png", "A 27456-2026")</f>
        <v/>
      </c>
      <c r="Y77">
        <f>HYPERLINK("https://klasma.github.io/Logging_0562/kartor_geotiff/A 27456-2026 georefererad karta.tif", "A 27456-2026")</f>
        <v/>
      </c>
      <c r="AA77">
        <f>HYPERLINK("https://klasma.github.io/Logging_0562/klagomål/A 27456-2026 FSC-klagomål.docx", "A 27456-2026")</f>
        <v/>
      </c>
      <c r="AB77">
        <f>HYPERLINK("https://klasma.github.io/Logging_0562/klagomålsmail/A 27456-2026 FSC-klagomål mail.docx", "A 27456-2026")</f>
        <v/>
      </c>
      <c r="AC77">
        <f>HYPERLINK("https://klasma.github.io/Logging_0562/tillsyn/A 27456-2026 tillsynsbegäran.docx", "A 27456-2026")</f>
        <v/>
      </c>
      <c r="AD77">
        <f>HYPERLINK("https://klasma.github.io/Logging_0562/tillsynsmail/A 27456-2026 tillsynsbegäran mail.docx", "A 27456-2026")</f>
        <v/>
      </c>
    </row>
    <row r="78" ht="15" customHeight="1">
      <c r="A78" t="inlineStr">
        <is>
          <t>A 40385-2024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46277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1.7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HYPERLINK("https://klasma.github.io/Logging_0562/artfynd/A 40385-2024 artfynd.xlsx", "A 40385-2024")</f>
        <v/>
      </c>
      <c r="X78">
        <f>HYPERLINK("https://klasma.github.io/Logging_0562/kartor/A 40385-2024 karta.png", "A 40385-2024")</f>
        <v/>
      </c>
      <c r="Y78">
        <f>HYPERLINK("https://klasma.github.io/Logging_0562/kartor_geotiff/A 40385-2024 georefererad karta.tif", "A 40385-2024")</f>
        <v/>
      </c>
      <c r="AA78">
        <f>HYPERLINK("https://klasma.github.io/Logging_0562/klagomål/A 40385-2024 FSC-klagomål.docx", "A 40385-2024")</f>
        <v/>
      </c>
      <c r="AB78">
        <f>HYPERLINK("https://klasma.github.io/Logging_0562/klagomålsmail/A 40385-2024 FSC-klagomål mail.docx", "A 40385-2024")</f>
        <v/>
      </c>
      <c r="AC78">
        <f>HYPERLINK("https://klasma.github.io/Logging_0562/tillsyn/A 40385-2024 tillsynsbegäran.docx", "A 40385-2024")</f>
        <v/>
      </c>
      <c r="AD78">
        <f>HYPERLINK("https://klasma.github.io/Logging_0562/tillsynsmail/A 40385-2024 tillsynsbegäran mail.docx", "A 40385-2024")</f>
        <v/>
      </c>
      <c r="AE78">
        <f>HYPERLINK("https://klasma.github.io/Logging_0562/fåglar/A 40385-2024 prioriterade fågelarter.docx", "A 40385-2024")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46277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46277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46277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46277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24411-2023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45082</v>
      </c>
      <c r="E83" s="1" t="n">
        <v>46277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Blåmossa</t>
        </is>
      </c>
      <c r="W83">
        <f>HYPERLINK("https://klasma.github.io/Logging_0562/artfynd/A 24411-2023 artfynd.xlsx", "A 24411-2023")</f>
        <v/>
      </c>
      <c r="X83">
        <f>HYPERLINK("https://klasma.github.io/Logging_0562/kartor/A 24411-2023 karta.png", "A 24411-2023")</f>
        <v/>
      </c>
      <c r="Y83">
        <f>HYPERLINK("https://klasma.github.io/Logging_0562/kartor_geotiff/A 24411-2023 georefererad karta.tif", "A 24411-2023")</f>
        <v/>
      </c>
      <c r="AA83">
        <f>HYPERLINK("https://klasma.github.io/Logging_0562/klagomål/A 24411-2023 FSC-klagomål.docx", "A 24411-2023")</f>
        <v/>
      </c>
      <c r="AB83">
        <f>HYPERLINK("https://klasma.github.io/Logging_0562/klagomålsmail/A 24411-2023 FSC-klagomål mail.docx", "A 24411-2023")</f>
        <v/>
      </c>
      <c r="AC83">
        <f>HYPERLINK("https://klasma.github.io/Logging_0562/tillsyn/A 24411-2023 tillsynsbegäran.docx", "A 24411-2023")</f>
        <v/>
      </c>
      <c r="AD83">
        <f>HYPERLINK("https://klasma.github.io/Logging_0562/tillsynsmail/A 24411-2023 tillsynsbegäran mail.docx", "A 24411-2023")</f>
        <v/>
      </c>
    </row>
    <row r="84" ht="15" customHeight="1">
      <c r="A84" t="inlineStr">
        <is>
          <t>A 15123-2025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46277</v>
      </c>
      <c r="F84" t="inlineStr">
        <is>
          <t>ÖSTERGÖTLANDS LÄN</t>
        </is>
      </c>
      <c r="G84" t="inlineStr">
        <is>
          <t>FINSPÅNG</t>
        </is>
      </c>
      <c r="H84" t="inlineStr">
        <is>
          <t>Naturvårdsverket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HYPERLINK("https://klasma.github.io/Logging_0562/artfynd/A 15123-2025 artfynd.xlsx", "A 15123-2025")</f>
        <v/>
      </c>
      <c r="X84">
        <f>HYPERLINK("https://klasma.github.io/Logging_0562/kartor/A 15123-2025 karta.png", "A 15123-2025")</f>
        <v/>
      </c>
      <c r="Y84">
        <f>HYPERLINK("https://klasma.github.io/Logging_0562/kartor_geotiff/A 15123-2025 georefererad karta.tif", "A 15123-2025")</f>
        <v/>
      </c>
      <c r="AA84">
        <f>HYPERLINK("https://klasma.github.io/Logging_0562/klagomål/A 15123-2025 FSC-klagomål.docx", "A 15123-2025")</f>
        <v/>
      </c>
      <c r="AB84">
        <f>HYPERLINK("https://klasma.github.io/Logging_0562/klagomålsmail/A 15123-2025 FSC-klagomål mail.docx", "A 15123-2025")</f>
        <v/>
      </c>
      <c r="AC84">
        <f>HYPERLINK("https://klasma.github.io/Logging_0562/tillsyn/A 15123-2025 tillsynsbegäran.docx", "A 15123-2025")</f>
        <v/>
      </c>
      <c r="AD84">
        <f>HYPERLINK("https://klasma.github.io/Logging_0562/tillsynsmail/A 15123-2025 tillsynsbegäran mail.docx", "A 15123-2025")</f>
        <v/>
      </c>
      <c r="AE84">
        <f>HYPERLINK("https://klasma.github.io/Logging_0562/fåglar/A 15123-2025 prioriterade fågelarter.docx", "A 15123-2025")</f>
        <v/>
      </c>
    </row>
    <row r="85" ht="15" customHeight="1">
      <c r="A85" t="inlineStr">
        <is>
          <t>A 22259-2024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46277</v>
      </c>
      <c r="F85" t="inlineStr">
        <is>
          <t>ÖSTERGÖTLANDS LÄN</t>
        </is>
      </c>
      <c r="G85" t="inlineStr">
        <is>
          <t>FINSPÅNG</t>
        </is>
      </c>
      <c r="I85" t="n">
        <v>2.7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HYPERLINK("https://klasma.github.io/Logging_0562/artfynd/A 22259-2024 artfynd.xlsx", "A 22259-2024")</f>
        <v/>
      </c>
      <c r="X85">
        <f>HYPERLINK("https://klasma.github.io/Logging_0562/kartor/A 22259-2024 karta.png", "A 22259-2024")</f>
        <v/>
      </c>
      <c r="Y85">
        <f>HYPERLINK("https://klasma.github.io/Logging_0562/kartor_geotiff/A 22259-2024 georefererad karta.tif", "A 22259-2024")</f>
        <v/>
      </c>
      <c r="AA85">
        <f>HYPERLINK("https://klasma.github.io/Logging_0562/klagomål/A 22259-2024 FSC-klagomål.docx", "A 22259-2024")</f>
        <v/>
      </c>
      <c r="AB85">
        <f>HYPERLINK("https://klasma.github.io/Logging_0562/klagomålsmail/A 22259-2024 FSC-klagomål mail.docx", "A 22259-2024")</f>
        <v/>
      </c>
      <c r="AC85">
        <f>HYPERLINK("https://klasma.github.io/Logging_0562/tillsyn/A 22259-2024 tillsynsbegäran.docx", "A 22259-2024")</f>
        <v/>
      </c>
      <c r="AD85">
        <f>HYPERLINK("https://klasma.github.io/Logging_0562/tillsynsmail/A 22259-2024 tillsynsbegäran mail.docx", "A 22259-2024")</f>
        <v/>
      </c>
    </row>
    <row r="86" ht="15" customHeight="1">
      <c r="A86" t="inlineStr">
        <is>
          <t>A 34885-2026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46277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4.2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HYPERLINK("https://klasma.github.io/Logging_0562/artfynd/A 34885-2026 artfynd.xlsx", "A 34885-2026")</f>
        <v/>
      </c>
      <c r="X86">
        <f>HYPERLINK("https://klasma.github.io/Logging_0562/kartor/A 34885-2026 karta.png", "A 34885-2026")</f>
        <v/>
      </c>
      <c r="Y86">
        <f>HYPERLINK("https://klasma.github.io/Logging_0562/kartor_geotiff/A 34885-2026 georefererad karta.tif", "A 34885-2026")</f>
        <v/>
      </c>
      <c r="AA86">
        <f>HYPERLINK("https://klasma.github.io/Logging_0562/klagomål/A 34885-2026 FSC-klagomål.docx", "A 34885-2026")</f>
        <v/>
      </c>
      <c r="AB86">
        <f>HYPERLINK("https://klasma.github.io/Logging_0562/klagomålsmail/A 34885-2026 FSC-klagomål mail.docx", "A 34885-2026")</f>
        <v/>
      </c>
      <c r="AC86">
        <f>HYPERLINK("https://klasma.github.io/Logging_0562/tillsyn/A 34885-2026 tillsynsbegäran.docx", "A 34885-2026")</f>
        <v/>
      </c>
      <c r="AD86">
        <f>HYPERLINK("https://klasma.github.io/Logging_0562/tillsynsmail/A 34885-2026 tillsynsbegäran mail.docx", "A 34885-2026")</f>
        <v/>
      </c>
      <c r="AE86">
        <f>HYPERLINK("https://klasma.github.io/Logging_0562/fåglar/A 34885-2026 prioriterade fågelarter.docx", "A 34885-2026")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46277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25942-2026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46277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HYPERLINK("https://klasma.github.io/Logging_0562/artfynd/A 25942-2026 artfynd.xlsx", "A 25942-2026")</f>
        <v/>
      </c>
      <c r="X88">
        <f>HYPERLINK("https://klasma.github.io/Logging_0562/kartor/A 25942-2026 karta.png", "A 25942-2026")</f>
        <v/>
      </c>
      <c r="Y88">
        <f>HYPERLINK("https://klasma.github.io/Logging_0562/kartor_geotiff/A 25942-2026 georefererad karta.tif", "A 25942-2026")</f>
        <v/>
      </c>
      <c r="AA88">
        <f>HYPERLINK("https://klasma.github.io/Logging_0562/klagomål/A 25942-2026 FSC-klagomål.docx", "A 25942-2026")</f>
        <v/>
      </c>
      <c r="AB88">
        <f>HYPERLINK("https://klasma.github.io/Logging_0562/klagomålsmail/A 25942-2026 FSC-klagomål mail.docx", "A 25942-2026")</f>
        <v/>
      </c>
      <c r="AC88">
        <f>HYPERLINK("https://klasma.github.io/Logging_0562/tillsyn/A 25942-2026 tillsynsbegäran.docx", "A 25942-2026")</f>
        <v/>
      </c>
      <c r="AD88">
        <f>HYPERLINK("https://klasma.github.io/Logging_0562/tillsynsmail/A 25942-2026 tillsynsbegäran mail.docx", "A 25942-2026")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46277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A 27861-2025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46277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3.1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Plattlummer</t>
        </is>
      </c>
      <c r="W90">
        <f>HYPERLINK("https://klasma.github.io/Logging_0562/artfynd/A 27861-2025 artfynd.xlsx", "A 27861-2025")</f>
        <v/>
      </c>
      <c r="X90">
        <f>HYPERLINK("https://klasma.github.io/Logging_0562/kartor/A 27861-2025 karta.png", "A 27861-2025")</f>
        <v/>
      </c>
      <c r="Y90">
        <f>HYPERLINK("https://klasma.github.io/Logging_0562/kartor_geotiff/A 27861-2025 georefererad karta.tif", "A 27861-2025")</f>
        <v/>
      </c>
      <c r="AA90">
        <f>HYPERLINK("https://klasma.github.io/Logging_0562/klagomål/A 27861-2025 FSC-klagomål.docx", "A 27861-2025")</f>
        <v/>
      </c>
      <c r="AB90">
        <f>HYPERLINK("https://klasma.github.io/Logging_0562/klagomålsmail/A 27861-2025 FSC-klagomål mail.docx", "A 27861-2025")</f>
        <v/>
      </c>
      <c r="AC90">
        <f>HYPERLINK("https://klasma.github.io/Logging_0562/tillsyn/A 27861-2025 tillsynsbegäran.docx", "A 27861-2025")</f>
        <v/>
      </c>
      <c r="AD90">
        <f>HYPERLINK("https://klasma.github.io/Logging_0562/tillsynsmail/A 27861-2025 tillsynsbegäran mail.docx", "A 27861-2025")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46277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46277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46277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46277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46277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46277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46277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46277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46277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46277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46277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46277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46277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46277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46277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46277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46277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46277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46277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46277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46277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46277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46277</v>
      </c>
      <c r="F113" t="inlineStr">
        <is>
          <t>ÖSTERGÖTLANDS LÄN</t>
        </is>
      </c>
      <c r="G113" t="inlineStr">
        <is>
          <t>FINSPÅNG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46277</v>
      </c>
      <c r="F114" t="inlineStr">
        <is>
          <t>ÖSTERGÖTLANDS LÄN</t>
        </is>
      </c>
      <c r="G114" t="inlineStr">
        <is>
          <t>FINSPÅNG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44462</v>
      </c>
      <c r="E115" s="1" t="n">
        <v>46277</v>
      </c>
      <c r="F115" t="inlineStr">
        <is>
          <t>ÖSTERGÖTLANDS LÄN</t>
        </is>
      </c>
      <c r="G115" t="inlineStr">
        <is>
          <t>FINSPÅNG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46277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46277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56050-2022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46277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46277</v>
      </c>
      <c r="F119" t="inlineStr">
        <is>
          <t>ÖSTERGÖTLANDS LÄN</t>
        </is>
      </c>
      <c r="G119" t="inlineStr">
        <is>
          <t>FINSPÅNG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46277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46277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46277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46277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46277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46277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46277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46277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46277</v>
      </c>
      <c r="F128" t="inlineStr">
        <is>
          <t>ÖSTERGÖTLANDS LÄN</t>
        </is>
      </c>
      <c r="G128" t="inlineStr">
        <is>
          <t>FINSPÅNG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46277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46277</v>
      </c>
      <c r="F130" t="inlineStr">
        <is>
          <t>ÖSTERGÖTLANDS LÄN</t>
        </is>
      </c>
      <c r="G130" t="inlineStr">
        <is>
          <t>FINSPÅNG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46277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46277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46277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46277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46277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46277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46277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46277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46277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46277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46277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46277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46277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46277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46277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46277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46277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46277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46277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46277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46277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46277</v>
      </c>
      <c r="F152" t="inlineStr">
        <is>
          <t>ÖSTERGÖTLANDS LÄN</t>
        </is>
      </c>
      <c r="G152" t="inlineStr">
        <is>
          <t>FINSPÅNG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53741-2021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46277</v>
      </c>
      <c r="F153" t="inlineStr">
        <is>
          <t>ÖSTERGÖTLANDS LÄN</t>
        </is>
      </c>
      <c r="G153" t="inlineStr">
        <is>
          <t>FINSPÅNG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46277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44508</v>
      </c>
      <c r="E155" s="1" t="n">
        <v>46277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46277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46277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46277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46277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46277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46277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46277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73831-2021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46277</v>
      </c>
      <c r="F163" t="inlineStr">
        <is>
          <t>ÖSTERGÖTLANDS LÄN</t>
        </is>
      </c>
      <c r="G163" t="inlineStr">
        <is>
          <t>FINSPÅNG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46277</v>
      </c>
      <c r="F164" t="inlineStr">
        <is>
          <t>ÖSTERGÖTLANDS LÄN</t>
        </is>
      </c>
      <c r="G164" t="inlineStr">
        <is>
          <t>FINSPÅNG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46277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Övriga Aktiebolag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44581</v>
      </c>
      <c r="E166" s="1" t="n">
        <v>46277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46277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46277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46277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46277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46277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46277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46277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46277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46277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46277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46277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46277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44462</v>
      </c>
      <c r="E179" s="1" t="n">
        <v>46277</v>
      </c>
      <c r="F179" t="inlineStr">
        <is>
          <t>ÖSTERGÖTLANDS LÄN</t>
        </is>
      </c>
      <c r="G179" t="inlineStr">
        <is>
          <t>FINSPÅNG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44859</v>
      </c>
      <c r="E180" s="1" t="n">
        <v>46277</v>
      </c>
      <c r="F180" t="inlineStr">
        <is>
          <t>ÖSTERGÖTLANDS LÄN</t>
        </is>
      </c>
      <c r="G180" t="inlineStr">
        <is>
          <t>FINSPÅNG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46277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46277</v>
      </c>
      <c r="F182" t="inlineStr">
        <is>
          <t>ÖSTERGÖTLANDS LÄN</t>
        </is>
      </c>
      <c r="G182" t="inlineStr">
        <is>
          <t>FINSPÅNG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46277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44776</v>
      </c>
      <c r="E184" s="1" t="n">
        <v>46277</v>
      </c>
      <c r="F184" t="inlineStr">
        <is>
          <t>ÖSTERGÖTLANDS LÄN</t>
        </is>
      </c>
      <c r="G184" t="inlineStr">
        <is>
          <t>FINSPÅNG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46277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46277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46277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53475-2021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44468</v>
      </c>
      <c r="E188" s="1" t="n">
        <v>46277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Övriga Aktiebolag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46277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46277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46277</v>
      </c>
      <c r="F191" t="inlineStr">
        <is>
          <t>ÖSTERGÖTLANDS LÄN</t>
        </is>
      </c>
      <c r="G191" t="inlineStr">
        <is>
          <t>FINSPÅNG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46277</v>
      </c>
      <c r="F192" t="inlineStr">
        <is>
          <t>ÖSTERGÖTLANDS LÄN</t>
        </is>
      </c>
      <c r="G192" t="inlineStr">
        <is>
          <t>FINSPÅNG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46277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46277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Sveaskog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44564</v>
      </c>
      <c r="E195" s="1" t="n">
        <v>46277</v>
      </c>
      <c r="F195" t="inlineStr">
        <is>
          <t>ÖSTERGÖTLANDS LÄN</t>
        </is>
      </c>
      <c r="G195" t="inlineStr">
        <is>
          <t>FINSPÅNG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46277</v>
      </c>
      <c r="F196" t="inlineStr">
        <is>
          <t>ÖSTERGÖTLANDS LÄN</t>
        </is>
      </c>
      <c r="G196" t="inlineStr">
        <is>
          <t>FINSPÅNG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44754</v>
      </c>
      <c r="E197" s="1" t="n">
        <v>46277</v>
      </c>
      <c r="F197" t="inlineStr">
        <is>
          <t>ÖSTERGÖTLANDS LÄN</t>
        </is>
      </c>
      <c r="G197" t="inlineStr">
        <is>
          <t>FINSPÅNG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46277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45042</v>
      </c>
      <c r="E199" s="1" t="n">
        <v>46277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46277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54916-2024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45618</v>
      </c>
      <c r="E201" s="1" t="n">
        <v>46277</v>
      </c>
      <c r="F201" t="inlineStr">
        <is>
          <t>ÖSTERGÖTLANDS LÄN</t>
        </is>
      </c>
      <c r="G201" t="inlineStr">
        <is>
          <t>FINSPÅNG</t>
        </is>
      </c>
      <c r="I201" t="n">
        <v>11.8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44802</v>
      </c>
      <c r="E202" s="1" t="n">
        <v>46277</v>
      </c>
      <c r="F202" t="inlineStr">
        <is>
          <t>ÖSTERGÖTLANDS LÄN</t>
        </is>
      </c>
      <c r="G202" t="inlineStr">
        <is>
          <t>FINSPÅNG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32044-2022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44778</v>
      </c>
      <c r="E203" s="1" t="n">
        <v>46277</v>
      </c>
      <c r="F203" t="inlineStr">
        <is>
          <t>ÖSTERGÖTLANDS LÄN</t>
        </is>
      </c>
      <c r="G203" t="inlineStr">
        <is>
          <t>FINSPÅNG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46277</v>
      </c>
      <c r="F204" t="inlineStr">
        <is>
          <t>ÖSTERGÖTLANDS LÄN</t>
        </is>
      </c>
      <c r="G204" t="inlineStr">
        <is>
          <t>FINSPÅNG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45374</v>
      </c>
      <c r="E205" s="1" t="n">
        <v>46277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Kyrkan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46277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46277</v>
      </c>
      <c r="F207" t="inlineStr">
        <is>
          <t>ÖSTERGÖTLANDS LÄN</t>
        </is>
      </c>
      <c r="G207" t="inlineStr">
        <is>
          <t>FINSPÅNG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44930</v>
      </c>
      <c r="E208" s="1" t="n">
        <v>46277</v>
      </c>
      <c r="F208" t="inlineStr">
        <is>
          <t>ÖSTERGÖTLANDS LÄN</t>
        </is>
      </c>
      <c r="G208" t="inlineStr">
        <is>
          <t>FINSPÅNG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44833</v>
      </c>
      <c r="E209" s="1" t="n">
        <v>46277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Övriga Aktiebolag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44844</v>
      </c>
      <c r="E210" s="1" t="n">
        <v>46277</v>
      </c>
      <c r="F210" t="inlineStr">
        <is>
          <t>ÖSTERGÖTLANDS LÄN</t>
        </is>
      </c>
      <c r="G210" t="inlineStr">
        <is>
          <t>FINSPÅNG</t>
        </is>
      </c>
      <c r="I210" t="n">
        <v>16.6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46277</v>
      </c>
      <c r="F211" t="inlineStr">
        <is>
          <t>ÖSTERGÖTLANDS LÄN</t>
        </is>
      </c>
      <c r="G211" t="inlineStr">
        <is>
          <t>FINSPÅNG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44816</v>
      </c>
      <c r="E212" s="1" t="n">
        <v>46277</v>
      </c>
      <c r="F212" t="inlineStr">
        <is>
          <t>ÖSTERGÖTLANDS LÄN</t>
        </is>
      </c>
      <c r="G212" t="inlineStr">
        <is>
          <t>FINSPÅNG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45744</v>
      </c>
      <c r="E213" s="1" t="n">
        <v>46277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Naturvårdsverket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46277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Naturvårdsverket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36406-2024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45535</v>
      </c>
      <c r="E215" s="1" t="n">
        <v>46277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44770</v>
      </c>
      <c r="E216" s="1" t="n">
        <v>46277</v>
      </c>
      <c r="F216" t="inlineStr">
        <is>
          <t>ÖSTERGÖTLANDS LÄN</t>
        </is>
      </c>
      <c r="G216" t="inlineStr">
        <is>
          <t>FINSPÅNG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45357</v>
      </c>
      <c r="E217" s="1" t="n">
        <v>46277</v>
      </c>
      <c r="F217" t="inlineStr">
        <is>
          <t>ÖSTERGÖTLANDS LÄN</t>
        </is>
      </c>
      <c r="G217" t="inlineStr">
        <is>
          <t>FINSPÅNG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45252</v>
      </c>
      <c r="E218" s="1" t="n">
        <v>46277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46277</v>
      </c>
      <c r="F219" t="inlineStr">
        <is>
          <t>ÖSTERGÖTLANDS LÄN</t>
        </is>
      </c>
      <c r="G219" t="inlineStr">
        <is>
          <t>FINSPÅNG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46277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45447</v>
      </c>
      <c r="E221" s="1" t="n">
        <v>46277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46277</v>
      </c>
      <c r="F222" t="inlineStr">
        <is>
          <t>ÖSTERGÖTLANDS LÄN</t>
        </is>
      </c>
      <c r="G222" t="inlineStr">
        <is>
          <t>FINSPÅNG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46277</v>
      </c>
      <c r="F223" t="inlineStr">
        <is>
          <t>ÖSTERGÖTLANDS LÄN</t>
        </is>
      </c>
      <c r="G223" t="inlineStr">
        <is>
          <t>FINSPÅNG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44767</v>
      </c>
      <c r="E224" s="1" t="n">
        <v>46277</v>
      </c>
      <c r="F224" t="inlineStr">
        <is>
          <t>ÖSTERGÖTLANDS LÄN</t>
        </is>
      </c>
      <c r="G224" t="inlineStr">
        <is>
          <t>FINSPÅNG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10184-2023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44986</v>
      </c>
      <c r="E225" s="1" t="n">
        <v>46277</v>
      </c>
      <c r="F225" t="inlineStr">
        <is>
          <t>ÖSTERGÖTLANDS LÄN</t>
        </is>
      </c>
      <c r="G225" t="inlineStr">
        <is>
          <t>FINSPÅNG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45442</v>
      </c>
      <c r="E226" s="1" t="n">
        <v>46277</v>
      </c>
      <c r="F226" t="inlineStr">
        <is>
          <t>ÖSTERGÖTLANDS LÄN</t>
        </is>
      </c>
      <c r="G226" t="inlineStr">
        <is>
          <t>FINSPÅNG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46277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45541</v>
      </c>
      <c r="E228" s="1" t="n">
        <v>46277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45258</v>
      </c>
      <c r="E229" s="1" t="n">
        <v>46277</v>
      </c>
      <c r="F229" t="inlineStr">
        <is>
          <t>ÖSTERGÖTLANDS LÄN</t>
        </is>
      </c>
      <c r="G229" t="inlineStr">
        <is>
          <t>FINSPÅNG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46277</v>
      </c>
      <c r="F230" t="inlineStr">
        <is>
          <t>ÖSTERGÖTLANDS LÄN</t>
        </is>
      </c>
      <c r="G230" t="inlineStr">
        <is>
          <t>FINSPÅNG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46277</v>
      </c>
      <c r="F231" t="inlineStr">
        <is>
          <t>ÖSTERGÖTLANDS LÄN</t>
        </is>
      </c>
      <c r="G231" t="inlineStr">
        <is>
          <t>FINSPÅNG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45323</v>
      </c>
      <c r="E232" s="1" t="n">
        <v>46277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46277</v>
      </c>
      <c r="F233" t="inlineStr">
        <is>
          <t>ÖSTERGÖTLANDS LÄN</t>
        </is>
      </c>
      <c r="G233" t="inlineStr">
        <is>
          <t>FINSPÅNG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44891</v>
      </c>
      <c r="E234" s="1" t="n">
        <v>46277</v>
      </c>
      <c r="F234" t="inlineStr">
        <is>
          <t>ÖSTERGÖTLANDS LÄN</t>
        </is>
      </c>
      <c r="G234" t="inlineStr">
        <is>
          <t>FINSPÅNG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45551</v>
      </c>
      <c r="E235" s="1" t="n">
        <v>46277</v>
      </c>
      <c r="F235" t="inlineStr">
        <is>
          <t>ÖSTERGÖTLANDS LÄN</t>
        </is>
      </c>
      <c r="G235" t="inlineStr">
        <is>
          <t>FINSPÅNG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45097</v>
      </c>
      <c r="E236" s="1" t="n">
        <v>46277</v>
      </c>
      <c r="F236" t="inlineStr">
        <is>
          <t>ÖSTERGÖTLANDS LÄN</t>
        </is>
      </c>
      <c r="G236" t="inlineStr">
        <is>
          <t>FINSPÅNG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45095</v>
      </c>
      <c r="E237" s="1" t="n">
        <v>46277</v>
      </c>
      <c r="F237" t="inlineStr">
        <is>
          <t>ÖSTERGÖTLANDS LÄN</t>
        </is>
      </c>
      <c r="G237" t="inlineStr">
        <is>
          <t>FINSPÅNG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46277</v>
      </c>
      <c r="F238" t="inlineStr">
        <is>
          <t>ÖSTERGÖTLANDS LÄN</t>
        </is>
      </c>
      <c r="G238" t="inlineStr">
        <is>
          <t>FINSPÅNG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46277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50063-2022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44860</v>
      </c>
      <c r="E240" s="1" t="n">
        <v>46277</v>
      </c>
      <c r="F240" t="inlineStr">
        <is>
          <t>ÖSTERGÖTLANDS LÄN</t>
        </is>
      </c>
      <c r="G240" t="inlineStr">
        <is>
          <t>FINSPÅNG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46277</v>
      </c>
      <c r="F241" t="inlineStr">
        <is>
          <t>ÖSTERGÖTLANDS LÄN</t>
        </is>
      </c>
      <c r="G241" t="inlineStr">
        <is>
          <t>FINSPÅNG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55812-2021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46277</v>
      </c>
      <c r="F242" t="inlineStr">
        <is>
          <t>ÖSTERGÖTLANDS LÄN</t>
        </is>
      </c>
      <c r="G242" t="inlineStr">
        <is>
          <t>FINSPÅNG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46277</v>
      </c>
      <c r="F243" t="inlineStr">
        <is>
          <t>ÖSTERGÖTLANDS LÄN</t>
        </is>
      </c>
      <c r="G243" t="inlineStr">
        <is>
          <t>FINSPÅNG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46277</v>
      </c>
      <c r="F244" t="inlineStr">
        <is>
          <t>ÖSTERGÖTLANDS LÄN</t>
        </is>
      </c>
      <c r="G244" t="inlineStr">
        <is>
          <t>FINSPÅNG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45428</v>
      </c>
      <c r="E245" s="1" t="n">
        <v>46277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45428</v>
      </c>
      <c r="E246" s="1" t="n">
        <v>46277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46277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Övriga Aktiebolag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45407-2022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44844</v>
      </c>
      <c r="E248" s="1" t="n">
        <v>46277</v>
      </c>
      <c r="F248" t="inlineStr">
        <is>
          <t>ÖSTERGÖTLANDS LÄN</t>
        </is>
      </c>
      <c r="G248" t="inlineStr">
        <is>
          <t>FINSPÅNG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44844</v>
      </c>
      <c r="E249" s="1" t="n">
        <v>46277</v>
      </c>
      <c r="F249" t="inlineStr">
        <is>
          <t>ÖSTERGÖTLANDS LÄN</t>
        </is>
      </c>
      <c r="G249" t="inlineStr">
        <is>
          <t>FINSPÅNG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50542-2022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44866</v>
      </c>
      <c r="E250" s="1" t="n">
        <v>46277</v>
      </c>
      <c r="F250" t="inlineStr">
        <is>
          <t>ÖSTERGÖTLANDS LÄN</t>
        </is>
      </c>
      <c r="G250" t="inlineStr">
        <is>
          <t>FINSPÅNG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44840</v>
      </c>
      <c r="E251" s="1" t="n">
        <v>46277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46277</v>
      </c>
      <c r="F252" t="inlineStr">
        <is>
          <t>ÖSTERGÖTLANDS LÄN</t>
        </is>
      </c>
      <c r="G252" t="inlineStr">
        <is>
          <t>FINSPÅNG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50341-2022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46277</v>
      </c>
      <c r="F253" t="inlineStr">
        <is>
          <t>ÖSTERGÖTLANDS LÄN</t>
        </is>
      </c>
      <c r="G253" t="inlineStr">
        <is>
          <t>FINSPÅNG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56246-2022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44887</v>
      </c>
      <c r="E254" s="1" t="n">
        <v>46277</v>
      </c>
      <c r="F254" t="inlineStr">
        <is>
          <t>ÖSTERGÖTLANDS LÄN</t>
        </is>
      </c>
      <c r="G254" t="inlineStr">
        <is>
          <t>FINSPÅNG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44887</v>
      </c>
      <c r="E255" s="1" t="n">
        <v>46277</v>
      </c>
      <c r="F255" t="inlineStr">
        <is>
          <t>ÖSTERGÖTLANDS LÄN</t>
        </is>
      </c>
      <c r="G255" t="inlineStr">
        <is>
          <t>FINSPÅNG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44656</v>
      </c>
      <c r="E256" s="1" t="n">
        <v>46277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45642</v>
      </c>
      <c r="E257" s="1" t="n">
        <v>46277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45740</v>
      </c>
      <c r="E258" s="1" t="n">
        <v>46277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12216-2022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44637</v>
      </c>
      <c r="E259" s="1" t="n">
        <v>46277</v>
      </c>
      <c r="F259" t="inlineStr">
        <is>
          <t>ÖSTERGÖTLANDS LÄN</t>
        </is>
      </c>
      <c r="G259" t="inlineStr">
        <is>
          <t>FINSPÅNG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44966</v>
      </c>
      <c r="E260" s="1" t="n">
        <v>46277</v>
      </c>
      <c r="F260" t="inlineStr">
        <is>
          <t>ÖSTERGÖTLANDS LÄN</t>
        </is>
      </c>
      <c r="G260" t="inlineStr">
        <is>
          <t>FINSPÅNG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55457-2024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46277</v>
      </c>
      <c r="F261" t="inlineStr">
        <is>
          <t>ÖSTERGÖTLANDS LÄN</t>
        </is>
      </c>
      <c r="G261" t="inlineStr">
        <is>
          <t>FINSPÅNG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46277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46277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46277</v>
      </c>
      <c r="F264" t="inlineStr">
        <is>
          <t>ÖSTERGÖTLANDS LÄN</t>
        </is>
      </c>
      <c r="G264" t="inlineStr">
        <is>
          <t>FINSPÅNG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44491</v>
      </c>
      <c r="E265" s="1" t="n">
        <v>46277</v>
      </c>
      <c r="F265" t="inlineStr">
        <is>
          <t>ÖSTERGÖTLANDS LÄN</t>
        </is>
      </c>
      <c r="G265" t="inlineStr">
        <is>
          <t>FINSPÅNG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17104-2022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44677</v>
      </c>
      <c r="E266" s="1" t="n">
        <v>46277</v>
      </c>
      <c r="F266" t="inlineStr">
        <is>
          <t>ÖSTERGÖTLANDS LÄN</t>
        </is>
      </c>
      <c r="G266" t="inlineStr">
        <is>
          <t>FINSPÅNG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46277</v>
      </c>
      <c r="F267" t="inlineStr">
        <is>
          <t>ÖSTERGÖTLANDS LÄN</t>
        </is>
      </c>
      <c r="G267" t="inlineStr">
        <is>
          <t>FINSPÅNG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46277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46277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46277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46277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46063</v>
      </c>
      <c r="E272" s="1" t="n">
        <v>46277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45554</v>
      </c>
      <c r="E273" s="1" t="n">
        <v>46277</v>
      </c>
      <c r="F273" t="inlineStr">
        <is>
          <t>ÖSTERGÖTLANDS LÄN</t>
        </is>
      </c>
      <c r="G273" t="inlineStr">
        <is>
          <t>FINSPÅNG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8270-2026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46277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Sveaskog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46277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46277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Sveaskog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8266-2026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46277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Sveaskog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46277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45824</v>
      </c>
      <c r="E279" s="1" t="n">
        <v>46277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45824</v>
      </c>
      <c r="E280" s="1" t="n">
        <v>46277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46277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46277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42785-2024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45566</v>
      </c>
      <c r="E283" s="1" t="n">
        <v>46277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46277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46277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46277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9084-2026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46069</v>
      </c>
      <c r="E287" s="1" t="n">
        <v>46277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45428</v>
      </c>
      <c r="E288" s="1" t="n">
        <v>46277</v>
      </c>
      <c r="F288" t="inlineStr">
        <is>
          <t>ÖSTERGÖTLANDS LÄN</t>
        </is>
      </c>
      <c r="G288" t="inlineStr">
        <is>
          <t>FINSPÅNG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46277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9173-2026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46277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45883</v>
      </c>
      <c r="E291" s="1" t="n">
        <v>46277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46277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45343</v>
      </c>
      <c r="E293" s="1" t="n">
        <v>46277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45441</v>
      </c>
      <c r="E294" s="1" t="n">
        <v>46277</v>
      </c>
      <c r="F294" t="inlineStr">
        <is>
          <t>ÖSTERGÖTLANDS LÄN</t>
        </is>
      </c>
      <c r="G294" t="inlineStr">
        <is>
          <t>FINSPÅNG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45441</v>
      </c>
      <c r="E295" s="1" t="n">
        <v>46277</v>
      </c>
      <c r="F295" t="inlineStr">
        <is>
          <t>ÖSTERGÖTLANDS LÄN</t>
        </is>
      </c>
      <c r="G295" t="inlineStr">
        <is>
          <t>FINSPÅNG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46277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46277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42202-2023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45179</v>
      </c>
      <c r="E298" s="1" t="n">
        <v>46277</v>
      </c>
      <c r="F298" t="inlineStr">
        <is>
          <t>ÖSTERGÖTLANDS LÄN</t>
        </is>
      </c>
      <c r="G298" t="inlineStr">
        <is>
          <t>FINSPÅNG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45179</v>
      </c>
      <c r="E299" s="1" t="n">
        <v>46277</v>
      </c>
      <c r="F299" t="inlineStr">
        <is>
          <t>ÖSTERGÖTLANDS LÄN</t>
        </is>
      </c>
      <c r="G299" t="inlineStr">
        <is>
          <t>FINSPÅNG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45621</v>
      </c>
      <c r="E300" s="1" t="n">
        <v>46277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32246-2025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46277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44734</v>
      </c>
      <c r="E302" s="1" t="n">
        <v>46277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44732</v>
      </c>
      <c r="E303" s="1" t="n">
        <v>46277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33159-2025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46277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46277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46277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Allmännings- och besparingsskogar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45894</v>
      </c>
      <c r="E307" s="1" t="n">
        <v>46277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44918</v>
      </c>
      <c r="E308" s="1" t="n">
        <v>46277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46277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45705</v>
      </c>
      <c r="E310" s="1" t="n">
        <v>46277</v>
      </c>
      <c r="F310" t="inlineStr">
        <is>
          <t>ÖSTERGÖTLANDS LÄN</t>
        </is>
      </c>
      <c r="G310" t="inlineStr">
        <is>
          <t>FINSPÅNG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46277</v>
      </c>
      <c r="F311" t="inlineStr">
        <is>
          <t>ÖSTERGÖTLANDS LÄN</t>
        </is>
      </c>
      <c r="G311" t="inlineStr">
        <is>
          <t>FINSPÅNG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45006</v>
      </c>
      <c r="E312" s="1" t="n">
        <v>46277</v>
      </c>
      <c r="F312" t="inlineStr">
        <is>
          <t>ÖSTERGÖTLANDS LÄN</t>
        </is>
      </c>
      <c r="G312" t="inlineStr">
        <is>
          <t>FINSPÅNG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46277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46277</v>
      </c>
      <c r="F314" t="inlineStr">
        <is>
          <t>ÖSTERGÖTLANDS LÄN</t>
        </is>
      </c>
      <c r="G314" t="inlineStr">
        <is>
          <t>FINSPÅNG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8937-2022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44614</v>
      </c>
      <c r="E315" s="1" t="n">
        <v>46277</v>
      </c>
      <c r="F315" t="inlineStr">
        <is>
          <t>ÖSTERGÖTLANDS LÄN</t>
        </is>
      </c>
      <c r="G315" t="inlineStr">
        <is>
          <t>FINSPÅNG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46277</v>
      </c>
      <c r="F316" t="inlineStr">
        <is>
          <t>ÖSTERGÖTLANDS LÄN</t>
        </is>
      </c>
      <c r="G316" t="inlineStr">
        <is>
          <t>FINSPÅNG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17557-2022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44679</v>
      </c>
      <c r="E317" s="1" t="n">
        <v>46277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Övriga Aktiebolag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44725</v>
      </c>
      <c r="E318" s="1" t="n">
        <v>46277</v>
      </c>
      <c r="F318" t="inlineStr">
        <is>
          <t>ÖSTERGÖTLANDS LÄN</t>
        </is>
      </c>
      <c r="G318" t="inlineStr">
        <is>
          <t>FINSPÅNG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51435-2024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45604</v>
      </c>
      <c r="E319" s="1" t="n">
        <v>46277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53123-2021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44467</v>
      </c>
      <c r="E320" s="1" t="n">
        <v>46277</v>
      </c>
      <c r="F320" t="inlineStr">
        <is>
          <t>ÖSTERGÖTLANDS LÄN</t>
        </is>
      </c>
      <c r="G320" t="inlineStr">
        <is>
          <t>FINSPÅNG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46277</v>
      </c>
      <c r="F321" t="inlineStr">
        <is>
          <t>ÖSTERGÖTLANDS LÄN</t>
        </is>
      </c>
      <c r="G321" t="inlineStr">
        <is>
          <t>FINSPÅNG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44653</v>
      </c>
      <c r="E322" s="1" t="n">
        <v>46277</v>
      </c>
      <c r="F322" t="inlineStr">
        <is>
          <t>ÖSTERGÖTLANDS LÄN</t>
        </is>
      </c>
      <c r="G322" t="inlineStr">
        <is>
          <t>FINSPÅNG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42045-2025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46277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45853</v>
      </c>
      <c r="E324" s="1" t="n">
        <v>46277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45903</v>
      </c>
      <c r="E325" s="1" t="n">
        <v>46277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45904</v>
      </c>
      <c r="E326" s="1" t="n">
        <v>46277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42027-2025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46277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45107</v>
      </c>
      <c r="E328" s="1" t="n">
        <v>46277</v>
      </c>
      <c r="F328" t="inlineStr">
        <is>
          <t>ÖSTERGÖTLANDS LÄN</t>
        </is>
      </c>
      <c r="G328" t="inlineStr">
        <is>
          <t>FINSPÅNG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45415</v>
      </c>
      <c r="E329" s="1" t="n">
        <v>46277</v>
      </c>
      <c r="F329" t="inlineStr">
        <is>
          <t>ÖSTERGÖTLANDS LÄN</t>
        </is>
      </c>
      <c r="G329" t="inlineStr">
        <is>
          <t>FINSPÅNG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46277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45904</v>
      </c>
      <c r="E331" s="1" t="n">
        <v>46277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45854</v>
      </c>
      <c r="E332" s="1" t="n">
        <v>46277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45070</v>
      </c>
      <c r="E333" s="1" t="n">
        <v>46277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46277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46277</v>
      </c>
      <c r="F335" t="inlineStr">
        <is>
          <t>ÖSTERGÖTLANDS LÄN</t>
        </is>
      </c>
      <c r="G335" t="inlineStr">
        <is>
          <t>FINSPÅNG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45854</v>
      </c>
      <c r="E336" s="1" t="n">
        <v>46277</v>
      </c>
      <c r="F336" t="inlineStr">
        <is>
          <t>ÖSTERGÖTLANDS LÄN</t>
        </is>
      </c>
      <c r="G336" t="inlineStr">
        <is>
          <t>FINSPÅNG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46277</v>
      </c>
      <c r="F337" t="inlineStr">
        <is>
          <t>ÖSTERGÖTLANDS LÄN</t>
        </is>
      </c>
      <c r="G337" t="inlineStr">
        <is>
          <t>FINSPÅNG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45905</v>
      </c>
      <c r="E338" s="1" t="n">
        <v>46277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46277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46277</v>
      </c>
      <c r="F340" t="inlineStr">
        <is>
          <t>ÖSTERGÖTLANDS LÄN</t>
        </is>
      </c>
      <c r="G340" t="inlineStr">
        <is>
          <t>FINSPÅNG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46277</v>
      </c>
      <c r="F341" t="inlineStr">
        <is>
          <t>ÖSTERGÖTLANDS LÄN</t>
        </is>
      </c>
      <c r="G341" t="inlineStr">
        <is>
          <t>FINSPÅNG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64103-2023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46277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42373-2025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46277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46277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18261-2024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45421</v>
      </c>
      <c r="E345" s="1" t="n">
        <v>46277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7269-2024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45344</v>
      </c>
      <c r="E346" s="1" t="n">
        <v>46277</v>
      </c>
      <c r="F346" t="inlineStr">
        <is>
          <t>ÖSTERGÖTLANDS LÄN</t>
        </is>
      </c>
      <c r="G346" t="inlineStr">
        <is>
          <t>FINSPÅNG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31043-2025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46277</v>
      </c>
      <c r="F347" t="inlineStr">
        <is>
          <t>ÖSTERGÖTLANDS LÄN</t>
        </is>
      </c>
      <c r="G347" t="inlineStr">
        <is>
          <t>FINSPÅNG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45863</v>
      </c>
      <c r="E348" s="1" t="n">
        <v>46277</v>
      </c>
      <c r="F348" t="inlineStr">
        <is>
          <t>ÖSTERGÖTLANDS LÄN</t>
        </is>
      </c>
      <c r="G348" t="inlineStr">
        <is>
          <t>FINSPÅNG</t>
        </is>
      </c>
      <c r="I348" t="n">
        <v>22.6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46277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36593-2025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45870</v>
      </c>
      <c r="E350" s="1" t="n">
        <v>46277</v>
      </c>
      <c r="F350" t="inlineStr">
        <is>
          <t>ÖSTERGÖTLANDS LÄN</t>
        </is>
      </c>
      <c r="G350" t="inlineStr">
        <is>
          <t>FINSPÅNG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46277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45870</v>
      </c>
      <c r="E352" s="1" t="n">
        <v>46277</v>
      </c>
      <c r="F352" t="inlineStr">
        <is>
          <t>ÖSTERGÖTLANDS LÄN</t>
        </is>
      </c>
      <c r="G352" t="inlineStr">
        <is>
          <t>FINSPÅNG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46277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27892-2023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45095</v>
      </c>
      <c r="E354" s="1" t="n">
        <v>46277</v>
      </c>
      <c r="F354" t="inlineStr">
        <is>
          <t>ÖSTERGÖTLANDS LÄN</t>
        </is>
      </c>
      <c r="G354" t="inlineStr">
        <is>
          <t>FINSPÅNG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46277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46277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46277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8535-2025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45709</v>
      </c>
      <c r="E358" s="1" t="n">
        <v>46277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25184-2023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45086</v>
      </c>
      <c r="E359" s="1" t="n">
        <v>46277</v>
      </c>
      <c r="F359" t="inlineStr">
        <is>
          <t>ÖSTERGÖTLANDS LÄN</t>
        </is>
      </c>
      <c r="G359" t="inlineStr">
        <is>
          <t>FINSPÅNG</t>
        </is>
      </c>
      <c r="I359" t="n">
        <v>10.1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46149-2025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46277</v>
      </c>
      <c r="F360" t="inlineStr">
        <is>
          <t>ÖSTERGÖTLANDS LÄN</t>
        </is>
      </c>
      <c r="G360" t="inlineStr">
        <is>
          <t>FINSPÅNG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46277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45880</v>
      </c>
      <c r="E362" s="1" t="n">
        <v>46277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45071</v>
      </c>
      <c r="E363" s="1" t="n">
        <v>46277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44903</v>
      </c>
      <c r="E364" s="1" t="n">
        <v>46277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46277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45075</v>
      </c>
      <c r="E366" s="1" t="n">
        <v>46277</v>
      </c>
      <c r="F366" t="inlineStr">
        <is>
          <t>ÖSTERGÖTLANDS LÄN</t>
        </is>
      </c>
      <c r="G366" t="inlineStr">
        <is>
          <t>FINSPÅNG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45881</v>
      </c>
      <c r="E367" s="1" t="n">
        <v>46277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Naturvårdsverket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46277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46277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45639</v>
      </c>
      <c r="E370" s="1" t="n">
        <v>46277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46277</v>
      </c>
      <c r="F371" t="inlineStr">
        <is>
          <t>ÖSTERGÖTLANDS LÄN</t>
        </is>
      </c>
      <c r="G371" t="inlineStr">
        <is>
          <t>FINSPÅNG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47567-2025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45931</v>
      </c>
      <c r="E372" s="1" t="n">
        <v>46277</v>
      </c>
      <c r="F372" t="inlineStr">
        <is>
          <t>ÖSTERGÖTLANDS LÄN</t>
        </is>
      </c>
      <c r="G372" t="inlineStr">
        <is>
          <t>FINSPÅNG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46277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73260-2021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44550</v>
      </c>
      <c r="E374" s="1" t="n">
        <v>46277</v>
      </c>
      <c r="F374" t="inlineStr">
        <is>
          <t>ÖSTERGÖTLANDS LÄN</t>
        </is>
      </c>
      <c r="G374" t="inlineStr">
        <is>
          <t>FINSPÅNG</t>
        </is>
      </c>
      <c r="I374" t="n">
        <v>10.3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46277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14241-2023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46277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63321-2021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44508</v>
      </c>
      <c r="E377" s="1" t="n">
        <v>46277</v>
      </c>
      <c r="F377" t="inlineStr">
        <is>
          <t>ÖSTERGÖTLANDS LÄN</t>
        </is>
      </c>
      <c r="G377" t="inlineStr">
        <is>
          <t>FINSPÅNG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46277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45935</v>
      </c>
      <c r="E379" s="1" t="n">
        <v>46277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Övriga Aktiebolag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46277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46080</v>
      </c>
      <c r="E381" s="1" t="n">
        <v>46277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32795-2024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45516</v>
      </c>
      <c r="E382" s="1" t="n">
        <v>46277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Kommuner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45142</v>
      </c>
      <c r="E383" s="1" t="n">
        <v>46277</v>
      </c>
      <c r="F383" t="inlineStr">
        <is>
          <t>ÖSTERGÖTLANDS LÄN</t>
        </is>
      </c>
      <c r="G383" t="inlineStr">
        <is>
          <t>FINSPÅNG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46085</v>
      </c>
      <c r="E384" s="1" t="n">
        <v>46277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45616</v>
      </c>
      <c r="E385" s="1" t="n">
        <v>46277</v>
      </c>
      <c r="F385" t="inlineStr">
        <is>
          <t>ÖSTERGÖTLANDS LÄN</t>
        </is>
      </c>
      <c r="G385" t="inlineStr">
        <is>
          <t>FINSPÅNG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45616</v>
      </c>
      <c r="E386" s="1" t="n">
        <v>46277</v>
      </c>
      <c r="F386" t="inlineStr">
        <is>
          <t>ÖSTERGÖTLANDS LÄN</t>
        </is>
      </c>
      <c r="G386" t="inlineStr">
        <is>
          <t>FINSPÅNG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45846</v>
      </c>
      <c r="E387" s="1" t="n">
        <v>46277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46277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Övriga Aktiebolag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45646</v>
      </c>
      <c r="E389" s="1" t="n">
        <v>46277</v>
      </c>
      <c r="F389" t="inlineStr">
        <is>
          <t>ÖSTERGÖTLANDS LÄN</t>
        </is>
      </c>
      <c r="G389" t="inlineStr">
        <is>
          <t>FINSPÅNG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46085</v>
      </c>
      <c r="E390" s="1" t="n">
        <v>46277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46277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46277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31323-2022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44774</v>
      </c>
      <c r="E393" s="1" t="n">
        <v>46277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45095</v>
      </c>
      <c r="E394" s="1" t="n">
        <v>46277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Övriga Aktiebolag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45095</v>
      </c>
      <c r="E395" s="1" t="n">
        <v>46277</v>
      </c>
      <c r="F395" t="inlineStr">
        <is>
          <t>ÖSTERGÖTLANDS LÄN</t>
        </is>
      </c>
      <c r="G395" t="inlineStr">
        <is>
          <t>FINSPÅNG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45709</v>
      </c>
      <c r="E396" s="1" t="n">
        <v>46277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50395-2025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45944</v>
      </c>
      <c r="E397" s="1" t="n">
        <v>46277</v>
      </c>
      <c r="F397" t="inlineStr">
        <is>
          <t>ÖSTERGÖTLANDS LÄN</t>
        </is>
      </c>
      <c r="G397" t="inlineStr">
        <is>
          <t>FINSPÅNG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45728</v>
      </c>
      <c r="E398" s="1" t="n">
        <v>46277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53675-2024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45615</v>
      </c>
      <c r="E399" s="1" t="n">
        <v>46277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7884-2023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44973</v>
      </c>
      <c r="E400" s="1" t="n">
        <v>46277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46277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46277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35346-2024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45530</v>
      </c>
      <c r="E403" s="1" t="n">
        <v>46277</v>
      </c>
      <c r="F403" t="inlineStr">
        <is>
          <t>ÖSTERGÖTLANDS LÄN</t>
        </is>
      </c>
      <c r="G403" t="inlineStr">
        <is>
          <t>FINSPÅNG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46277</v>
      </c>
      <c r="F404" t="inlineStr">
        <is>
          <t>ÖSTERGÖTLANDS LÄN</t>
        </is>
      </c>
      <c r="G404" t="inlineStr">
        <is>
          <t>FINSPÅNG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46277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46277</v>
      </c>
      <c r="F406" t="inlineStr">
        <is>
          <t>ÖSTERGÖTLANDS LÄN</t>
        </is>
      </c>
      <c r="G406" t="inlineStr">
        <is>
          <t>FINSPÅNG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46277</v>
      </c>
      <c r="F407" t="inlineStr">
        <is>
          <t>ÖSTERGÖTLANDS LÄN</t>
        </is>
      </c>
      <c r="G407" t="inlineStr">
        <is>
          <t>FINSPÅNG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8924-2025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45713</v>
      </c>
      <c r="E408" s="1" t="n">
        <v>46277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46277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46277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46277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Sveaskog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46277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45147</v>
      </c>
      <c r="E413" s="1" t="n">
        <v>46277</v>
      </c>
      <c r="F413" t="inlineStr">
        <is>
          <t>ÖSTERGÖTLANDS LÄN</t>
        </is>
      </c>
      <c r="G413" t="inlineStr">
        <is>
          <t>FINSPÅNG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30271-2022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44759</v>
      </c>
      <c r="E414" s="1" t="n">
        <v>46277</v>
      </c>
      <c r="F414" t="inlineStr">
        <is>
          <t>ÖSTERGÖTLANDS LÄN</t>
        </is>
      </c>
      <c r="G414" t="inlineStr">
        <is>
          <t>FINSPÅNG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44840</v>
      </c>
      <c r="E415" s="1" t="n">
        <v>46277</v>
      </c>
      <c r="F415" t="inlineStr">
        <is>
          <t>ÖSTERGÖTLANDS LÄN</t>
        </is>
      </c>
      <c r="G415" t="inlineStr">
        <is>
          <t>FINSPÅNG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45692</v>
      </c>
      <c r="E416" s="1" t="n">
        <v>46277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45688</v>
      </c>
      <c r="E417" s="1" t="n">
        <v>46277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55612-2021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44476</v>
      </c>
      <c r="E418" s="1" t="n">
        <v>46277</v>
      </c>
      <c r="F418" t="inlineStr">
        <is>
          <t>ÖSTERGÖTLANDS LÄN</t>
        </is>
      </c>
      <c r="G418" t="inlineStr">
        <is>
          <t>FINSPÅNG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45955</v>
      </c>
      <c r="E419" s="1" t="n">
        <v>46277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54609-2021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44473</v>
      </c>
      <c r="E420" s="1" t="n">
        <v>46277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40194-2022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44820</v>
      </c>
      <c r="E421" s="1" t="n">
        <v>46277</v>
      </c>
      <c r="F421" t="inlineStr">
        <is>
          <t>ÖSTERGÖTLANDS LÄN</t>
        </is>
      </c>
      <c r="G421" t="inlineStr">
        <is>
          <t>FINSPÅNG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46277</v>
      </c>
      <c r="F422" t="inlineStr">
        <is>
          <t>ÖSTERGÖTLANDS LÄN</t>
        </is>
      </c>
      <c r="G422" t="inlineStr">
        <is>
          <t>FINSPÅNG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18306-2023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45041</v>
      </c>
      <c r="E423" s="1" t="n">
        <v>46277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Naturvårdsverket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46277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45719</v>
      </c>
      <c r="E425" s="1" t="n">
        <v>46277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15490-2026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46277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46277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46277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43318-2022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46277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49677-2022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44862</v>
      </c>
      <c r="E430" s="1" t="n">
        <v>46277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9.6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44973</v>
      </c>
      <c r="E431" s="1" t="n">
        <v>46277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53821-2022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44880</v>
      </c>
      <c r="E432" s="1" t="n">
        <v>46277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8611-2025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45710</v>
      </c>
      <c r="E433" s="1" t="n">
        <v>46277</v>
      </c>
      <c r="F433" t="inlineStr">
        <is>
          <t>ÖSTERGÖTLANDS LÄN</t>
        </is>
      </c>
      <c r="G433" t="inlineStr">
        <is>
          <t>FINSPÅNG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16849-2026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46277</v>
      </c>
      <c r="F434" t="inlineStr">
        <is>
          <t>ÖSTERGÖTLANDS LÄN</t>
        </is>
      </c>
      <c r="G434" t="inlineStr">
        <is>
          <t>FINSPÅNG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45314-2023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45191</v>
      </c>
      <c r="E435" s="1" t="n">
        <v>46277</v>
      </c>
      <c r="F435" t="inlineStr">
        <is>
          <t>ÖSTERGÖTLANDS LÄN</t>
        </is>
      </c>
      <c r="G435" t="inlineStr">
        <is>
          <t>FINSPÅNG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46277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45969</v>
      </c>
      <c r="E437" s="1" t="n">
        <v>46277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17068-2026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46114</v>
      </c>
      <c r="E438" s="1" t="n">
        <v>46277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46277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46277</v>
      </c>
      <c r="F440" t="inlineStr">
        <is>
          <t>ÖSTERGÖTLANDS LÄN</t>
        </is>
      </c>
      <c r="G440" t="inlineStr">
        <is>
          <t>FINSPÅNG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46277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46277</v>
      </c>
      <c r="F442" t="inlineStr">
        <is>
          <t>ÖSTERGÖTLANDS LÄN</t>
        </is>
      </c>
      <c r="G442" t="inlineStr">
        <is>
          <t>FINSPÅNG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54727-2023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45236</v>
      </c>
      <c r="E443" s="1" t="n">
        <v>46277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46277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54923-2022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44886</v>
      </c>
      <c r="E445" s="1" t="n">
        <v>46277</v>
      </c>
      <c r="F445" t="inlineStr">
        <is>
          <t>ÖSTERGÖTLANDS LÄN</t>
        </is>
      </c>
      <c r="G445" t="inlineStr">
        <is>
          <t>FINSPÅNG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22354-2023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45070</v>
      </c>
      <c r="E446" s="1" t="n">
        <v>46277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46277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46277</v>
      </c>
      <c r="F448" t="inlineStr">
        <is>
          <t>ÖSTERGÖTLANDS LÄN</t>
        </is>
      </c>
      <c r="G448" t="inlineStr">
        <is>
          <t>FINSPÅNG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17545-2026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46277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46277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Sveaskog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45042</v>
      </c>
      <c r="E451" s="1" t="n">
        <v>46277</v>
      </c>
      <c r="F451" t="inlineStr">
        <is>
          <t>ÖSTERGÖTLANDS LÄN</t>
        </is>
      </c>
      <c r="G451" t="inlineStr">
        <is>
          <t>FINSPÅNG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46277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44876</v>
      </c>
      <c r="E453" s="1" t="n">
        <v>46277</v>
      </c>
      <c r="F453" t="inlineStr">
        <is>
          <t>ÖSTERGÖTLANDS LÄN</t>
        </is>
      </c>
      <c r="G453" t="inlineStr">
        <is>
          <t>FINSPÅNG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12814-2022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44642</v>
      </c>
      <c r="E454" s="1" t="n">
        <v>46277</v>
      </c>
      <c r="F454" t="inlineStr">
        <is>
          <t>ÖSTERGÖTLANDS LÄN</t>
        </is>
      </c>
      <c r="G454" t="inlineStr">
        <is>
          <t>FINSPÅNG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70505-2021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44536</v>
      </c>
      <c r="E455" s="1" t="n">
        <v>46277</v>
      </c>
      <c r="F455" t="inlineStr">
        <is>
          <t>ÖSTERGÖTLANDS LÄN</t>
        </is>
      </c>
      <c r="G455" t="inlineStr">
        <is>
          <t>FINSPÅNG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18086-2026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46125</v>
      </c>
      <c r="E456" s="1" t="n">
        <v>46277</v>
      </c>
      <c r="F456" t="inlineStr">
        <is>
          <t>ÖSTERGÖTLANDS LÄN</t>
        </is>
      </c>
      <c r="G456" t="inlineStr">
        <is>
          <t>FINSPÅNG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13375-2025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46277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45983</v>
      </c>
      <c r="E458" s="1" t="n">
        <v>46277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58190-2025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45983</v>
      </c>
      <c r="E459" s="1" t="n">
        <v>46277</v>
      </c>
      <c r="F459" t="inlineStr">
        <is>
          <t>ÖSTERGÖTLANDS LÄN</t>
        </is>
      </c>
      <c r="G459" t="inlineStr">
        <is>
          <t>FINSPÅNG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55052-2023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46277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Kyrkan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46277</v>
      </c>
      <c r="F461" t="inlineStr">
        <is>
          <t>ÖSTERGÖTLANDS LÄN</t>
        </is>
      </c>
      <c r="G461" t="inlineStr">
        <is>
          <t>FINSPÅNG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58709-2025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45986</v>
      </c>
      <c r="E462" s="1" t="n">
        <v>46277</v>
      </c>
      <c r="F462" t="inlineStr">
        <is>
          <t>ÖSTERGÖTLANDS LÄN</t>
        </is>
      </c>
      <c r="G462" t="inlineStr">
        <is>
          <t>FINSPÅNG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23350-2023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46277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46277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45983</v>
      </c>
      <c r="E465" s="1" t="n">
        <v>46277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58796-2025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46277</v>
      </c>
      <c r="F466" t="inlineStr">
        <is>
          <t>ÖSTERGÖTLANDS LÄN</t>
        </is>
      </c>
      <c r="G466" t="inlineStr">
        <is>
          <t>FINSPÅNG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58698-2025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46277</v>
      </c>
      <c r="F467" t="inlineStr">
        <is>
          <t>ÖSTERGÖTLANDS LÄN</t>
        </is>
      </c>
      <c r="G467" t="inlineStr">
        <is>
          <t>FINSPÅNG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2650-2023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44944</v>
      </c>
      <c r="E468" s="1" t="n">
        <v>46277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46129</v>
      </c>
      <c r="E469" s="1" t="n">
        <v>46277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5595-2022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44595</v>
      </c>
      <c r="E470" s="1" t="n">
        <v>46277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54404-2023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45233</v>
      </c>
      <c r="E471" s="1" t="n">
        <v>46277</v>
      </c>
      <c r="F471" t="inlineStr">
        <is>
          <t>ÖSTERGÖTLANDS LÄN</t>
        </is>
      </c>
      <c r="G471" t="inlineStr">
        <is>
          <t>FINSPÅNG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46277</v>
      </c>
      <c r="F472" t="inlineStr">
        <is>
          <t>ÖSTERGÖTLANDS LÄN</t>
        </is>
      </c>
      <c r="G472" t="inlineStr">
        <is>
          <t>FINSPÅNG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44564</v>
      </c>
      <c r="E473" s="1" t="n">
        <v>46277</v>
      </c>
      <c r="F473" t="inlineStr">
        <is>
          <t>ÖSTERGÖTLANDS LÄN</t>
        </is>
      </c>
      <c r="G473" t="inlineStr">
        <is>
          <t>FINSPÅNG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42782-2024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45566</v>
      </c>
      <c r="E474" s="1" t="n">
        <v>46277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45095</v>
      </c>
      <c r="E475" s="1" t="n">
        <v>46277</v>
      </c>
      <c r="F475" t="inlineStr">
        <is>
          <t>ÖSTERGÖTLANDS LÄN</t>
        </is>
      </c>
      <c r="G475" t="inlineStr">
        <is>
          <t>FINSPÅNG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46277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24500-2023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46277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45082</v>
      </c>
      <c r="E478" s="1" t="n">
        <v>46277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45013</v>
      </c>
      <c r="E479" s="1" t="n">
        <v>46277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46277</v>
      </c>
      <c r="F480" t="inlineStr">
        <is>
          <t>ÖSTERGÖTLANDS LÄN</t>
        </is>
      </c>
      <c r="G480" t="inlineStr">
        <is>
          <t>FINSPÅNG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46277</v>
      </c>
      <c r="F481" t="inlineStr">
        <is>
          <t>ÖSTERGÖTLANDS LÄN</t>
        </is>
      </c>
      <c r="G481" t="inlineStr">
        <is>
          <t>FINSPÅNG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46277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45692</v>
      </c>
      <c r="E483" s="1" t="n">
        <v>46277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4351-2022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44589</v>
      </c>
      <c r="E484" s="1" t="n">
        <v>46277</v>
      </c>
      <c r="F484" t="inlineStr">
        <is>
          <t>ÖSTERGÖTLANDS LÄN</t>
        </is>
      </c>
      <c r="G484" t="inlineStr">
        <is>
          <t>FINSPÅNG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46277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61683-2025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46277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46002</v>
      </c>
      <c r="E487" s="1" t="n">
        <v>46277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61712-2025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46277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46277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46006</v>
      </c>
      <c r="E490" s="1" t="n">
        <v>46277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46003</v>
      </c>
      <c r="E491" s="1" t="n">
        <v>46277</v>
      </c>
      <c r="F491" t="inlineStr">
        <is>
          <t>ÖSTERGÖTLANDS LÄN</t>
        </is>
      </c>
      <c r="G491" t="inlineStr">
        <is>
          <t>FINSPÅNG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16229-2024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45407</v>
      </c>
      <c r="E492" s="1" t="n">
        <v>46277</v>
      </c>
      <c r="F492" t="inlineStr">
        <is>
          <t>ÖSTERGÖTLANDS LÄN</t>
        </is>
      </c>
      <c r="G492" t="inlineStr">
        <is>
          <t>FINSPÅNG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62242-2025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46277</v>
      </c>
      <c r="F493" t="inlineStr">
        <is>
          <t>ÖSTERGÖTLANDS LÄN</t>
        </is>
      </c>
      <c r="G493" t="inlineStr">
        <is>
          <t>FINSPÅNG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14142-2025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45740</v>
      </c>
      <c r="E494" s="1" t="n">
        <v>46277</v>
      </c>
      <c r="F494" t="inlineStr">
        <is>
          <t>ÖSTERGÖTLANDS LÄN</t>
        </is>
      </c>
      <c r="G494" t="inlineStr">
        <is>
          <t>FINSPÅNG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58142-2022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44900</v>
      </c>
      <c r="E495" s="1" t="n">
        <v>46277</v>
      </c>
      <c r="F495" t="inlineStr">
        <is>
          <t>ÖSTERGÖTLANDS LÄN</t>
        </is>
      </c>
      <c r="G495" t="inlineStr">
        <is>
          <t>FINSPÅNG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9003-2024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45357</v>
      </c>
      <c r="E496" s="1" t="n">
        <v>46277</v>
      </c>
      <c r="F496" t="inlineStr">
        <is>
          <t>ÖSTERGÖTLANDS LÄN</t>
        </is>
      </c>
      <c r="G496" t="inlineStr">
        <is>
          <t>FINSPÅNG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44887</v>
      </c>
      <c r="E497" s="1" t="n">
        <v>46277</v>
      </c>
      <c r="F497" t="inlineStr">
        <is>
          <t>ÖSTERGÖTLANDS LÄN</t>
        </is>
      </c>
      <c r="G497" t="inlineStr">
        <is>
          <t>FINSPÅNG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45259</v>
      </c>
      <c r="E498" s="1" t="n">
        <v>46277</v>
      </c>
      <c r="F498" t="inlineStr">
        <is>
          <t>ÖSTERGÖTLANDS LÄN</t>
        </is>
      </c>
      <c r="G498" t="inlineStr">
        <is>
          <t>FINSPÅNG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43950-2025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45915</v>
      </c>
      <c r="E499" s="1" t="n">
        <v>46277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63585-2023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45275</v>
      </c>
      <c r="E500" s="1" t="n">
        <v>46277</v>
      </c>
      <c r="F500" t="inlineStr">
        <is>
          <t>ÖSTERGÖTLANDS LÄN</t>
        </is>
      </c>
      <c r="G500" t="inlineStr">
        <is>
          <t>FINSPÅNG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45463</v>
      </c>
      <c r="E501" s="1" t="n">
        <v>46277</v>
      </c>
      <c r="F501" t="inlineStr">
        <is>
          <t>ÖSTERGÖTLANDS LÄN</t>
        </is>
      </c>
      <c r="G501" t="inlineStr">
        <is>
          <t>FINSPÅNG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46277</v>
      </c>
      <c r="F502" t="inlineStr">
        <is>
          <t>ÖSTERGÖTLANDS LÄN</t>
        </is>
      </c>
      <c r="G502" t="inlineStr">
        <is>
          <t>FINSPÅNG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45853</v>
      </c>
      <c r="E503" s="1" t="n">
        <v>46277</v>
      </c>
      <c r="F503" t="inlineStr">
        <is>
          <t>ÖSTERGÖTLANDS LÄN</t>
        </is>
      </c>
      <c r="G503" t="inlineStr">
        <is>
          <t>FINSPÅNG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45783</v>
      </c>
      <c r="E504" s="1" t="n">
        <v>46277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11950-2023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46277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46277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46277</v>
      </c>
      <c r="F507" t="inlineStr">
        <is>
          <t>ÖSTERGÖTLANDS LÄN</t>
        </is>
      </c>
      <c r="G507" t="inlineStr">
        <is>
          <t>FINSPÅNG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46277</v>
      </c>
      <c r="F508" t="inlineStr">
        <is>
          <t>ÖSTERGÖTLANDS LÄN</t>
        </is>
      </c>
      <c r="G508" t="inlineStr">
        <is>
          <t>FINSPÅNG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46277</v>
      </c>
      <c r="F509" t="inlineStr">
        <is>
          <t>ÖSTERGÖTLANDS LÄN</t>
        </is>
      </c>
      <c r="G509" t="inlineStr">
        <is>
          <t>FINSPÅNG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44993</v>
      </c>
      <c r="E510" s="1" t="n">
        <v>46277</v>
      </c>
      <c r="F510" t="inlineStr">
        <is>
          <t>ÖSTERGÖTLANDS LÄN</t>
        </is>
      </c>
      <c r="G510" t="inlineStr">
        <is>
          <t>FINSPÅNG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44966</v>
      </c>
      <c r="E511" s="1" t="n">
        <v>46277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46277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45293</v>
      </c>
      <c r="E513" s="1" t="n">
        <v>46277</v>
      </c>
      <c r="F513" t="inlineStr">
        <is>
          <t>ÖSTERGÖTLANDS LÄN</t>
        </is>
      </c>
      <c r="G513" t="inlineStr">
        <is>
          <t>FINSPÅNG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45391</v>
      </c>
      <c r="E514" s="1" t="n">
        <v>46277</v>
      </c>
      <c r="F514" t="inlineStr">
        <is>
          <t>ÖSTERGÖTLANDS LÄN</t>
        </is>
      </c>
      <c r="G514" t="inlineStr">
        <is>
          <t>FINSPÅNG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45853</v>
      </c>
      <c r="E515" s="1" t="n">
        <v>46277</v>
      </c>
      <c r="F515" t="inlineStr">
        <is>
          <t>ÖSTERGÖTLANDS LÄN</t>
        </is>
      </c>
      <c r="G515" t="inlineStr">
        <is>
          <t>FINSPÅNG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46030</v>
      </c>
      <c r="E516" s="1" t="n">
        <v>46277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45250</v>
      </c>
      <c r="E517" s="1" t="n">
        <v>46277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46277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46277</v>
      </c>
      <c r="F519" t="inlineStr">
        <is>
          <t>ÖSTERGÖTLANDS LÄN</t>
        </is>
      </c>
      <c r="G519" t="inlineStr">
        <is>
          <t>FINSPÅNG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46277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Kyrkan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44949</v>
      </c>
      <c r="E521" s="1" t="n">
        <v>46277</v>
      </c>
      <c r="F521" t="inlineStr">
        <is>
          <t>ÖSTERGÖTLANDS LÄN</t>
        </is>
      </c>
      <c r="G521" t="inlineStr">
        <is>
          <t>FINSPÅNG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46277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46277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7743-2023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44973</v>
      </c>
      <c r="E524" s="1" t="n">
        <v>46277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46277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62158-2022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44922</v>
      </c>
      <c r="E526" s="1" t="n">
        <v>46277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46277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46277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28732-2023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46277</v>
      </c>
      <c r="F529" t="inlineStr">
        <is>
          <t>ÖSTERGÖTLANDS LÄN</t>
        </is>
      </c>
      <c r="G529" t="inlineStr">
        <is>
          <t>FINSPÅNG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45516</v>
      </c>
      <c r="E530" s="1" t="n">
        <v>46277</v>
      </c>
      <c r="F530" t="inlineStr">
        <is>
          <t>ÖSTERGÖTLANDS LÄN</t>
        </is>
      </c>
      <c r="G530" t="inlineStr">
        <is>
          <t>FINSPÅNG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46277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Övriga Aktiebolag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45293</v>
      </c>
      <c r="E532" s="1" t="n">
        <v>46277</v>
      </c>
      <c r="F532" t="inlineStr">
        <is>
          <t>ÖSTERGÖTLANDS LÄN</t>
        </is>
      </c>
      <c r="G532" t="inlineStr">
        <is>
          <t>FINSPÅNG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13826-2024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45391</v>
      </c>
      <c r="E533" s="1" t="n">
        <v>46277</v>
      </c>
      <c r="F533" t="inlineStr">
        <is>
          <t>ÖSTERGÖTLANDS LÄN</t>
        </is>
      </c>
      <c r="G533" t="inlineStr">
        <is>
          <t>FINSPÅNG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17321-2022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44678</v>
      </c>
      <c r="E534" s="1" t="n">
        <v>46277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46040</v>
      </c>
      <c r="E535" s="1" t="n">
        <v>46277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46040</v>
      </c>
      <c r="E536" s="1" t="n">
        <v>46277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45002</v>
      </c>
      <c r="E537" s="1" t="n">
        <v>46277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Kyrkan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41513-2024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46277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10083-2025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46277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46277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4864-2026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46277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45078</v>
      </c>
      <c r="E542" s="1" t="n">
        <v>46277</v>
      </c>
      <c r="F542" t="inlineStr">
        <is>
          <t>ÖSTERGÖTLANDS LÄN</t>
        </is>
      </c>
      <c r="G542" t="inlineStr">
        <is>
          <t>FINSPÅNG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46277</v>
      </c>
      <c r="F543" t="inlineStr">
        <is>
          <t>ÖSTERGÖTLANDS LÄN</t>
        </is>
      </c>
      <c r="G543" t="inlineStr">
        <is>
          <t>FINSPÅNG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46277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33804-2023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45133</v>
      </c>
      <c r="E545" s="1" t="n">
        <v>46277</v>
      </c>
      <c r="F545" t="inlineStr">
        <is>
          <t>ÖSTERGÖTLANDS LÄN</t>
        </is>
      </c>
      <c r="G545" t="inlineStr">
        <is>
          <t>FINSPÅNG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73655-2021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44551</v>
      </c>
      <c r="E546" s="1" t="n">
        <v>46277</v>
      </c>
      <c r="F546" t="inlineStr">
        <is>
          <t>ÖSTERGÖTLANDS LÄN</t>
        </is>
      </c>
      <c r="G546" t="inlineStr">
        <is>
          <t>FINSPÅNG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46050</v>
      </c>
      <c r="E547" s="1" t="n">
        <v>46277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46050</v>
      </c>
      <c r="E548" s="1" t="n">
        <v>46277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22603-2024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45447</v>
      </c>
      <c r="E549" s="1" t="n">
        <v>46277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39655-2023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45167</v>
      </c>
      <c r="E550" s="1" t="n">
        <v>46277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Kyrkan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46277</v>
      </c>
      <c r="F551" t="inlineStr">
        <is>
          <t>ÖSTERGÖTLANDS LÄN</t>
        </is>
      </c>
      <c r="G551" t="inlineStr">
        <is>
          <t>FINSPÅNG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44937</v>
      </c>
      <c r="E552" s="1" t="n">
        <v>46277</v>
      </c>
      <c r="F552" t="inlineStr">
        <is>
          <t>ÖSTERGÖTLANDS LÄN</t>
        </is>
      </c>
      <c r="G552" t="inlineStr">
        <is>
          <t>FINSPÅNG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45314</v>
      </c>
      <c r="E553" s="1" t="n">
        <v>46277</v>
      </c>
      <c r="F553" t="inlineStr">
        <is>
          <t>ÖSTERGÖTLANDS LÄN</t>
        </is>
      </c>
      <c r="G553" t="inlineStr">
        <is>
          <t>FINSPÅNG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46277</v>
      </c>
      <c r="F554" t="inlineStr">
        <is>
          <t>ÖSTERGÖTLANDS LÄN</t>
        </is>
      </c>
      <c r="G554" t="inlineStr">
        <is>
          <t>FINSPÅNG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46277</v>
      </c>
      <c r="F555" t="inlineStr">
        <is>
          <t>ÖSTERGÖTLANDS LÄN</t>
        </is>
      </c>
      <c r="G555" t="inlineStr">
        <is>
          <t>FINSPÅNG</t>
        </is>
      </c>
      <c r="I555" t="n">
        <v>8.300000000000001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44981</v>
      </c>
      <c r="E556" s="1" t="n">
        <v>46277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46055</v>
      </c>
      <c r="E557" s="1" t="n">
        <v>46277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46277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46277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Övriga Aktiebolag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7193-2026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46058</v>
      </c>
      <c r="E560" s="1" t="n">
        <v>46277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18295-2023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45041</v>
      </c>
      <c r="E561" s="1" t="n">
        <v>46277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46277</v>
      </c>
      <c r="F562" t="inlineStr">
        <is>
          <t>ÖSTERGÖTLANDS LÄN</t>
        </is>
      </c>
      <c r="G562" t="inlineStr">
        <is>
          <t>FINSPÅNG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31025-2023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46277</v>
      </c>
      <c r="F563" t="inlineStr">
        <is>
          <t>ÖSTERGÖTLANDS LÄN</t>
        </is>
      </c>
      <c r="G563" t="inlineStr">
        <is>
          <t>FINSPÅNG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46060</v>
      </c>
      <c r="E564" s="1" t="n">
        <v>46277</v>
      </c>
      <c r="F564" t="inlineStr">
        <is>
          <t>ÖSTERGÖTLANDS LÄN</t>
        </is>
      </c>
      <c r="G564" t="inlineStr">
        <is>
          <t>FINSPÅNG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7271-2026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46058</v>
      </c>
      <c r="E565" s="1" t="n">
        <v>46277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Övriga Aktiebolag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46064</v>
      </c>
      <c r="E566" s="1" t="n">
        <v>46277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Sveaskog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46277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8245-2026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46064</v>
      </c>
      <c r="E568" s="1" t="n">
        <v>46277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50670-2024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45601</v>
      </c>
      <c r="E569" s="1" t="n">
        <v>46277</v>
      </c>
      <c r="F569" t="inlineStr">
        <is>
          <t>ÖSTERGÖTLANDS LÄN</t>
        </is>
      </c>
      <c r="G569" t="inlineStr">
        <is>
          <t>FINSPÅNG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17994-2023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45040</v>
      </c>
      <c r="E570" s="1" t="n">
        <v>46277</v>
      </c>
      <c r="F570" t="inlineStr">
        <is>
          <t>ÖSTERGÖTLANDS LÄN</t>
        </is>
      </c>
      <c r="G570" t="inlineStr">
        <is>
          <t>FINSPÅNG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45020</v>
      </c>
      <c r="E571" s="1" t="n">
        <v>46277</v>
      </c>
      <c r="F571" t="inlineStr">
        <is>
          <t>ÖSTERGÖTLANDS LÄN</t>
        </is>
      </c>
      <c r="G571" t="inlineStr">
        <is>
          <t>FINSPÅNG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48652-2024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45593</v>
      </c>
      <c r="E572" s="1" t="n">
        <v>46277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Övriga Aktiebolag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45068</v>
      </c>
      <c r="E573" s="1" t="n">
        <v>46277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36192-2023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45149</v>
      </c>
      <c r="E574" s="1" t="n">
        <v>46277</v>
      </c>
      <c r="F574" t="inlineStr">
        <is>
          <t>ÖSTERGÖTLANDS LÄN</t>
        </is>
      </c>
      <c r="G574" t="inlineStr">
        <is>
          <t>FINSPÅNG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46277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54581-2024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46277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46277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46141</v>
      </c>
      <c r="E578" s="1" t="n">
        <v>46277</v>
      </c>
      <c r="F578" t="inlineStr">
        <is>
          <t>ÖSTERGÖTLANDS LÄN</t>
        </is>
      </c>
      <c r="G578" t="inlineStr">
        <is>
          <t>FINSPÅNG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10206-2022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44622</v>
      </c>
      <c r="E579" s="1" t="n">
        <v>46277</v>
      </c>
      <c r="F579" t="inlineStr">
        <is>
          <t>ÖSTERGÖTLANDS LÄN</t>
        </is>
      </c>
      <c r="G579" t="inlineStr">
        <is>
          <t>FINSPÅNG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44564</v>
      </c>
      <c r="E580" s="1" t="n">
        <v>46277</v>
      </c>
      <c r="F580" t="inlineStr">
        <is>
          <t>ÖSTERGÖTLANDS LÄN</t>
        </is>
      </c>
      <c r="G580" t="inlineStr">
        <is>
          <t>FINSPÅNG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44958</v>
      </c>
      <c r="E581" s="1" t="n">
        <v>46277</v>
      </c>
      <c r="F581" t="inlineStr">
        <is>
          <t>ÖSTERGÖTLANDS LÄN</t>
        </is>
      </c>
      <c r="G581" t="inlineStr">
        <is>
          <t>FINSPÅNG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27698-2023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45095</v>
      </c>
      <c r="E582" s="1" t="n">
        <v>46277</v>
      </c>
      <c r="F582" t="inlineStr">
        <is>
          <t>ÖSTERGÖTLANDS LÄN</t>
        </is>
      </c>
      <c r="G582" t="inlineStr">
        <is>
          <t>FINSPÅNG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20819-2026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46277</v>
      </c>
      <c r="F583" t="inlineStr">
        <is>
          <t>ÖSTERGÖTLANDS LÄN</t>
        </is>
      </c>
      <c r="G583" t="inlineStr">
        <is>
          <t>FINSPÅNG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65742-2021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44516</v>
      </c>
      <c r="E584" s="1" t="n">
        <v>46277</v>
      </c>
      <c r="F584" t="inlineStr">
        <is>
          <t>ÖSTERGÖTLANDS LÄN</t>
        </is>
      </c>
      <c r="G584" t="inlineStr">
        <is>
          <t>FINSPÅNG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18134-2023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45040</v>
      </c>
      <c r="E585" s="1" t="n">
        <v>46277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53670-2024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45615</v>
      </c>
      <c r="E586" s="1" t="n">
        <v>46277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52561-2024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45609</v>
      </c>
      <c r="E587" s="1" t="n">
        <v>46277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40065-2024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46277</v>
      </c>
      <c r="F588" t="inlineStr">
        <is>
          <t>ÖSTERGÖTLANDS LÄN</t>
        </is>
      </c>
      <c r="G588" t="inlineStr">
        <is>
          <t>FINSPÅNG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39415-2024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46277</v>
      </c>
      <c r="F589" t="inlineStr">
        <is>
          <t>ÖSTERGÖTLANDS LÄN</t>
        </is>
      </c>
      <c r="G589" t="inlineStr">
        <is>
          <t>FINSPÅNG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57678-2025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46277</v>
      </c>
      <c r="F590" t="inlineStr">
        <is>
          <t>ÖSTERGÖTLANDS LÄN</t>
        </is>
      </c>
      <c r="G590" t="inlineStr">
        <is>
          <t>FINSPÅNG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43534-2023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45184</v>
      </c>
      <c r="E591" s="1" t="n">
        <v>46277</v>
      </c>
      <c r="F591" t="inlineStr">
        <is>
          <t>ÖSTERGÖTLANDS LÄN</t>
        </is>
      </c>
      <c r="G591" t="inlineStr">
        <is>
          <t>FINSPÅNG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10215-2022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44622</v>
      </c>
      <c r="E592" s="1" t="n">
        <v>46277</v>
      </c>
      <c r="F592" t="inlineStr">
        <is>
          <t>ÖSTERGÖTLANDS LÄN</t>
        </is>
      </c>
      <c r="G592" t="inlineStr">
        <is>
          <t>FINSPÅNG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23724-2023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45077</v>
      </c>
      <c r="E593" s="1" t="n">
        <v>46277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34119-2025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46277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48466-2023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45206</v>
      </c>
      <c r="E595" s="1" t="n">
        <v>46277</v>
      </c>
      <c r="F595" t="inlineStr">
        <is>
          <t>ÖSTERGÖTLANDS LÄN</t>
        </is>
      </c>
      <c r="G595" t="inlineStr">
        <is>
          <t>FINSPÅNG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46277</v>
      </c>
      <c r="F596" t="inlineStr">
        <is>
          <t>ÖSTERGÖTLANDS LÄN</t>
        </is>
      </c>
      <c r="G596" t="inlineStr">
        <is>
          <t>FINSPÅNG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45456</v>
      </c>
      <c r="E597" s="1" t="n">
        <v>46277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41328-2023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46277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Kyrkan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46277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22938-2026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46277</v>
      </c>
      <c r="F600" t="inlineStr">
        <is>
          <t>ÖSTERGÖTLANDS LÄN</t>
        </is>
      </c>
      <c r="G600" t="inlineStr">
        <is>
          <t>FINSPÅNG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44795</v>
      </c>
      <c r="E601" s="1" t="n">
        <v>46277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Övriga Aktiebolag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10485-2026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46077</v>
      </c>
      <c r="E602" s="1" t="n">
        <v>46277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Kyrkan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45715</v>
      </c>
      <c r="E603" s="1" t="n">
        <v>46277</v>
      </c>
      <c r="F603" t="inlineStr">
        <is>
          <t>ÖSTERGÖTLANDS LÄN</t>
        </is>
      </c>
      <c r="G603" t="inlineStr">
        <is>
          <t>FINSPÅNG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11730-2022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44634</v>
      </c>
      <c r="E604" s="1" t="n">
        <v>46277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18349-2025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46277</v>
      </c>
      <c r="F605" t="inlineStr">
        <is>
          <t>ÖSTERGÖTLANDS LÄN</t>
        </is>
      </c>
      <c r="G605" t="inlineStr">
        <is>
          <t>FINSPÅNG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35570-2023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45147</v>
      </c>
      <c r="E606" s="1" t="n">
        <v>46277</v>
      </c>
      <c r="F606" t="inlineStr">
        <is>
          <t>ÖSTERGÖTLANDS LÄN</t>
        </is>
      </c>
      <c r="G606" t="inlineStr">
        <is>
          <t>FINSPÅNG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48790-2023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45209</v>
      </c>
      <c r="E607" s="1" t="n">
        <v>46277</v>
      </c>
      <c r="F607" t="inlineStr">
        <is>
          <t>ÖSTERGÖTLANDS LÄN</t>
        </is>
      </c>
      <c r="G607" t="inlineStr">
        <is>
          <t>FINSPÅNG</t>
        </is>
      </c>
      <c r="I607" t="n">
        <v>14.6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48793-2023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45209</v>
      </c>
      <c r="E608" s="1" t="n">
        <v>46277</v>
      </c>
      <c r="F608" t="inlineStr">
        <is>
          <t>ÖSTERGÖTLANDS LÄN</t>
        </is>
      </c>
      <c r="G608" t="inlineStr">
        <is>
          <t>FINSPÅNG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56420-2023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45243</v>
      </c>
      <c r="E609" s="1" t="n">
        <v>46277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45660</v>
      </c>
      <c r="E610" s="1" t="n">
        <v>46277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Övriga Aktiebolag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28722-2023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45103</v>
      </c>
      <c r="E611" s="1" t="n">
        <v>46277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59287-2023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45253</v>
      </c>
      <c r="E612" s="1" t="n">
        <v>46277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15824-2022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44664</v>
      </c>
      <c r="E613" s="1" t="n">
        <v>46277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63482-2023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45274</v>
      </c>
      <c r="E614" s="1" t="n">
        <v>46277</v>
      </c>
      <c r="F614" t="inlineStr">
        <is>
          <t>ÖSTERGÖTLANDS LÄN</t>
        </is>
      </c>
      <c r="G614" t="inlineStr">
        <is>
          <t>FINSPÅNG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30920-2022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44767</v>
      </c>
      <c r="E615" s="1" t="n">
        <v>46277</v>
      </c>
      <c r="F615" t="inlineStr">
        <is>
          <t>ÖSTERGÖTLANDS LÄN</t>
        </is>
      </c>
      <c r="G615" t="inlineStr">
        <is>
          <t>FINSPÅNG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46277</v>
      </c>
      <c r="F616" t="inlineStr">
        <is>
          <t>ÖSTERGÖTLANDS LÄN</t>
        </is>
      </c>
      <c r="G616" t="inlineStr">
        <is>
          <t>FINSPÅNG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25864-2026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46176</v>
      </c>
      <c r="E617" s="1" t="n">
        <v>46277</v>
      </c>
      <c r="F617" t="inlineStr">
        <is>
          <t>ÖSTERGÖTLANDS LÄN</t>
        </is>
      </c>
      <c r="G617" t="inlineStr">
        <is>
          <t>FINSPÅNG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10252-2025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45720</v>
      </c>
      <c r="E618" s="1" t="n">
        <v>46277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26247-2022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44735</v>
      </c>
      <c r="E619" s="1" t="n">
        <v>46277</v>
      </c>
      <c r="F619" t="inlineStr">
        <is>
          <t>ÖSTERGÖTLANDS LÄN</t>
        </is>
      </c>
      <c r="G619" t="inlineStr">
        <is>
          <t>FINSPÅNG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46277</v>
      </c>
      <c r="F620" t="inlineStr">
        <is>
          <t>ÖSTERGÖTLANDS LÄN</t>
        </is>
      </c>
      <c r="G620" t="inlineStr">
        <is>
          <t>FINSPÅNG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24833-2026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46277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Sveaskog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24835-2026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46277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25629-2026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46177</v>
      </c>
      <c r="E623" s="1" t="n">
        <v>46277</v>
      </c>
      <c r="F623" t="inlineStr">
        <is>
          <t>ÖSTERGÖTLANDS LÄN</t>
        </is>
      </c>
      <c r="G623" t="inlineStr">
        <is>
          <t>FINSPÅNG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25195-2022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44729</v>
      </c>
      <c r="E624" s="1" t="n">
        <v>46277</v>
      </c>
      <c r="F624" t="inlineStr">
        <is>
          <t>ÖSTERGÖTLANDS LÄN</t>
        </is>
      </c>
      <c r="G624" t="inlineStr">
        <is>
          <t>FINSPÅNG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36191-2023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45149</v>
      </c>
      <c r="E625" s="1" t="n">
        <v>46277</v>
      </c>
      <c r="F625" t="inlineStr">
        <is>
          <t>ÖSTERGÖTLANDS LÄN</t>
        </is>
      </c>
      <c r="G625" t="inlineStr">
        <is>
          <t>FINSPÅNG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59799-2023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45257</v>
      </c>
      <c r="E626" s="1" t="n">
        <v>46277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45314</v>
      </c>
      <c r="E627" s="1" t="n">
        <v>46277</v>
      </c>
      <c r="F627" t="inlineStr">
        <is>
          <t>ÖSTERGÖTLANDS LÄN</t>
        </is>
      </c>
      <c r="G627" t="inlineStr">
        <is>
          <t>FINSPÅNG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44672</v>
      </c>
      <c r="E628" s="1" t="n">
        <v>46277</v>
      </c>
      <c r="F628" t="inlineStr">
        <is>
          <t>ÖSTERGÖTLANDS LÄN</t>
        </is>
      </c>
      <c r="G628" t="inlineStr">
        <is>
          <t>FINSPÅNG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25943-2026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46277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2047-2024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45308</v>
      </c>
      <c r="E630" s="1" t="n">
        <v>46277</v>
      </c>
      <c r="F630" t="inlineStr">
        <is>
          <t>ÖSTERGÖTLANDS LÄN</t>
        </is>
      </c>
      <c r="G630" t="inlineStr">
        <is>
          <t>FINSPÅNG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44823</v>
      </c>
      <c r="E631" s="1" t="n">
        <v>46277</v>
      </c>
      <c r="F631" t="inlineStr">
        <is>
          <t>ÖSTERGÖTLANDS LÄN</t>
        </is>
      </c>
      <c r="G631" t="inlineStr">
        <is>
          <t>FINSPÅNG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46277</v>
      </c>
      <c r="F632" t="inlineStr">
        <is>
          <t>ÖSTERGÖTLANDS LÄN</t>
        </is>
      </c>
      <c r="G632" t="inlineStr">
        <is>
          <t>FINSPÅNG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25766-2026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46178</v>
      </c>
      <c r="E633" s="1" t="n">
        <v>46277</v>
      </c>
      <c r="F633" t="inlineStr">
        <is>
          <t>ÖSTERGÖTLANDS LÄN</t>
        </is>
      </c>
      <c r="G633" t="inlineStr">
        <is>
          <t>FINSPÅNG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25760-2026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46277</v>
      </c>
      <c r="F634" t="inlineStr">
        <is>
          <t>ÖSTERGÖTLANDS LÄN</t>
        </is>
      </c>
      <c r="G634" t="inlineStr">
        <is>
          <t>FINSPÅNG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55980-2024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45623</v>
      </c>
      <c r="E635" s="1" t="n">
        <v>46277</v>
      </c>
      <c r="F635" t="inlineStr">
        <is>
          <t>ÖSTERGÖTLANDS LÄN</t>
        </is>
      </c>
      <c r="G635" t="inlineStr">
        <is>
          <t>FINSPÅNG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38613-2022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46277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44833</v>
      </c>
      <c r="E637" s="1" t="n">
        <v>46277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26195-2024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45468</v>
      </c>
      <c r="E638" s="1" t="n">
        <v>46277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12483-2024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45379</v>
      </c>
      <c r="E639" s="1" t="n">
        <v>46277</v>
      </c>
      <c r="F639" t="inlineStr">
        <is>
          <t>ÖSTERGÖTLANDS LÄN</t>
        </is>
      </c>
      <c r="G639" t="inlineStr">
        <is>
          <t>FINSPÅNG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45309</v>
      </c>
      <c r="E640" s="1" t="n">
        <v>46277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45309</v>
      </c>
      <c r="E641" s="1" t="n">
        <v>46277</v>
      </c>
      <c r="F641" t="inlineStr">
        <is>
          <t>ÖSTERGÖTLANDS LÄN</t>
        </is>
      </c>
      <c r="G641" t="inlineStr">
        <is>
          <t>FINSPÅNG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45309</v>
      </c>
      <c r="E642" s="1" t="n">
        <v>46277</v>
      </c>
      <c r="F642" t="inlineStr">
        <is>
          <t>ÖSTERGÖTLANDS LÄN</t>
        </is>
      </c>
      <c r="G642" t="inlineStr">
        <is>
          <t>FINSPÅNG</t>
        </is>
      </c>
      <c r="I642" t="n">
        <v>15.1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59838-2023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45257</v>
      </c>
      <c r="E643" s="1" t="n">
        <v>46277</v>
      </c>
      <c r="F643" t="inlineStr">
        <is>
          <t>ÖSTERGÖTLANDS LÄN</t>
        </is>
      </c>
      <c r="G643" t="inlineStr">
        <is>
          <t>FINSPÅNG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1137-2024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45302</v>
      </c>
      <c r="E644" s="1" t="n">
        <v>46277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6731-2023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44966</v>
      </c>
      <c r="E645" s="1" t="n">
        <v>46277</v>
      </c>
      <c r="F645" t="inlineStr">
        <is>
          <t>ÖSTERGÖTLANDS LÄN</t>
        </is>
      </c>
      <c r="G645" t="inlineStr">
        <is>
          <t>FINSPÅNG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46277</v>
      </c>
      <c r="F646" t="inlineStr">
        <is>
          <t>ÖSTERGÖTLANDS LÄN</t>
        </is>
      </c>
      <c r="G646" t="inlineStr">
        <is>
          <t>FINSPÅNG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30922-2022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44767</v>
      </c>
      <c r="E647" s="1" t="n">
        <v>46277</v>
      </c>
      <c r="F647" t="inlineStr">
        <is>
          <t>ÖSTERGÖTLANDS LÄN</t>
        </is>
      </c>
      <c r="G647" t="inlineStr">
        <is>
          <t>FINSPÅNG</t>
        </is>
      </c>
      <c r="I647" t="n">
        <v>10.6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26905-2026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46185</v>
      </c>
      <c r="E648" s="1" t="n">
        <v>46277</v>
      </c>
      <c r="F648" t="inlineStr">
        <is>
          <t>ÖSTERGÖTLANDS LÄN</t>
        </is>
      </c>
      <c r="G648" t="inlineStr">
        <is>
          <t>FINSPÅNG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39205-2022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44817</v>
      </c>
      <c r="E649" s="1" t="n">
        <v>46277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17992-2023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46277</v>
      </c>
      <c r="F650" t="inlineStr">
        <is>
          <t>ÖSTERGÖTLANDS LÄN</t>
        </is>
      </c>
      <c r="G650" t="inlineStr">
        <is>
          <t>FINSPÅNG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5616-2022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44595</v>
      </c>
      <c r="E651" s="1" t="n">
        <v>46277</v>
      </c>
      <c r="F651" t="inlineStr">
        <is>
          <t>ÖSTERGÖTLANDS LÄN</t>
        </is>
      </c>
      <c r="G651" t="inlineStr">
        <is>
          <t>FINSPÅNG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27369-2026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46188</v>
      </c>
      <c r="E652" s="1" t="n">
        <v>46277</v>
      </c>
      <c r="F652" t="inlineStr">
        <is>
          <t>ÖSTERGÖTLANDS LÄN</t>
        </is>
      </c>
      <c r="G652" t="inlineStr">
        <is>
          <t>FINSPÅNG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8700-2025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45712</v>
      </c>
      <c r="E653" s="1" t="n">
        <v>46277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45009</v>
      </c>
      <c r="E654" s="1" t="n">
        <v>46277</v>
      </c>
      <c r="F654" t="inlineStr">
        <is>
          <t>ÖSTERGÖTLANDS LÄN</t>
        </is>
      </c>
      <c r="G654" t="inlineStr">
        <is>
          <t>FINSPÅNG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24804-2023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45084</v>
      </c>
      <c r="E655" s="1" t="n">
        <v>46277</v>
      </c>
      <c r="F655" t="inlineStr">
        <is>
          <t>ÖSTERGÖTLANDS LÄN</t>
        </is>
      </c>
      <c r="G655" t="inlineStr">
        <is>
          <t>FINSPÅNG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33027-2022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44782</v>
      </c>
      <c r="E656" s="1" t="n">
        <v>46277</v>
      </c>
      <c r="F656" t="inlineStr">
        <is>
          <t>ÖSTERGÖTLANDS LÄN</t>
        </is>
      </c>
      <c r="G656" t="inlineStr">
        <is>
          <t>FINSPÅNG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22714-2022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44714</v>
      </c>
      <c r="E657" s="1" t="n">
        <v>46277</v>
      </c>
      <c r="F657" t="inlineStr">
        <is>
          <t>ÖSTERGÖTLANDS LÄN</t>
        </is>
      </c>
      <c r="G657" t="inlineStr">
        <is>
          <t>FINSPÅNG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45299</v>
      </c>
      <c r="E658" s="1" t="n">
        <v>46277</v>
      </c>
      <c r="F658" t="inlineStr">
        <is>
          <t>ÖSTERGÖTLANDS LÄN</t>
        </is>
      </c>
      <c r="G658" t="inlineStr">
        <is>
          <t>FINSPÅNG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29078-2022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44749</v>
      </c>
      <c r="E659" s="1" t="n">
        <v>46277</v>
      </c>
      <c r="F659" t="inlineStr">
        <is>
          <t>ÖSTERGÖTLANDS LÄN</t>
        </is>
      </c>
      <c r="G659" t="inlineStr">
        <is>
          <t>FINSPÅNG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49494-2022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44861</v>
      </c>
      <c r="E660" s="1" t="n">
        <v>46277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Naturvårdsverket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10420-2023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44987</v>
      </c>
      <c r="E661" s="1" t="n">
        <v>46277</v>
      </c>
      <c r="F661" t="inlineStr">
        <is>
          <t>ÖSTERGÖTLANDS LÄN</t>
        </is>
      </c>
      <c r="G661" t="inlineStr">
        <is>
          <t>FINSPÅNG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53610-2022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44879</v>
      </c>
      <c r="E662" s="1" t="n">
        <v>46277</v>
      </c>
      <c r="F662" t="inlineStr">
        <is>
          <t>ÖSTERGÖTLANDS LÄN</t>
        </is>
      </c>
      <c r="G662" t="inlineStr">
        <is>
          <t>FINSPÅNG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51610-2022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44871</v>
      </c>
      <c r="E663" s="1" t="n">
        <v>46277</v>
      </c>
      <c r="F663" t="inlineStr">
        <is>
          <t>ÖSTERGÖTLANDS LÄN</t>
        </is>
      </c>
      <c r="G663" t="inlineStr">
        <is>
          <t>FINSPÅNG</t>
        </is>
      </c>
      <c r="I663" t="n">
        <v>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68122-2021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44526</v>
      </c>
      <c r="E664" s="1" t="n">
        <v>46277</v>
      </c>
      <c r="F664" t="inlineStr">
        <is>
          <t>ÖSTERGÖTLANDS LÄN</t>
        </is>
      </c>
      <c r="G664" t="inlineStr">
        <is>
          <t>FINSPÅNG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61012-2022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44914</v>
      </c>
      <c r="E665" s="1" t="n">
        <v>46277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39114-2024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45548</v>
      </c>
      <c r="E666" s="1" t="n">
        <v>46277</v>
      </c>
      <c r="F666" t="inlineStr">
        <is>
          <t>ÖSTERGÖTLANDS LÄN</t>
        </is>
      </c>
      <c r="G666" t="inlineStr">
        <is>
          <t>FINSPÅNG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45763</v>
      </c>
      <c r="E667" s="1" t="n">
        <v>46277</v>
      </c>
      <c r="F667" t="inlineStr">
        <is>
          <t>ÖSTERGÖTLANDS LÄN</t>
        </is>
      </c>
      <c r="G667" t="inlineStr">
        <is>
          <t>FINSPÅNG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62421-2021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44503</v>
      </c>
      <c r="E668" s="1" t="n">
        <v>46277</v>
      </c>
      <c r="F668" t="inlineStr">
        <is>
          <t>ÖSTERGÖTLANDS LÄN</t>
        </is>
      </c>
      <c r="G668" t="inlineStr">
        <is>
          <t>FINSPÅNG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59062-2024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45636</v>
      </c>
      <c r="E669" s="1" t="n">
        <v>46277</v>
      </c>
      <c r="F669" t="inlineStr">
        <is>
          <t>ÖSTERGÖTLANDS LÄN</t>
        </is>
      </c>
      <c r="G669" t="inlineStr">
        <is>
          <t>FINSPÅNG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46196</v>
      </c>
      <c r="E670" s="1" t="n">
        <v>46277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Kommuner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7445-2022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44607</v>
      </c>
      <c r="E671" s="1" t="n">
        <v>46277</v>
      </c>
      <c r="F671" t="inlineStr">
        <is>
          <t>ÖSTERGÖTLANDS LÄN</t>
        </is>
      </c>
      <c r="G671" t="inlineStr">
        <is>
          <t>FINSPÅNG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4280-2023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44953</v>
      </c>
      <c r="E672" s="1" t="n">
        <v>46277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34309-2025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45846</v>
      </c>
      <c r="E673" s="1" t="n">
        <v>46277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39356-2022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44817</v>
      </c>
      <c r="E674" s="1" t="n">
        <v>46277</v>
      </c>
      <c r="F674" t="inlineStr">
        <is>
          <t>ÖSTERGÖTLANDS LÄN</t>
        </is>
      </c>
      <c r="G674" t="inlineStr">
        <is>
          <t>FINSPÅNG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34001-2024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45523</v>
      </c>
      <c r="E675" s="1" t="n">
        <v>46277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46277</v>
      </c>
      <c r="F676" t="inlineStr">
        <is>
          <t>ÖSTERGÖTLANDS LÄN</t>
        </is>
      </c>
      <c r="G676" t="inlineStr">
        <is>
          <t>FINSPÅNG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50811-2022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44867</v>
      </c>
      <c r="E677" s="1" t="n">
        <v>46277</v>
      </c>
      <c r="F677" t="inlineStr">
        <is>
          <t>ÖSTERGÖTLANDS LÄN</t>
        </is>
      </c>
      <c r="G677" t="inlineStr">
        <is>
          <t>FINSPÅNG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25356-2022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44732</v>
      </c>
      <c r="E678" s="1" t="n">
        <v>46277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44949</v>
      </c>
      <c r="E679" s="1" t="n">
        <v>46277</v>
      </c>
      <c r="F679" t="inlineStr">
        <is>
          <t>ÖSTERGÖTLANDS LÄN</t>
        </is>
      </c>
      <c r="G679" t="inlineStr">
        <is>
          <t>FINSPÅNG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46277</v>
      </c>
      <c r="F680" t="inlineStr">
        <is>
          <t>ÖSTERGÖTLANDS LÄN</t>
        </is>
      </c>
      <c r="G680" t="inlineStr">
        <is>
          <t>FINSPÅNG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44949</v>
      </c>
      <c r="E681" s="1" t="n">
        <v>46277</v>
      </c>
      <c r="F681" t="inlineStr">
        <is>
          <t>ÖSTERGÖTLANDS LÄN</t>
        </is>
      </c>
      <c r="G681" t="inlineStr">
        <is>
          <t>FINSPÅNG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5656-2023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44960</v>
      </c>
      <c r="E682" s="1" t="n">
        <v>46277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6733-2023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44966</v>
      </c>
      <c r="E683" s="1" t="n">
        <v>46277</v>
      </c>
      <c r="F683" t="inlineStr">
        <is>
          <t>ÖSTERGÖTLANDS LÄN</t>
        </is>
      </c>
      <c r="G683" t="inlineStr">
        <is>
          <t>FINSPÅNG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46277</v>
      </c>
      <c r="F684" t="inlineStr">
        <is>
          <t>ÖSTERGÖTLANDS LÄN</t>
        </is>
      </c>
      <c r="G684" t="inlineStr">
        <is>
          <t>FINSPÅNG</t>
        </is>
      </c>
      <c r="I684" t="n">
        <v>13.3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15473-2022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44662</v>
      </c>
      <c r="E685" s="1" t="n">
        <v>46277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40410-2024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45555</v>
      </c>
      <c r="E686" s="1" t="n">
        <v>46277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61994-2022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44918</v>
      </c>
      <c r="E687" s="1" t="n">
        <v>46277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55624-2024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45622</v>
      </c>
      <c r="E688" s="1" t="n">
        <v>46277</v>
      </c>
      <c r="F688" t="inlineStr">
        <is>
          <t>ÖSTERGÖTLANDS LÄN</t>
        </is>
      </c>
      <c r="G688" t="inlineStr">
        <is>
          <t>FINSPÅNG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611-2023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44930</v>
      </c>
      <c r="E689" s="1" t="n">
        <v>46277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60173-2023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45258</v>
      </c>
      <c r="E690" s="1" t="n">
        <v>46277</v>
      </c>
      <c r="F690" t="inlineStr">
        <is>
          <t>ÖSTERGÖTLANDS LÄN</t>
        </is>
      </c>
      <c r="G690" t="inlineStr">
        <is>
          <t>FINSPÅNG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12472-2024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45379</v>
      </c>
      <c r="E691" s="1" t="n">
        <v>46277</v>
      </c>
      <c r="F691" t="inlineStr">
        <is>
          <t>ÖSTERGÖTLANDS LÄN</t>
        </is>
      </c>
      <c r="G691" t="inlineStr">
        <is>
          <t>FINSPÅNG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60619-2023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45260</v>
      </c>
      <c r="E692" s="1" t="n">
        <v>46277</v>
      </c>
      <c r="F692" t="inlineStr">
        <is>
          <t>ÖSTERGÖTLANDS LÄN</t>
        </is>
      </c>
      <c r="G692" t="inlineStr">
        <is>
          <t>FINSPÅNG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15674-2023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45021</v>
      </c>
      <c r="E693" s="1" t="n">
        <v>46277</v>
      </c>
      <c r="F693" t="inlineStr">
        <is>
          <t>ÖSTERGÖTLANDS LÄN</t>
        </is>
      </c>
      <c r="G693" t="inlineStr">
        <is>
          <t>FINSPÅNG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39740-2023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45167</v>
      </c>
      <c r="E694" s="1" t="n">
        <v>46277</v>
      </c>
      <c r="F694" t="inlineStr">
        <is>
          <t>ÖSTERGÖTLANDS LÄN</t>
        </is>
      </c>
      <c r="G694" t="inlineStr">
        <is>
          <t>FINSPÅNG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14061-2023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45008</v>
      </c>
      <c r="E695" s="1" t="n">
        <v>46277</v>
      </c>
      <c r="F695" t="inlineStr">
        <is>
          <t>ÖSTERGÖTLANDS LÄN</t>
        </is>
      </c>
      <c r="G695" t="inlineStr">
        <is>
          <t>FINSPÅNG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9339-2022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44616</v>
      </c>
      <c r="E696" s="1" t="n">
        <v>46277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29731-2026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46204</v>
      </c>
      <c r="E697" s="1" t="n">
        <v>46277</v>
      </c>
      <c r="F697" t="inlineStr">
        <is>
          <t>ÖSTERGÖTLANDS LÄN</t>
        </is>
      </c>
      <c r="G697" t="inlineStr">
        <is>
          <t>FINSPÅNG</t>
        </is>
      </c>
      <c r="I697" t="n">
        <v>18.6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73260-2021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44550</v>
      </c>
      <c r="E698" s="1" t="n">
        <v>46277</v>
      </c>
      <c r="F698" t="inlineStr">
        <is>
          <t>ÖSTERGÖTLANDS LÄN</t>
        </is>
      </c>
      <c r="G698" t="inlineStr">
        <is>
          <t>FINSPÅNG</t>
        </is>
      </c>
      <c r="I698" t="n">
        <v>10.3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53572-2023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45230</v>
      </c>
      <c r="E699" s="1" t="n">
        <v>46277</v>
      </c>
      <c r="F699" t="inlineStr">
        <is>
          <t>ÖSTERGÖTLANDS LÄN</t>
        </is>
      </c>
      <c r="G699" t="inlineStr">
        <is>
          <t>FINSPÅNG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45013</v>
      </c>
      <c r="E700" s="1" t="n">
        <v>46277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45554</v>
      </c>
      <c r="E701" s="1" t="n">
        <v>46277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27487-2023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45095</v>
      </c>
      <c r="E702" s="1" t="n">
        <v>46277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Övriga Aktiebolag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20157-2023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45055</v>
      </c>
      <c r="E703" s="1" t="n">
        <v>46277</v>
      </c>
      <c r="F703" t="inlineStr">
        <is>
          <t>ÖSTERGÖTLANDS LÄN</t>
        </is>
      </c>
      <c r="G703" t="inlineStr">
        <is>
          <t>FINSPÅNG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31147-2026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46209</v>
      </c>
      <c r="E704" s="1" t="n">
        <v>46277</v>
      </c>
      <c r="F704" t="inlineStr">
        <is>
          <t>ÖSTERGÖTLANDS LÄN</t>
        </is>
      </c>
      <c r="G704" t="inlineStr">
        <is>
          <t>FINSPÅNG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11974-2023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44995</v>
      </c>
      <c r="E705" s="1" t="n">
        <v>46277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28020-2023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45095</v>
      </c>
      <c r="E706" s="1" t="n">
        <v>46277</v>
      </c>
      <c r="F706" t="inlineStr">
        <is>
          <t>ÖSTERGÖTLANDS LÄN</t>
        </is>
      </c>
      <c r="G706" t="inlineStr">
        <is>
          <t>FINSPÅNG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31151-2026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46277</v>
      </c>
      <c r="F707" t="inlineStr">
        <is>
          <t>ÖSTERGÖTLANDS LÄN</t>
        </is>
      </c>
      <c r="G707" t="inlineStr">
        <is>
          <t>FINSPÅNG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18585-2024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45425</v>
      </c>
      <c r="E708" s="1" t="n">
        <v>46277</v>
      </c>
      <c r="F708" t="inlineStr">
        <is>
          <t>ÖSTERGÖTLANDS LÄN</t>
        </is>
      </c>
      <c r="G708" t="inlineStr">
        <is>
          <t>FINSPÅNG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57854-2022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44898</v>
      </c>
      <c r="E709" s="1" t="n">
        <v>46277</v>
      </c>
      <c r="F709" t="inlineStr">
        <is>
          <t>ÖSTERGÖTLANDS LÄN</t>
        </is>
      </c>
      <c r="G709" t="inlineStr">
        <is>
          <t>FINSPÅNG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31152-2026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46277</v>
      </c>
      <c r="F710" t="inlineStr">
        <is>
          <t>ÖSTERGÖTLANDS LÄN</t>
        </is>
      </c>
      <c r="G710" t="inlineStr">
        <is>
          <t>FINSPÅNG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45177</v>
      </c>
      <c r="E711" s="1" t="n">
        <v>46277</v>
      </c>
      <c r="F711" t="inlineStr">
        <is>
          <t>ÖSTERGÖTLANDS LÄN</t>
        </is>
      </c>
      <c r="G711" t="inlineStr">
        <is>
          <t>FINSPÅNG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46211</v>
      </c>
      <c r="E712" s="1" t="n">
        <v>46277</v>
      </c>
      <c r="F712" t="inlineStr">
        <is>
          <t>ÖSTERGÖTLANDS LÄN</t>
        </is>
      </c>
      <c r="G712" t="inlineStr">
        <is>
          <t>FINSPÅNG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24015-2024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45456</v>
      </c>
      <c r="E713" s="1" t="n">
        <v>46277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50189-2022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44865</v>
      </c>
      <c r="E714" s="1" t="n">
        <v>46277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9130-2023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44980</v>
      </c>
      <c r="E715" s="1" t="n">
        <v>46277</v>
      </c>
      <c r="F715" t="inlineStr">
        <is>
          <t>ÖSTERGÖTLANDS LÄN</t>
        </is>
      </c>
      <c r="G715" t="inlineStr">
        <is>
          <t>FINSPÅNG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44966</v>
      </c>
      <c r="E716" s="1" t="n">
        <v>46277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Övriga Aktiebolag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60749-2022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44914</v>
      </c>
      <c r="E717" s="1" t="n">
        <v>46277</v>
      </c>
      <c r="F717" t="inlineStr">
        <is>
          <t>ÖSTERGÖTLANDS LÄN</t>
        </is>
      </c>
      <c r="G717" t="inlineStr">
        <is>
          <t>FINSPÅNG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30864-2026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46212</v>
      </c>
      <c r="E718" s="1" t="n">
        <v>46277</v>
      </c>
      <c r="F718" t="inlineStr">
        <is>
          <t>ÖSTERGÖTLANDS LÄN</t>
        </is>
      </c>
      <c r="G718" t="inlineStr">
        <is>
          <t>FINSPÅNG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8317-2023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44974</v>
      </c>
      <c r="E719" s="1" t="n">
        <v>46277</v>
      </c>
      <c r="F719" t="inlineStr">
        <is>
          <t>ÖSTERGÖTLANDS LÄN</t>
        </is>
      </c>
      <c r="G719" t="inlineStr">
        <is>
          <t>FINSPÅNG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3568-2023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44950</v>
      </c>
      <c r="E720" s="1" t="n">
        <v>46277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50510-2024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45601</v>
      </c>
      <c r="E721" s="1" t="n">
        <v>46277</v>
      </c>
      <c r="F721" t="inlineStr">
        <is>
          <t>ÖSTERGÖTLANDS LÄN</t>
        </is>
      </c>
      <c r="G721" t="inlineStr">
        <is>
          <t>FINSPÅNG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45323</v>
      </c>
      <c r="E722" s="1" t="n">
        <v>46277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46255</v>
      </c>
      <c r="E723" s="1" t="n">
        <v>46277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Sveaskog</t>
        </is>
      </c>
      <c r="I723" t="n">
        <v>8.4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42779-2023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45181</v>
      </c>
      <c r="E724" s="1" t="n">
        <v>46277</v>
      </c>
      <c r="F724" t="inlineStr">
        <is>
          <t>ÖSTERGÖTLANDS LÄN</t>
        </is>
      </c>
      <c r="G724" t="inlineStr">
        <is>
          <t>FINSPÅNG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18445-2023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45042</v>
      </c>
      <c r="E725" s="1" t="n">
        <v>46277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59808-2023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45257</v>
      </c>
      <c r="E726" s="1" t="n">
        <v>46277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52731-2023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45225</v>
      </c>
      <c r="E727" s="1" t="n">
        <v>46277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24458-2023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45082</v>
      </c>
      <c r="E728" s="1" t="n">
        <v>46277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6.6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36110-2023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45149</v>
      </c>
      <c r="E729" s="1" t="n">
        <v>46277</v>
      </c>
      <c r="F729" t="inlineStr">
        <is>
          <t>ÖSTERGÖTLANDS LÄN</t>
        </is>
      </c>
      <c r="G729" t="inlineStr">
        <is>
          <t>FINSPÅNG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34883-2026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46258</v>
      </c>
      <c r="E730" s="1" t="n">
        <v>46277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Övriga Aktiebolag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46258</v>
      </c>
      <c r="E731" s="1" t="n">
        <v>46277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Övriga Aktiebolag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11481-2023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44993</v>
      </c>
      <c r="E732" s="1" t="n">
        <v>46277</v>
      </c>
      <c r="F732" t="inlineStr">
        <is>
          <t>ÖSTERGÖTLANDS LÄN</t>
        </is>
      </c>
      <c r="G732" t="inlineStr">
        <is>
          <t>FINSPÅNG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31300-2026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46218</v>
      </c>
      <c r="E733" s="1" t="n">
        <v>46277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Sveaskog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10412-2023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44987</v>
      </c>
      <c r="E734" s="1" t="n">
        <v>46277</v>
      </c>
      <c r="F734" t="inlineStr">
        <is>
          <t>ÖSTERGÖTLANDS LÄN</t>
        </is>
      </c>
      <c r="G734" t="inlineStr">
        <is>
          <t>FINSPÅNG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58011-2023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45247</v>
      </c>
      <c r="E735" s="1" t="n">
        <v>46277</v>
      </c>
      <c r="F735" t="inlineStr">
        <is>
          <t>ÖSTERGÖTLANDS LÄN</t>
        </is>
      </c>
      <c r="G735" t="inlineStr">
        <is>
          <t>FINSPÅNG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18356-2024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45422</v>
      </c>
      <c r="E736" s="1" t="n">
        <v>46277</v>
      </c>
      <c r="F736" t="inlineStr">
        <is>
          <t>ÖSTERGÖTLANDS LÄN</t>
        </is>
      </c>
      <c r="G736" t="inlineStr">
        <is>
          <t>FINSPÅNG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49904-2023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45214</v>
      </c>
      <c r="E737" s="1" t="n">
        <v>46277</v>
      </c>
      <c r="F737" t="inlineStr">
        <is>
          <t>ÖSTERGÖTLANDS LÄN</t>
        </is>
      </c>
      <c r="G737" t="inlineStr">
        <is>
          <t>FINSPÅNG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18258-2024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45421</v>
      </c>
      <c r="E738" s="1" t="n">
        <v>46277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18171-2024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45420</v>
      </c>
      <c r="E739" s="1" t="n">
        <v>46277</v>
      </c>
      <c r="F739" t="inlineStr">
        <is>
          <t>ÖSTERGÖTLANDS LÄN</t>
        </is>
      </c>
      <c r="G739" t="inlineStr">
        <is>
          <t>FINSPÅNG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31301-2026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46218</v>
      </c>
      <c r="E740" s="1" t="n">
        <v>46277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Sveaskog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31307-2026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46219</v>
      </c>
      <c r="E741" s="1" t="n">
        <v>46277</v>
      </c>
      <c r="F741" t="inlineStr">
        <is>
          <t>ÖSTERGÖTLANDS LÄN</t>
        </is>
      </c>
      <c r="G741" t="inlineStr">
        <is>
          <t>FINSPÅNG</t>
        </is>
      </c>
      <c r="I741" t="n">
        <v>6.1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32973-2023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45125</v>
      </c>
      <c r="E742" s="1" t="n">
        <v>46277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Övriga Aktiebolag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16975-2023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45033</v>
      </c>
      <c r="E743" s="1" t="n">
        <v>46277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Naturvårdsverket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46277</v>
      </c>
      <c r="F744" t="inlineStr">
        <is>
          <t>ÖSTERGÖTLANDS LÄN</t>
        </is>
      </c>
      <c r="G744" t="inlineStr">
        <is>
          <t>FINSPÅNG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4753-2025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45688</v>
      </c>
      <c r="E745" s="1" t="n">
        <v>46277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15952-2023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45022</v>
      </c>
      <c r="E746" s="1" t="n">
        <v>46277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15129-2025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45744</v>
      </c>
      <c r="E747" s="1" t="n">
        <v>46277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Naturvårdsverket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62186-2023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45267</v>
      </c>
      <c r="E748" s="1" t="n">
        <v>46277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46277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31801-2023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45118</v>
      </c>
      <c r="E750" s="1" t="n">
        <v>46277</v>
      </c>
      <c r="F750" t="inlineStr">
        <is>
          <t>ÖSTERGÖTLANDS LÄN</t>
        </is>
      </c>
      <c r="G750" t="inlineStr">
        <is>
          <t>FINSPÅNG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52730-2023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45225</v>
      </c>
      <c r="E751" s="1" t="n">
        <v>46277</v>
      </c>
      <c r="F751" t="inlineStr">
        <is>
          <t>ÖSTERGÖTLANDS LÄN</t>
        </is>
      </c>
      <c r="G751" t="inlineStr">
        <is>
          <t>FINSPÅNG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58141-2022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46277</v>
      </c>
      <c r="F752" t="inlineStr">
        <is>
          <t>ÖSTERGÖTLANDS LÄN</t>
        </is>
      </c>
      <c r="G752" t="inlineStr">
        <is>
          <t>FINSPÅNG</t>
        </is>
      </c>
      <c r="I752" t="n">
        <v>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9418-2023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44981</v>
      </c>
      <c r="E753" s="1" t="n">
        <v>46277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62168-2022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44922</v>
      </c>
      <c r="E754" s="1" t="n">
        <v>46277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45311-2023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45191</v>
      </c>
      <c r="E755" s="1" t="n">
        <v>46277</v>
      </c>
      <c r="F755" t="inlineStr">
        <is>
          <t>ÖSTERGÖTLANDS LÄN</t>
        </is>
      </c>
      <c r="G755" t="inlineStr">
        <is>
          <t>FINSPÅNG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42176-2023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45178</v>
      </c>
      <c r="E756" s="1" t="n">
        <v>46277</v>
      </c>
      <c r="F756" t="inlineStr">
        <is>
          <t>ÖSTERGÖTLANDS LÄN</t>
        </is>
      </c>
      <c r="G756" t="inlineStr">
        <is>
          <t>FINSPÅNG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42111-2023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45177</v>
      </c>
      <c r="E757" s="1" t="n">
        <v>46277</v>
      </c>
      <c r="F757" t="inlineStr">
        <is>
          <t>ÖSTERGÖTLANDS LÄN</t>
        </is>
      </c>
      <c r="G757" t="inlineStr">
        <is>
          <t>FINSPÅNG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55956-2024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45623</v>
      </c>
      <c r="E758" s="1" t="n">
        <v>46277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59699-2024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45639</v>
      </c>
      <c r="E759" s="1" t="n">
        <v>46277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46317-2023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45197</v>
      </c>
      <c r="E760" s="1" t="n">
        <v>46277</v>
      </c>
      <c r="F760" t="inlineStr">
        <is>
          <t>ÖSTERGÖTLANDS LÄN</t>
        </is>
      </c>
      <c r="G760" t="inlineStr">
        <is>
          <t>FINSPÅNG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61359-2023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45264</v>
      </c>
      <c r="E761" s="1" t="n">
        <v>46277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32431-2023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45110</v>
      </c>
      <c r="E762" s="1" t="n">
        <v>46277</v>
      </c>
      <c r="F762" t="inlineStr">
        <is>
          <t>ÖSTERGÖTLANDS LÄN</t>
        </is>
      </c>
      <c r="G762" t="inlineStr">
        <is>
          <t>FINSPÅNG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14022-2023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45008</v>
      </c>
      <c r="E763" s="1" t="n">
        <v>46277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36267-2026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46268</v>
      </c>
      <c r="E764" s="1" t="n">
        <v>46277</v>
      </c>
      <c r="F764" t="inlineStr">
        <is>
          <t>ÖSTERGÖTLANDS LÄN</t>
        </is>
      </c>
      <c r="G764" t="inlineStr">
        <is>
          <t>FINSPÅNG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31675-2026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46226</v>
      </c>
      <c r="E765" s="1" t="n">
        <v>46277</v>
      </c>
      <c r="F765" t="inlineStr">
        <is>
          <t>ÖSTERGÖTLANDS LÄN</t>
        </is>
      </c>
      <c r="G765" t="inlineStr">
        <is>
          <t>FINSPÅNG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45593</v>
      </c>
      <c r="E766" s="1" t="n">
        <v>46277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44942</v>
      </c>
      <c r="E767" s="1" t="n">
        <v>46277</v>
      </c>
      <c r="F767" t="inlineStr">
        <is>
          <t>ÖSTERGÖTLANDS LÄN</t>
        </is>
      </c>
      <c r="G767" t="inlineStr">
        <is>
          <t>FINSPÅNG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36479-2026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46277</v>
      </c>
      <c r="F768" t="inlineStr">
        <is>
          <t>ÖSTERGÖTLANDS LÄN</t>
        </is>
      </c>
      <c r="G768" t="inlineStr">
        <is>
          <t>FINSPÅNG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44617</v>
      </c>
      <c r="E769" s="1" t="n">
        <v>46277</v>
      </c>
      <c r="F769" t="inlineStr">
        <is>
          <t>ÖSTERGÖTLANDS LÄN</t>
        </is>
      </c>
      <c r="G769" t="inlineStr">
        <is>
          <t>FINSPÅNG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36505-2026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46277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46226</v>
      </c>
      <c r="E771" s="1" t="n">
        <v>46277</v>
      </c>
      <c r="F771" t="inlineStr">
        <is>
          <t>ÖSTERGÖTLANDS LÄN</t>
        </is>
      </c>
      <c r="G771" t="inlineStr">
        <is>
          <t>FINSPÅNG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31668-2026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46225</v>
      </c>
      <c r="E772" s="1" t="n">
        <v>46277</v>
      </c>
      <c r="F772" t="inlineStr">
        <is>
          <t>ÖSTERGÖTLANDS LÄN</t>
        </is>
      </c>
      <c r="G772" t="inlineStr">
        <is>
          <t>FINSPÅNG</t>
        </is>
      </c>
      <c r="I772" t="n">
        <v>10.5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31669-2026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46225</v>
      </c>
      <c r="E773" s="1" t="n">
        <v>46277</v>
      </c>
      <c r="F773" t="inlineStr">
        <is>
          <t>ÖSTERGÖTLANDS LÄN</t>
        </is>
      </c>
      <c r="G773" t="inlineStr">
        <is>
          <t>FINSPÅNG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36486-2026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46269</v>
      </c>
      <c r="E774" s="1" t="n">
        <v>46277</v>
      </c>
      <c r="F774" t="inlineStr">
        <is>
          <t>ÖSTERGÖTLANDS LÄN</t>
        </is>
      </c>
      <c r="G774" t="inlineStr">
        <is>
          <t>FINSPÅNG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36498-2026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46269</v>
      </c>
      <c r="E775" s="1" t="n">
        <v>46277</v>
      </c>
      <c r="F775" t="inlineStr">
        <is>
          <t>ÖSTERGÖTLANDS LÄN</t>
        </is>
      </c>
      <c r="G775" t="inlineStr">
        <is>
          <t>FINSPÅNG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36503-2026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46269</v>
      </c>
      <c r="E776" s="1" t="n">
        <v>46277</v>
      </c>
      <c r="F776" t="inlineStr">
        <is>
          <t>ÖSTERGÖTLANDS LÄN</t>
        </is>
      </c>
      <c r="G776" t="inlineStr">
        <is>
          <t>FINSPÅNG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1913-2023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44939</v>
      </c>
      <c r="E777" s="1" t="n">
        <v>46277</v>
      </c>
      <c r="F777" t="inlineStr">
        <is>
          <t>ÖSTERGÖTLANDS LÄN</t>
        </is>
      </c>
      <c r="G777" t="inlineStr">
        <is>
          <t>FINSPÅNG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47317-2023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45202</v>
      </c>
      <c r="E778" s="1" t="n">
        <v>46277</v>
      </c>
      <c r="F778" t="inlineStr">
        <is>
          <t>ÖSTERGÖTLANDS LÄN</t>
        </is>
      </c>
      <c r="G778" t="inlineStr">
        <is>
          <t>FINSPÅNG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44946</v>
      </c>
      <c r="E779" s="1" t="n">
        <v>46277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3107-2023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44946</v>
      </c>
      <c r="E780" s="1" t="n">
        <v>46277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24503-2023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45082</v>
      </c>
      <c r="E781" s="1" t="n">
        <v>46277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45299</v>
      </c>
      <c r="E782" s="1" t="n">
        <v>46277</v>
      </c>
      <c r="F782" t="inlineStr">
        <is>
          <t>ÖSTERGÖTLANDS LÄN</t>
        </is>
      </c>
      <c r="G782" t="inlineStr">
        <is>
          <t>FINSPÅNG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10258-2025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45720</v>
      </c>
      <c r="E783" s="1" t="n">
        <v>46277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58313-2023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45250</v>
      </c>
      <c r="E784" s="1" t="n">
        <v>46277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48443-2023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45206</v>
      </c>
      <c r="E785" s="1" t="n">
        <v>46277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44964</v>
      </c>
      <c r="E786" s="1" t="n">
        <v>46277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52007-2024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45607</v>
      </c>
      <c r="E787" s="1" t="n">
        <v>46277</v>
      </c>
      <c r="F787" t="inlineStr">
        <is>
          <t>ÖSTERGÖTLANDS LÄN</t>
        </is>
      </c>
      <c r="G787" t="inlineStr">
        <is>
          <t>FINSPÅNG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46277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58991-2021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44490</v>
      </c>
      <c r="E789" s="1" t="n">
        <v>46277</v>
      </c>
      <c r="F789" t="inlineStr">
        <is>
          <t>ÖSTERGÖTLANDS LÄN</t>
        </is>
      </c>
      <c r="G789" t="inlineStr">
        <is>
          <t>FINSPÅNG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46232</v>
      </c>
      <c r="E790" s="1" t="n">
        <v>46277</v>
      </c>
      <c r="F790" t="inlineStr">
        <is>
          <t>ÖSTERGÖTLANDS LÄN</t>
        </is>
      </c>
      <c r="G790" t="inlineStr">
        <is>
          <t>FINSPÅNG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19609-2025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46277</v>
      </c>
      <c r="F791" t="inlineStr">
        <is>
          <t>ÖSTERGÖTLANDS LÄN</t>
        </is>
      </c>
      <c r="G791" t="inlineStr">
        <is>
          <t>FINSPÅNG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15900-2025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45749</v>
      </c>
      <c r="E792" s="1" t="n">
        <v>46277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59702-2024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45639</v>
      </c>
      <c r="E793" s="1" t="n">
        <v>46277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8438-2025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45709</v>
      </c>
      <c r="E794" s="1" t="n">
        <v>46277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42705-2024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46277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42711-2024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45566</v>
      </c>
      <c r="E796" s="1" t="n">
        <v>46277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14031-2025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45740</v>
      </c>
      <c r="E797" s="1" t="n">
        <v>46277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46233</v>
      </c>
      <c r="E798" s="1" t="n">
        <v>46277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45103</v>
      </c>
      <c r="E799" s="1" t="n">
        <v>46277</v>
      </c>
      <c r="F799" t="inlineStr">
        <is>
          <t>ÖSTERGÖTLANDS LÄN</t>
        </is>
      </c>
      <c r="G799" t="inlineStr">
        <is>
          <t>FINSPÅNG</t>
        </is>
      </c>
      <c r="I799" t="n">
        <v>11.1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54299-2023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45232</v>
      </c>
      <c r="E800" s="1" t="n">
        <v>46277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52557-2024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45609</v>
      </c>
      <c r="E801" s="1" t="n">
        <v>46277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42678-2024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46277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46277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42682-2024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45566</v>
      </c>
      <c r="E804" s="1" t="n">
        <v>46277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13392-2025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46277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45736</v>
      </c>
      <c r="E806" s="1" t="n">
        <v>46277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35343-2024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45530</v>
      </c>
      <c r="E807" s="1" t="n">
        <v>46277</v>
      </c>
      <c r="F807" t="inlineStr">
        <is>
          <t>ÖSTERGÖTLANDS LÄN</t>
        </is>
      </c>
      <c r="G807" t="inlineStr">
        <is>
          <t>FINSPÅNG</t>
        </is>
      </c>
      <c r="I807" t="n">
        <v>7.2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45642</v>
      </c>
      <c r="E808" s="1" t="n">
        <v>46277</v>
      </c>
      <c r="F808" t="inlineStr">
        <is>
          <t>ÖSTERGÖTLANDS LÄN</t>
        </is>
      </c>
      <c r="G808" t="inlineStr">
        <is>
          <t>FINSPÅNG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62155-2023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45267</v>
      </c>
      <c r="E809" s="1" t="n">
        <v>46277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46277</v>
      </c>
      <c r="F810" t="inlineStr">
        <is>
          <t>ÖSTERGÖTLANDS LÄN</t>
        </is>
      </c>
      <c r="G810" t="inlineStr">
        <is>
          <t>FINSPÅNG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11523-2025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45727</v>
      </c>
      <c r="E811" s="1" t="n">
        <v>46277</v>
      </c>
      <c r="F811" t="inlineStr">
        <is>
          <t>ÖSTERGÖTLANDS LÄN</t>
        </is>
      </c>
      <c r="G811" t="inlineStr">
        <is>
          <t>FINSPÅNG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11149-2024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45371</v>
      </c>
      <c r="E812" s="1" t="n">
        <v>46277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Kyrkan</t>
        </is>
      </c>
      <c r="I812" t="n">
        <v>6.5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24009-2025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46277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Naturvårdsverket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24021-2025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46277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Naturvårdsverket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3169-2024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45316</v>
      </c>
      <c r="E815" s="1" t="n">
        <v>46277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Övriga Aktiebolag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24310-2025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45797</v>
      </c>
      <c r="E816" s="1" t="n">
        <v>46277</v>
      </c>
      <c r="F816" t="inlineStr">
        <is>
          <t>ÖSTERGÖTLANDS LÄN</t>
        </is>
      </c>
      <c r="G816" t="inlineStr">
        <is>
          <t>FINSPÅNG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24328-2025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45797</v>
      </c>
      <c r="E817" s="1" t="n">
        <v>46277</v>
      </c>
      <c r="F817" t="inlineStr">
        <is>
          <t>ÖSTERGÖTLANDS LÄN</t>
        </is>
      </c>
      <c r="G817" t="inlineStr">
        <is>
          <t>FINSPÅNG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45797</v>
      </c>
      <c r="E818" s="1" t="n">
        <v>46277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7131-2025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45702</v>
      </c>
      <c r="E819" s="1" t="n">
        <v>46277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Övriga Aktiebolag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25306-2025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45800</v>
      </c>
      <c r="E820" s="1" t="n">
        <v>46277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6.5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25272-2025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45800</v>
      </c>
      <c r="E821" s="1" t="n">
        <v>46277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Naturvårdsverket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25342-2025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45800</v>
      </c>
      <c r="E822" s="1" t="n">
        <v>46277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8.199999999999999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45800</v>
      </c>
      <c r="E823" s="1" t="n">
        <v>46277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27258-2025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45812</v>
      </c>
      <c r="E824" s="1" t="n">
        <v>46277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27192-2025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45812</v>
      </c>
      <c r="E825" s="1" t="n">
        <v>46277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45812</v>
      </c>
      <c r="E826" s="1" t="n">
        <v>46277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59701-2024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45639</v>
      </c>
      <c r="E827" s="1" t="n">
        <v>46277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27890-2025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46277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7.1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27879-2025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45817</v>
      </c>
      <c r="E829" s="1" t="n">
        <v>46277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7.5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46277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46277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46277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46277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46277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46277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2026-09-12T02:11:27Z</dcterms:created>
  <dcterms:modified xmlns:dcterms="http://purl.org/dc/terms/" xmlns:xsi="http://www.w3.org/2001/XMLSchema-instance" xsi:type="dcterms:W3CDTF">2026-09-12T02:11:28Z</dcterms:modified>
</cp:coreProperties>
</file>