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46304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46304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46304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46304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46304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46304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46304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8</v>
      </c>
      <c r="U23" t="n">
        <v>6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28464-2025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46304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1.8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7</v>
      </c>
      <c r="U24" t="n">
        <v>7</v>
      </c>
      <c r="V24" s="2" t="inlineStr">
        <is>
          <t>Dropptaggsvamp
Tallticka
Spillkråka</t>
        </is>
      </c>
      <c r="W24">
        <f>HYPERLINK("https://klasma.github.io/Logging_0562/artfynd/A 28464-2025 artfynd.xlsx", "A 28464-2025")</f>
        <v/>
      </c>
      <c r="X24">
        <f>HYPERLINK("https://klasma.github.io/Logging_0562/kartor/A 28464-2025 karta.png", "A 28464-2025")</f>
        <v/>
      </c>
      <c r="Y24">
        <f>HYPERLINK("https://klasma.github.io/Logging_0562/kartor_geotiff/A 28464-2025 georefererad karta.tif", "A 28464-2025")</f>
        <v/>
      </c>
      <c r="AA24">
        <f>HYPERLINK("https://klasma.github.io/Logging_0562/klagomål/A 28464-2025 FSC-klagomål.docx", "A 28464-2025")</f>
        <v/>
      </c>
      <c r="AB24">
        <f>HYPERLINK("https://klasma.github.io/Logging_0562/klagomålsmail/A 28464-2025 FSC-klagomål mail.docx", "A 28464-2025")</f>
        <v/>
      </c>
      <c r="AC24">
        <f>HYPERLINK("https://klasma.github.io/Logging_0562/tillsyn/A 28464-2025 tillsynsbegäran.docx", "A 28464-2025")</f>
        <v/>
      </c>
      <c r="AD24">
        <f>HYPERLINK("https://klasma.github.io/Logging_0562/tillsynsmail/A 28464-2025 tillsynsbegäran mail.docx", "A 28464-2025")</f>
        <v/>
      </c>
      <c r="AE24">
        <f>HYPERLINK("https://klasma.github.io/Logging_0562/fåglar/A 28464-2025 prioriterade fågelarter.docx", "A 28464-2025")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46304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31393-2022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44774</v>
      </c>
      <c r="E26" s="1" t="n">
        <v>46304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0.4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Gullpudra
Tibast
Vätteros</t>
        </is>
      </c>
      <c r="W26">
        <f>HYPERLINK("https://klasma.github.io/Logging_0562/artfynd/A 31393-2022 artfynd.xlsx", "A 31393-2022")</f>
        <v/>
      </c>
      <c r="X26">
        <f>HYPERLINK("https://klasma.github.io/Logging_0562/kartor/A 31393-2022 karta.png", "A 31393-2022")</f>
        <v/>
      </c>
      <c r="Y26">
        <f>HYPERLINK("https://klasma.github.io/Logging_0562/kartor_geotiff/A 31393-2022 georefererad karta.tif", "A 31393-2022")</f>
        <v/>
      </c>
      <c r="AA26">
        <f>HYPERLINK("https://klasma.github.io/Logging_0562/klagomål/A 31393-2022 FSC-klagomål.docx", "A 31393-2022")</f>
        <v/>
      </c>
      <c r="AB26">
        <f>HYPERLINK("https://klasma.github.io/Logging_0562/klagomålsmail/A 31393-2022 FSC-klagomål mail.docx", "A 31393-2022")</f>
        <v/>
      </c>
      <c r="AC26">
        <f>HYPERLINK("https://klasma.github.io/Logging_0562/tillsyn/A 31393-2022 tillsynsbegäran.docx", "A 31393-2022")</f>
        <v/>
      </c>
      <c r="AD26">
        <f>HYPERLINK("https://klasma.github.io/Logging_0562/tillsynsmail/A 31393-2022 tillsynsbegäran mail.docx", "A 31393-2022")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46304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46304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25284-2025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46304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Naturvårdsverket</t>
        </is>
      </c>
      <c r="I29" t="n">
        <v>5.9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Fjällig taggsvamp s.str.
Skogsklocka
Revlummer</t>
        </is>
      </c>
      <c r="W29">
        <f>HYPERLINK("https://klasma.github.io/Logging_0562/artfynd/A 25284-2025 artfynd.xlsx", "A 25284-2025")</f>
        <v/>
      </c>
      <c r="X29">
        <f>HYPERLINK("https://klasma.github.io/Logging_0562/kartor/A 25284-2025 karta.png", "A 25284-2025")</f>
        <v/>
      </c>
      <c r="Y29">
        <f>HYPERLINK("https://klasma.github.io/Logging_0562/kartor_geotiff/A 25284-2025 georefererad karta.tif", "A 25284-2025")</f>
        <v/>
      </c>
      <c r="AA29">
        <f>HYPERLINK("https://klasma.github.io/Logging_0562/klagomål/A 25284-2025 FSC-klagomål.docx", "A 25284-2025")</f>
        <v/>
      </c>
      <c r="AB29">
        <f>HYPERLINK("https://klasma.github.io/Logging_0562/klagomålsmail/A 25284-2025 FSC-klagomål mail.docx", "A 25284-2025")</f>
        <v/>
      </c>
      <c r="AC29">
        <f>HYPERLINK("https://klasma.github.io/Logging_0562/tillsyn/A 25284-2025 tillsynsbegäran.docx", "A 25284-2025")</f>
        <v/>
      </c>
      <c r="AD29">
        <f>HYPERLINK("https://klasma.github.io/Logging_0562/tillsynsmail/A 25284-2025 tillsynsbegäran mail.docx", "A 25284-2025")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46304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46304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Tallticka
Blompraktbagge</t>
        </is>
      </c>
      <c r="W31">
        <f>HYPERLINK("https://klasma.github.io/Logging_0562/artfynd/A 21566-2024 artfynd.xlsx", "A 21566-2024")</f>
        <v/>
      </c>
      <c r="X31">
        <f>HYPERLINK("https://klasma.github.io/Logging_0562/kartor/A 21566-2024 karta.png", "A 21566-2024")</f>
        <v/>
      </c>
      <c r="Y31">
        <f>HYPERLINK("https://klasma.github.io/Logging_0562/kartor_geotiff/A 21566-2024 georefererad karta.tif", "A 21566-2024")</f>
        <v/>
      </c>
      <c r="AA31">
        <f>HYPERLINK("https://klasma.github.io/Logging_0562/klagomål/A 21566-2024 FSC-klagomål.docx", "A 21566-2024")</f>
        <v/>
      </c>
      <c r="AB31">
        <f>HYPERLINK("https://klasma.github.io/Logging_0562/klagomålsmail/A 21566-2024 FSC-klagomål mail.docx", "A 21566-2024")</f>
        <v/>
      </c>
      <c r="AC31">
        <f>HYPERLINK("https://klasma.github.io/Logging_0562/tillsyn/A 21566-2024 tillsynsbegäran.docx", "A 21566-2024")</f>
        <v/>
      </c>
      <c r="AD31">
        <f>HYPERLINK("https://klasma.github.io/Logging_0562/tillsynsmail/A 21566-2024 tillsynsbegäran mail.docx", "A 21566-2024")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46304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28395-2024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45477</v>
      </c>
      <c r="E33" s="1" t="n">
        <v>46304</v>
      </c>
      <c r="F33" t="inlineStr">
        <is>
          <t>ÖSTERGÖTLANDS LÄN</t>
        </is>
      </c>
      <c r="G33" t="inlineStr">
        <is>
          <t>FINSPÅNG</t>
        </is>
      </c>
      <c r="H33" t="inlineStr">
        <is>
          <t>Naturvårdsverket</t>
        </is>
      </c>
      <c r="I33" t="n">
        <v>0.6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Fläcknycklar</t>
        </is>
      </c>
      <c r="W33">
        <f>HYPERLINK("https://klasma.github.io/Logging_0562/artfynd/A 28395-2024 artfynd.xlsx", "A 28395-2024")</f>
        <v/>
      </c>
      <c r="X33">
        <f>HYPERLINK("https://klasma.github.io/Logging_0562/kartor/A 28395-2024 karta.png", "A 28395-2024")</f>
        <v/>
      </c>
      <c r="Y33">
        <f>HYPERLINK("https://klasma.github.io/Logging_0562/kartor_geotiff/A 28395-2024 georefererad karta.tif", "A 28395-2024")</f>
        <v/>
      </c>
      <c r="AA33">
        <f>HYPERLINK("https://klasma.github.io/Logging_0562/klagomål/A 28395-2024 FSC-klagomål.docx", "A 28395-2024")</f>
        <v/>
      </c>
      <c r="AB33">
        <f>HYPERLINK("https://klasma.github.io/Logging_0562/klagomålsmail/A 28395-2024 FSC-klagomål mail.docx", "A 28395-2024")</f>
        <v/>
      </c>
      <c r="AC33">
        <f>HYPERLINK("https://klasma.github.io/Logging_0562/tillsyn/A 28395-2024 tillsynsbegäran.docx", "A 28395-2024")</f>
        <v/>
      </c>
      <c r="AD33">
        <f>HYPERLINK("https://klasma.github.io/Logging_0562/tillsynsmail/A 28395-2024 tillsynsbegäran mail.docx", "A 28395-2024")</f>
        <v/>
      </c>
      <c r="AE33">
        <f>HYPERLINK("https://klasma.github.io/Logging_0562/fåglar/A 28395-2024 prioriterade fågelarter.docx", "A 28395-2024")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46304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46304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46304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46304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46304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18462-2024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45425</v>
      </c>
      <c r="E39" s="1" t="n">
        <v>46304</v>
      </c>
      <c r="F39" t="inlineStr">
        <is>
          <t>ÖSTERGÖTLANDS LÄN</t>
        </is>
      </c>
      <c r="G39" t="inlineStr">
        <is>
          <t>FINSPÅNG</t>
        </is>
      </c>
      <c r="I39" t="n">
        <v>6.1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Mosippa
Gullklöver</t>
        </is>
      </c>
      <c r="W39">
        <f>HYPERLINK("https://klasma.github.io/Logging_0562/artfynd/A 18462-2024 artfynd.xlsx", "A 18462-2024")</f>
        <v/>
      </c>
      <c r="X39">
        <f>HYPERLINK("https://klasma.github.io/Logging_0562/kartor/A 18462-2024 karta.png", "A 18462-2024")</f>
        <v/>
      </c>
      <c r="Y39">
        <f>HYPERLINK("https://klasma.github.io/Logging_0562/kartor_geotiff/A 18462-2024 georefererad karta.tif", "A 18462-2024")</f>
        <v/>
      </c>
      <c r="AA39">
        <f>HYPERLINK("https://klasma.github.io/Logging_0562/klagomål/A 18462-2024 FSC-klagomål.docx", "A 18462-2024")</f>
        <v/>
      </c>
      <c r="AB39">
        <f>HYPERLINK("https://klasma.github.io/Logging_0562/klagomålsmail/A 18462-2024 FSC-klagomål mail.docx", "A 18462-2024")</f>
        <v/>
      </c>
      <c r="AC39">
        <f>HYPERLINK("https://klasma.github.io/Logging_0562/tillsyn/A 18462-2024 tillsynsbegäran.docx", "A 18462-2024")</f>
        <v/>
      </c>
      <c r="AD39">
        <f>HYPERLINK("https://klasma.github.io/Logging_0562/tillsynsmail/A 18462-2024 tillsynsbegäran mail.docx", "A 18462-2024")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46304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46304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46304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Blåmossa
Bronshjon</t>
        </is>
      </c>
      <c r="W43">
        <f>HYPERLINK("https://klasma.github.io/Logging_0562/artfynd/A 54654-2023 artfynd.xlsx", "A 54654-2023")</f>
        <v/>
      </c>
      <c r="X43">
        <f>HYPERLINK("https://klasma.github.io/Logging_0562/kartor/A 54654-2023 karta.png", "A 54654-2023")</f>
        <v/>
      </c>
      <c r="Y43">
        <f>HYPERLINK("https://klasma.github.io/Logging_0562/kartor_geotiff/A 54654-2023 georefererad karta.tif", "A 54654-2023")</f>
        <v/>
      </c>
      <c r="AA43">
        <f>HYPERLINK("https://klasma.github.io/Logging_0562/klagomål/A 54654-2023 FSC-klagomål.docx", "A 54654-2023")</f>
        <v/>
      </c>
      <c r="AB43">
        <f>HYPERLINK("https://klasma.github.io/Logging_0562/klagomålsmail/A 54654-2023 FSC-klagomål mail.docx", "A 54654-2023")</f>
        <v/>
      </c>
      <c r="AC43">
        <f>HYPERLINK("https://klasma.github.io/Logging_0562/tillsyn/A 54654-2023 tillsynsbegäran.docx", "A 54654-2023")</f>
        <v/>
      </c>
      <c r="AD43">
        <f>HYPERLINK("https://klasma.github.io/Logging_0562/tillsynsmail/A 54654-2023 tillsynsbegäran mail.docx", "A 54654-2023")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46304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46304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S 7749-2021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44480</v>
      </c>
      <c r="E46" s="1" t="n">
        <v>46304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Lopplummer (aggregat)
Revlummer</t>
        </is>
      </c>
      <c r="W46">
        <f>HYPERLINK("https://klasma.github.io/Logging_0562/artfynd/S 7749-2021 artfynd.xlsx", "S 7749-2021")</f>
        <v/>
      </c>
      <c r="X46">
        <f>HYPERLINK("https://klasma.github.io/Logging_0562/kartor/S 7749-2021 karta.png", "S 7749-2021")</f>
        <v/>
      </c>
      <c r="Y46">
        <f>HYPERLINK("https://klasma.github.io/Logging_0562/kartor_geotiff/S 7749-2021 georefererad karta.tif", "S 7749-2021")</f>
        <v/>
      </c>
      <c r="AA46">
        <f>HYPERLINK("https://klasma.github.io/Logging_0562/klagomål/S 7749-2021 FSC-klagomål.docx", "S 7749-2021")</f>
        <v/>
      </c>
      <c r="AB46">
        <f>HYPERLINK("https://klasma.github.io/Logging_0562/klagomålsmail/S 7749-2021 FSC-klagomål mail.docx", "S 7749-2021")</f>
        <v/>
      </c>
      <c r="AC46">
        <f>HYPERLINK("https://klasma.github.io/Logging_0562/tillsyn/S 7749-2021 tillsynsbegäran.docx", "S 7749-2021")</f>
        <v/>
      </c>
      <c r="AD46">
        <f>HYPERLINK("https://klasma.github.io/Logging_0562/tillsynsmail/S 7749-2021 tillsynsbegäran mail.docx", "S 7749-2021")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46304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46304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46304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46304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42947-2024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46304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HYPERLINK("https://klasma.github.io/Logging_0562/artfynd/A 42947-2024 artfynd.xlsx", "A 42947-2024")</f>
        <v/>
      </c>
      <c r="X51">
        <f>HYPERLINK("https://klasma.github.io/Logging_0562/kartor/A 42947-2024 karta.png", "A 42947-2024")</f>
        <v/>
      </c>
      <c r="Y51">
        <f>HYPERLINK("https://klasma.github.io/Logging_0562/kartor_geotiff/A 42947-2024 georefererad karta.tif", "A 42947-2024")</f>
        <v/>
      </c>
      <c r="Z51">
        <f>HYPERLINK("https://klasma.github.io/Logging_0562/knärot/A 42947-2024 karta knärot.png", "A 42947-2024")</f>
        <v/>
      </c>
      <c r="AA51">
        <f>HYPERLINK("https://klasma.github.io/Logging_0562/klagomål/A 42947-2024 FSC-klagomål.docx", "A 42947-2024")</f>
        <v/>
      </c>
      <c r="AB51">
        <f>HYPERLINK("https://klasma.github.io/Logging_0562/klagomålsmail/A 42947-2024 FSC-klagomål mail.docx", "A 42947-2024")</f>
        <v/>
      </c>
      <c r="AC51">
        <f>HYPERLINK("https://klasma.github.io/Logging_0562/tillsyn/A 42947-2024 tillsynsbegäran.docx", "A 42947-2024")</f>
        <v/>
      </c>
      <c r="AD51">
        <f>HYPERLINK("https://klasma.github.io/Logging_0562/tillsynsmail/A 42947-2024 tillsynsbegäran mail.docx", "A 42947-2024")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46304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36128-2023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46304</v>
      </c>
      <c r="F53" t="inlineStr">
        <is>
          <t>ÖSTERGÖTLANDS LÄN</t>
        </is>
      </c>
      <c r="G53" t="inlineStr">
        <is>
          <t>FINSPÅNG</t>
        </is>
      </c>
      <c r="I53" t="n">
        <v>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HYPERLINK("https://klasma.github.io/Logging_0562/artfynd/A 36128-2023 artfynd.xlsx", "A 36128-2023")</f>
        <v/>
      </c>
      <c r="X53">
        <f>HYPERLINK("https://klasma.github.io/Logging_0562/kartor/A 36128-2023 karta.png", "A 36128-2023")</f>
        <v/>
      </c>
      <c r="Y53">
        <f>HYPERLINK("https://klasma.github.io/Logging_0562/kartor_geotiff/A 36128-2023 georefererad karta.tif", "A 36128-2023")</f>
        <v/>
      </c>
      <c r="AA53">
        <f>HYPERLINK("https://klasma.github.io/Logging_0562/klagomål/A 36128-2023 FSC-klagomål.docx", "A 36128-2023")</f>
        <v/>
      </c>
      <c r="AB53">
        <f>HYPERLINK("https://klasma.github.io/Logging_0562/klagomålsmail/A 36128-2023 FSC-klagomål mail.docx", "A 36128-2023")</f>
        <v/>
      </c>
      <c r="AC53">
        <f>HYPERLINK("https://klasma.github.io/Logging_0562/tillsyn/A 36128-2023 tillsynsbegäran.docx", "A 36128-2023")</f>
        <v/>
      </c>
      <c r="AD53">
        <f>HYPERLINK("https://klasma.github.io/Logging_0562/tillsynsmail/A 36128-2023 tillsynsbegäran mail.docx", "A 36128-2023")</f>
        <v/>
      </c>
      <c r="AE53">
        <f>HYPERLINK("https://klasma.github.io/Logging_0562/fåglar/A 36128-2023 prioriterade fågelarter.docx", "A 36128-2023")</f>
        <v/>
      </c>
    </row>
    <row r="54" ht="15" customHeight="1">
      <c r="A54" t="inlineStr">
        <is>
          <t>A 53265-2023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46304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HYPERLINK("https://klasma.github.io/Logging_0562/artfynd/A 53265-2023 artfynd.xlsx", "A 53265-2023")</f>
        <v/>
      </c>
      <c r="X54">
        <f>HYPERLINK("https://klasma.github.io/Logging_0562/kartor/A 53265-2023 karta.png", "A 53265-2023")</f>
        <v/>
      </c>
      <c r="Y54">
        <f>HYPERLINK("https://klasma.github.io/Logging_0562/kartor_geotiff/A 53265-2023 georefererad karta.tif", "A 53265-2023")</f>
        <v/>
      </c>
      <c r="AA54">
        <f>HYPERLINK("https://klasma.github.io/Logging_0562/klagomål/A 53265-2023 FSC-klagomål.docx", "A 53265-2023")</f>
        <v/>
      </c>
      <c r="AB54">
        <f>HYPERLINK("https://klasma.github.io/Logging_0562/klagomålsmail/A 53265-2023 FSC-klagomål mail.docx", "A 53265-2023")</f>
        <v/>
      </c>
      <c r="AC54">
        <f>HYPERLINK("https://klasma.github.io/Logging_0562/tillsyn/A 53265-2023 tillsynsbegäran.docx", "A 53265-2023")</f>
        <v/>
      </c>
      <c r="AD54">
        <f>HYPERLINK("https://klasma.github.io/Logging_0562/tillsynsmail/A 53265-2023 tillsynsbegäran mail.docx", "A 53265-2023")</f>
        <v/>
      </c>
    </row>
    <row r="55" ht="15" customHeight="1">
      <c r="A55" t="inlineStr">
        <is>
          <t>A 61695-2021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44501</v>
      </c>
      <c r="E55" s="1" t="n">
        <v>46304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Sveaskog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HYPERLINK("https://klasma.github.io/Logging_0562/artfynd/A 61695-2021 artfynd.xlsx", "A 61695-2021")</f>
        <v/>
      </c>
      <c r="X55">
        <f>HYPERLINK("https://klasma.github.io/Logging_0562/kartor/A 61695-2021 karta.png", "A 61695-2021")</f>
        <v/>
      </c>
      <c r="Y55">
        <f>HYPERLINK("https://klasma.github.io/Logging_0562/kartor_geotiff/A 61695-2021 georefererad karta.tif", "A 61695-2021")</f>
        <v/>
      </c>
      <c r="AA55">
        <f>HYPERLINK("https://klasma.github.io/Logging_0562/klagomål/A 61695-2021 FSC-klagomål.docx", "A 61695-2021")</f>
        <v/>
      </c>
      <c r="AB55">
        <f>HYPERLINK("https://klasma.github.io/Logging_0562/klagomålsmail/A 61695-2021 FSC-klagomål mail.docx", "A 61695-2021")</f>
        <v/>
      </c>
      <c r="AC55">
        <f>HYPERLINK("https://klasma.github.io/Logging_0562/tillsyn/A 61695-2021 tillsynsbegäran.docx", "A 61695-2021")</f>
        <v/>
      </c>
      <c r="AD55">
        <f>HYPERLINK("https://klasma.github.io/Logging_0562/tillsynsmail/A 61695-2021 tillsynsbegäran mail.docx", "A 61695-2021")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46304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15123-2025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45744</v>
      </c>
      <c r="E57" s="1" t="n">
        <v>46304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Orre</t>
        </is>
      </c>
      <c r="W57">
        <f>HYPERLINK("https://klasma.github.io/Logging_0562/artfynd/A 15123-2025 artfynd.xlsx", "A 15123-2025")</f>
        <v/>
      </c>
      <c r="X57">
        <f>HYPERLINK("https://klasma.github.io/Logging_0562/kartor/A 15123-2025 karta.png", "A 15123-2025")</f>
        <v/>
      </c>
      <c r="Y57">
        <f>HYPERLINK("https://klasma.github.io/Logging_0562/kartor_geotiff/A 15123-2025 georefererad karta.tif", "A 15123-2025")</f>
        <v/>
      </c>
      <c r="AA57">
        <f>HYPERLINK("https://klasma.github.io/Logging_0562/klagomål/A 15123-2025 FSC-klagomål.docx", "A 15123-2025")</f>
        <v/>
      </c>
      <c r="AB57">
        <f>HYPERLINK("https://klasma.github.io/Logging_0562/klagomålsmail/A 15123-2025 FSC-klagomål mail.docx", "A 15123-2025")</f>
        <v/>
      </c>
      <c r="AC57">
        <f>HYPERLINK("https://klasma.github.io/Logging_0562/tillsyn/A 15123-2025 tillsynsbegäran.docx", "A 15123-2025")</f>
        <v/>
      </c>
      <c r="AD57">
        <f>HYPERLINK("https://klasma.github.io/Logging_0562/tillsynsmail/A 15123-2025 tillsynsbegäran mail.docx", "A 15123-2025")</f>
        <v/>
      </c>
      <c r="AE57">
        <f>HYPERLINK("https://klasma.github.io/Logging_0562/fåglar/A 15123-2025 prioriterade fågelarter.docx", "A 15123-2025")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46304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46304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59061-2024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45636</v>
      </c>
      <c r="E60" s="1" t="n">
        <v>46304</v>
      </c>
      <c r="F60" t="inlineStr">
        <is>
          <t>ÖSTERGÖTLANDS LÄN</t>
        </is>
      </c>
      <c r="G60" t="inlineStr">
        <is>
          <t>FINSPÅNG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Ängsnycklar</t>
        </is>
      </c>
      <c r="W60">
        <f>HYPERLINK("https://klasma.github.io/Logging_0562/artfynd/A 59061-2024 artfynd.xlsx", "A 59061-2024")</f>
        <v/>
      </c>
      <c r="X60">
        <f>HYPERLINK("https://klasma.github.io/Logging_0562/kartor/A 59061-2024 karta.png", "A 59061-2024")</f>
        <v/>
      </c>
      <c r="Y60">
        <f>HYPERLINK("https://klasma.github.io/Logging_0562/kartor_geotiff/A 59061-2024 georefererad karta.tif", "A 59061-2024")</f>
        <v/>
      </c>
      <c r="AA60">
        <f>HYPERLINK("https://klasma.github.io/Logging_0562/klagomål/A 59061-2024 FSC-klagomål.docx", "A 59061-2024")</f>
        <v/>
      </c>
      <c r="AB60">
        <f>HYPERLINK("https://klasma.github.io/Logging_0562/klagomålsmail/A 59061-2024 FSC-klagomål mail.docx", "A 59061-2024")</f>
        <v/>
      </c>
      <c r="AC60">
        <f>HYPERLINK("https://klasma.github.io/Logging_0562/tillsyn/A 59061-2024 tillsynsbegäran.docx", "A 59061-2024")</f>
        <v/>
      </c>
      <c r="AD60">
        <f>HYPERLINK("https://klasma.github.io/Logging_0562/tillsynsmail/A 59061-2024 tillsynsbegäran mail.docx", "A 59061-2024")</f>
        <v/>
      </c>
    </row>
    <row r="61" ht="15" customHeight="1">
      <c r="A61" t="inlineStr">
        <is>
          <t>A 4644-2024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45328</v>
      </c>
      <c r="E61" s="1" t="n">
        <v>46304</v>
      </c>
      <c r="F61" t="inlineStr">
        <is>
          <t>ÖSTERGÖTLANDS LÄN</t>
        </is>
      </c>
      <c r="G61" t="inlineStr">
        <is>
          <t>FINSPÅNG</t>
        </is>
      </c>
      <c r="I61" t="n">
        <v>5.3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HYPERLINK("https://klasma.github.io/Logging_0562/artfynd/A 4644-2024 artfynd.xlsx", "A 4644-2024")</f>
        <v/>
      </c>
      <c r="X61">
        <f>HYPERLINK("https://klasma.github.io/Logging_0562/kartor/A 4644-2024 karta.png", "A 4644-2024")</f>
        <v/>
      </c>
      <c r="Y61">
        <f>HYPERLINK("https://klasma.github.io/Logging_0562/kartor_geotiff/A 4644-2024 georefererad karta.tif", "A 4644-2024")</f>
        <v/>
      </c>
      <c r="AA61">
        <f>HYPERLINK("https://klasma.github.io/Logging_0562/klagomål/A 4644-2024 FSC-klagomål.docx", "A 4644-2024")</f>
        <v/>
      </c>
      <c r="AB61">
        <f>HYPERLINK("https://klasma.github.io/Logging_0562/klagomålsmail/A 4644-2024 FSC-klagomål mail.docx", "A 4644-2024")</f>
        <v/>
      </c>
      <c r="AC61">
        <f>HYPERLINK("https://klasma.github.io/Logging_0562/tillsyn/A 4644-2024 tillsynsbegäran.docx", "A 4644-2024")</f>
        <v/>
      </c>
      <c r="AD61">
        <f>HYPERLINK("https://klasma.github.io/Logging_0562/tillsynsmail/A 4644-2024 tillsynsbegäran mail.docx", "A 4644-2024")</f>
        <v/>
      </c>
      <c r="AE61">
        <f>HYPERLINK("https://klasma.github.io/Logging_0562/fåglar/A 4644-2024 prioriterade fågelarter.docx", "A 4644-2024")</f>
        <v/>
      </c>
    </row>
    <row r="62" ht="15" customHeight="1">
      <c r="A62" t="inlineStr">
        <is>
          <t>A 37748-2025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45880</v>
      </c>
      <c r="E62" s="1" t="n">
        <v>46304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HYPERLINK("https://klasma.github.io/Logging_0562/artfynd/A 37748-2025 artfynd.xlsx", "A 37748-2025")</f>
        <v/>
      </c>
      <c r="X62">
        <f>HYPERLINK("https://klasma.github.io/Logging_0562/kartor/A 37748-2025 karta.png", "A 37748-2025")</f>
        <v/>
      </c>
      <c r="Y62">
        <f>HYPERLINK("https://klasma.github.io/Logging_0562/kartor_geotiff/A 37748-2025 georefererad karta.tif", "A 37748-2025")</f>
        <v/>
      </c>
      <c r="AA62">
        <f>HYPERLINK("https://klasma.github.io/Logging_0562/klagomål/A 37748-2025 FSC-klagomål.docx", "A 37748-2025")</f>
        <v/>
      </c>
      <c r="AB62">
        <f>HYPERLINK("https://klasma.github.io/Logging_0562/klagomålsmail/A 37748-2025 FSC-klagomål mail.docx", "A 37748-2025")</f>
        <v/>
      </c>
      <c r="AC62">
        <f>HYPERLINK("https://klasma.github.io/Logging_0562/tillsyn/A 37748-2025 tillsynsbegäran.docx", "A 37748-2025")</f>
        <v/>
      </c>
      <c r="AD62">
        <f>HYPERLINK("https://klasma.github.io/Logging_0562/tillsynsmail/A 37748-2025 tillsynsbegäran mail.docx", "A 37748-2025")</f>
        <v/>
      </c>
    </row>
    <row r="63" ht="15" customHeight="1">
      <c r="A63" t="inlineStr">
        <is>
          <t>A 42366-2025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46304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Vit vedfingersvamp</t>
        </is>
      </c>
      <c r="W63">
        <f>HYPERLINK("https://klasma.github.io/Logging_0562/artfynd/A 42366-2025 artfynd.xlsx", "A 42366-2025")</f>
        <v/>
      </c>
      <c r="X63">
        <f>HYPERLINK("https://klasma.github.io/Logging_0562/kartor/A 42366-2025 karta.png", "A 42366-2025")</f>
        <v/>
      </c>
      <c r="Y63">
        <f>HYPERLINK("https://klasma.github.io/Logging_0562/kartor_geotiff/A 42366-2025 georefererad karta.tif", "A 42366-2025")</f>
        <v/>
      </c>
      <c r="AA63">
        <f>HYPERLINK("https://klasma.github.io/Logging_0562/klagomål/A 42366-2025 FSC-klagomål.docx", "A 42366-2025")</f>
        <v/>
      </c>
      <c r="AB63">
        <f>HYPERLINK("https://klasma.github.io/Logging_0562/klagomålsmail/A 42366-2025 FSC-klagomål mail.docx", "A 42366-2025")</f>
        <v/>
      </c>
      <c r="AC63">
        <f>HYPERLINK("https://klasma.github.io/Logging_0562/tillsyn/A 42366-2025 tillsynsbegäran.docx", "A 42366-2025")</f>
        <v/>
      </c>
      <c r="AD63">
        <f>HYPERLINK("https://klasma.github.io/Logging_0562/tillsynsmail/A 42366-2025 tillsynsbegäran mail.docx", "A 42366-2025")</f>
        <v/>
      </c>
    </row>
    <row r="64" ht="15" customHeight="1">
      <c r="A64" t="inlineStr">
        <is>
          <t>A 6035-2022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46304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Bred kärrtrollslända</t>
        </is>
      </c>
      <c r="W64">
        <f>HYPERLINK("https://klasma.github.io/Logging_0562/artfynd/A 6035-2022 artfynd.xlsx", "A 6035-2022")</f>
        <v/>
      </c>
      <c r="X64">
        <f>HYPERLINK("https://klasma.github.io/Logging_0562/kartor/A 6035-2022 karta.png", "A 6035-2022")</f>
        <v/>
      </c>
      <c r="Y64">
        <f>HYPERLINK("https://klasma.github.io/Logging_0562/kartor_geotiff/A 6035-2022 georefererad karta.tif", "A 6035-2022")</f>
        <v/>
      </c>
      <c r="AA64">
        <f>HYPERLINK("https://klasma.github.io/Logging_0562/klagomål/A 6035-2022 FSC-klagomål.docx", "A 6035-2022")</f>
        <v/>
      </c>
      <c r="AB64">
        <f>HYPERLINK("https://klasma.github.io/Logging_0562/klagomålsmail/A 6035-2022 FSC-klagomål mail.docx", "A 6035-2022")</f>
        <v/>
      </c>
      <c r="AC64">
        <f>HYPERLINK("https://klasma.github.io/Logging_0562/tillsyn/A 6035-2022 tillsynsbegäran.docx", "A 6035-2022")</f>
        <v/>
      </c>
      <c r="AD64">
        <f>HYPERLINK("https://klasma.github.io/Logging_0562/tillsynsmail/A 6035-2022 tillsynsbegäran mail.docx", "A 6035-2022")</f>
        <v/>
      </c>
    </row>
    <row r="65" ht="15" customHeight="1">
      <c r="A65" t="inlineStr">
        <is>
          <t>A 38229-2025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46304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Lake</t>
        </is>
      </c>
      <c r="W65">
        <f>HYPERLINK("https://klasma.github.io/Logging_0562/artfynd/A 38229-2025 artfynd.xlsx", "A 38229-2025")</f>
        <v/>
      </c>
      <c r="X65">
        <f>HYPERLINK("https://klasma.github.io/Logging_0562/kartor/A 38229-2025 karta.png", "A 38229-2025")</f>
        <v/>
      </c>
      <c r="Y65">
        <f>HYPERLINK("https://klasma.github.io/Logging_0562/kartor_geotiff/A 38229-2025 georefererad karta.tif", "A 38229-2025")</f>
        <v/>
      </c>
      <c r="AA65">
        <f>HYPERLINK("https://klasma.github.io/Logging_0562/klagomål/A 38229-2025 FSC-klagomål.docx", "A 38229-2025")</f>
        <v/>
      </c>
      <c r="AB65">
        <f>HYPERLINK("https://klasma.github.io/Logging_0562/klagomålsmail/A 38229-2025 FSC-klagomål mail.docx", "A 38229-2025")</f>
        <v/>
      </c>
      <c r="AC65">
        <f>HYPERLINK("https://klasma.github.io/Logging_0562/tillsyn/A 38229-2025 tillsynsbegäran.docx", "A 38229-2025")</f>
        <v/>
      </c>
      <c r="AD65">
        <f>HYPERLINK("https://klasma.github.io/Logging_0562/tillsynsmail/A 38229-2025 tillsynsbegäran mail.docx", "A 38229-2025")</f>
        <v/>
      </c>
    </row>
    <row r="66" ht="15" customHeight="1">
      <c r="A66" t="inlineStr">
        <is>
          <t>A 40385-2024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46304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HYPERLINK("https://klasma.github.io/Logging_0562/artfynd/A 40385-2024 artfynd.xlsx", "A 40385-2024")</f>
        <v/>
      </c>
      <c r="X66">
        <f>HYPERLINK("https://klasma.github.io/Logging_0562/kartor/A 40385-2024 karta.png", "A 40385-2024")</f>
        <v/>
      </c>
      <c r="Y66">
        <f>HYPERLINK("https://klasma.github.io/Logging_0562/kartor_geotiff/A 40385-2024 georefererad karta.tif", "A 40385-2024")</f>
        <v/>
      </c>
      <c r="AA66">
        <f>HYPERLINK("https://klasma.github.io/Logging_0562/klagomål/A 40385-2024 FSC-klagomål.docx", "A 40385-2024")</f>
        <v/>
      </c>
      <c r="AB66">
        <f>HYPERLINK("https://klasma.github.io/Logging_0562/klagomålsmail/A 40385-2024 FSC-klagomål mail.docx", "A 40385-2024")</f>
        <v/>
      </c>
      <c r="AC66">
        <f>HYPERLINK("https://klasma.github.io/Logging_0562/tillsyn/A 40385-2024 tillsynsbegäran.docx", "A 40385-2024")</f>
        <v/>
      </c>
      <c r="AD66">
        <f>HYPERLINK("https://klasma.github.io/Logging_0562/tillsynsmail/A 40385-2024 tillsynsbegäran mail.docx", "A 40385-2024")</f>
        <v/>
      </c>
      <c r="AE66">
        <f>HYPERLINK("https://klasma.github.io/Logging_0562/fåglar/A 40385-2024 prioriterade fågelarter.docx", "A 40385-2024")</f>
        <v/>
      </c>
    </row>
    <row r="67" ht="15" customHeight="1">
      <c r="A67" t="inlineStr">
        <is>
          <t>A 22259-2024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46304</v>
      </c>
      <c r="F67" t="inlineStr">
        <is>
          <t>ÖSTERGÖTLANDS LÄN</t>
        </is>
      </c>
      <c r="G67" t="inlineStr">
        <is>
          <t>FINSPÅNG</t>
        </is>
      </c>
      <c r="I67" t="n">
        <v>2.7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HYPERLINK("https://klasma.github.io/Logging_0562/artfynd/A 22259-2024 artfynd.xlsx", "A 22259-2024")</f>
        <v/>
      </c>
      <c r="X67">
        <f>HYPERLINK("https://klasma.github.io/Logging_0562/kartor/A 22259-2024 karta.png", "A 22259-2024")</f>
        <v/>
      </c>
      <c r="Y67">
        <f>HYPERLINK("https://klasma.github.io/Logging_0562/kartor_geotiff/A 22259-2024 georefererad karta.tif", "A 22259-2024")</f>
        <v/>
      </c>
      <c r="AA67">
        <f>HYPERLINK("https://klasma.github.io/Logging_0562/klagomål/A 22259-2024 FSC-klagomål.docx", "A 22259-2024")</f>
        <v/>
      </c>
      <c r="AB67">
        <f>HYPERLINK("https://klasma.github.io/Logging_0562/klagomålsmail/A 22259-2024 FSC-klagomål mail.docx", "A 22259-2024")</f>
        <v/>
      </c>
      <c r="AC67">
        <f>HYPERLINK("https://klasma.github.io/Logging_0562/tillsyn/A 22259-2024 tillsynsbegäran.docx", "A 22259-2024")</f>
        <v/>
      </c>
      <c r="AD67">
        <f>HYPERLINK("https://klasma.github.io/Logging_0562/tillsynsmail/A 22259-2024 tillsynsbegäran mail.docx", "A 22259-2024")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46304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46304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42837-2024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46304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HYPERLINK("https://klasma.github.io/Logging_0562/artfynd/A 42837-2024 artfynd.xlsx", "A 42837-2024")</f>
        <v/>
      </c>
      <c r="X70">
        <f>HYPERLINK("https://klasma.github.io/Logging_0562/kartor/A 42837-2024 karta.png", "A 42837-2024")</f>
        <v/>
      </c>
      <c r="Y70">
        <f>HYPERLINK("https://klasma.github.io/Logging_0562/kartor_geotiff/A 42837-2024 georefererad karta.tif", "A 42837-2024")</f>
        <v/>
      </c>
      <c r="Z70">
        <f>HYPERLINK("https://klasma.github.io/Logging_0562/knärot/A 42837-2024 karta knärot.png", "A 42837-2024")</f>
        <v/>
      </c>
      <c r="AA70">
        <f>HYPERLINK("https://klasma.github.io/Logging_0562/klagomål/A 42837-2024 FSC-klagomål.docx", "A 42837-2024")</f>
        <v/>
      </c>
      <c r="AB70">
        <f>HYPERLINK("https://klasma.github.io/Logging_0562/klagomålsmail/A 42837-2024 FSC-klagomål mail.docx", "A 42837-2024")</f>
        <v/>
      </c>
      <c r="AC70">
        <f>HYPERLINK("https://klasma.github.io/Logging_0562/tillsyn/A 42837-2024 tillsynsbegäran.docx", "A 42837-2024")</f>
        <v/>
      </c>
      <c r="AD70">
        <f>HYPERLINK("https://klasma.github.io/Logging_0562/tillsynsmail/A 42837-2024 tillsynsbegäran mail.docx", "A 42837-2024")</f>
        <v/>
      </c>
    </row>
    <row r="71" ht="15" customHeight="1">
      <c r="A71" t="inlineStr">
        <is>
          <t>A 22555-2024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46304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Hasselsnok</t>
        </is>
      </c>
      <c r="W71">
        <f>HYPERLINK("https://klasma.github.io/Logging_0562/artfynd/A 22555-2024 artfynd.xlsx", "A 22555-2024")</f>
        <v/>
      </c>
      <c r="X71">
        <f>HYPERLINK("https://klasma.github.io/Logging_0562/kartor/A 22555-2024 karta.png", "A 22555-2024")</f>
        <v/>
      </c>
      <c r="Y71">
        <f>HYPERLINK("https://klasma.github.io/Logging_0562/kartor_geotiff/A 22555-2024 georefererad karta.tif", "A 22555-2024")</f>
        <v/>
      </c>
      <c r="AA71">
        <f>HYPERLINK("https://klasma.github.io/Logging_0562/klagomål/A 22555-2024 FSC-klagomål.docx", "A 22555-2024")</f>
        <v/>
      </c>
      <c r="AB71">
        <f>HYPERLINK("https://klasma.github.io/Logging_0562/klagomålsmail/A 22555-2024 FSC-klagomål mail.docx", "A 22555-2024")</f>
        <v/>
      </c>
      <c r="AC71">
        <f>HYPERLINK("https://klasma.github.io/Logging_0562/tillsyn/A 22555-2024 tillsynsbegäran.docx", "A 22555-2024")</f>
        <v/>
      </c>
      <c r="AD71">
        <f>HYPERLINK("https://klasma.github.io/Logging_0562/tillsynsmail/A 22555-2024 tillsynsbegäran mail.docx", "A 22555-2024")</f>
        <v/>
      </c>
    </row>
    <row r="72" ht="15" customHeight="1">
      <c r="A72" t="inlineStr">
        <is>
          <t>A 663-2023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44930</v>
      </c>
      <c r="E72" s="1" t="n">
        <v>46304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HYPERLINK("https://klasma.github.io/Logging_0562/artfynd/A 663-2023 artfynd.xlsx", "A 663-2023")</f>
        <v/>
      </c>
      <c r="X72">
        <f>HYPERLINK("https://klasma.github.io/Logging_0562/kartor/A 663-2023 karta.png", "A 663-2023")</f>
        <v/>
      </c>
      <c r="Y72">
        <f>HYPERLINK("https://klasma.github.io/Logging_0562/kartor_geotiff/A 663-2023 georefererad karta.tif", "A 663-2023")</f>
        <v/>
      </c>
      <c r="AA72">
        <f>HYPERLINK("https://klasma.github.io/Logging_0562/klagomål/A 663-2023 FSC-klagomål.docx", "A 663-2023")</f>
        <v/>
      </c>
      <c r="AB72">
        <f>HYPERLINK("https://klasma.github.io/Logging_0562/klagomålsmail/A 663-2023 FSC-klagomål mail.docx", "A 663-2023")</f>
        <v/>
      </c>
      <c r="AC72">
        <f>HYPERLINK("https://klasma.github.io/Logging_0562/tillsyn/A 663-2023 tillsynsbegäran.docx", "A 663-2023")</f>
        <v/>
      </c>
      <c r="AD72">
        <f>HYPERLINK("https://klasma.github.io/Logging_0562/tillsynsmail/A 663-2023 tillsynsbegäran mail.docx", "A 663-2023")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46304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3941-2026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46304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1.7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Trana</t>
        </is>
      </c>
      <c r="W74">
        <f>HYPERLINK("https://klasma.github.io/Logging_0562/artfynd/A 3941-2026 artfynd.xlsx", "A 3941-2026")</f>
        <v/>
      </c>
      <c r="X74">
        <f>HYPERLINK("https://klasma.github.io/Logging_0562/kartor/A 3941-2026 karta.png", "A 3941-2026")</f>
        <v/>
      </c>
      <c r="Y74">
        <f>HYPERLINK("https://klasma.github.io/Logging_0562/kartor_geotiff/A 3941-2026 georefererad karta.tif", "A 3941-2026")</f>
        <v/>
      </c>
      <c r="AA74">
        <f>HYPERLINK("https://klasma.github.io/Logging_0562/klagomål/A 3941-2026 FSC-klagomål.docx", "A 3941-2026")</f>
        <v/>
      </c>
      <c r="AB74">
        <f>HYPERLINK("https://klasma.github.io/Logging_0562/klagomålsmail/A 3941-2026 FSC-klagomål mail.docx", "A 3941-2026")</f>
        <v/>
      </c>
      <c r="AC74">
        <f>HYPERLINK("https://klasma.github.io/Logging_0562/tillsyn/A 3941-2026 tillsynsbegäran.docx", "A 3941-2026")</f>
        <v/>
      </c>
      <c r="AD74">
        <f>HYPERLINK("https://klasma.github.io/Logging_0562/tillsynsmail/A 3941-2026 tillsynsbegäran mail.docx", "A 3941-2026")</f>
        <v/>
      </c>
      <c r="AE74">
        <f>HYPERLINK("https://klasma.github.io/Logging_0562/fåglar/A 3941-2026 prioriterade fågelarter.docx", "A 3941-2026")</f>
        <v/>
      </c>
    </row>
    <row r="75" ht="15" customHeight="1">
      <c r="A75" t="inlineStr">
        <is>
          <t>A 1177-2024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45302</v>
      </c>
      <c r="E75" s="1" t="n">
        <v>46304</v>
      </c>
      <c r="F75" t="inlineStr">
        <is>
          <t>ÖSTERGÖTLANDS LÄN</t>
        </is>
      </c>
      <c r="G75" t="inlineStr">
        <is>
          <t>FINSPÅNG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HYPERLINK("https://klasma.github.io/Logging_0562/artfynd/A 1177-2024 artfynd.xlsx", "A 1177-2024")</f>
        <v/>
      </c>
      <c r="X75">
        <f>HYPERLINK("https://klasma.github.io/Logging_0562/kartor/A 1177-2024 karta.png", "A 1177-2024")</f>
        <v/>
      </c>
      <c r="Y75">
        <f>HYPERLINK("https://klasma.github.io/Logging_0562/kartor_geotiff/A 1177-2024 georefererad karta.tif", "A 1177-2024")</f>
        <v/>
      </c>
      <c r="Z75">
        <f>HYPERLINK("https://klasma.github.io/Logging_0562/knärot/A 1177-2024 karta knärot.png", "A 1177-2024")</f>
        <v/>
      </c>
      <c r="AA75">
        <f>HYPERLINK("https://klasma.github.io/Logging_0562/klagomål/A 1177-2024 FSC-klagomål.docx", "A 1177-2024")</f>
        <v/>
      </c>
      <c r="AB75">
        <f>HYPERLINK("https://klasma.github.io/Logging_0562/klagomålsmail/A 1177-2024 FSC-klagomål mail.docx", "A 1177-2024")</f>
        <v/>
      </c>
      <c r="AC75">
        <f>HYPERLINK("https://klasma.github.io/Logging_0562/tillsyn/A 1177-2024 tillsynsbegäran.docx", "A 1177-2024")</f>
        <v/>
      </c>
      <c r="AD75">
        <f>HYPERLINK("https://klasma.github.io/Logging_0562/tillsynsmail/A 1177-2024 tillsynsbegäran mail.docx", "A 1177-2024")</f>
        <v/>
      </c>
    </row>
    <row r="76" ht="15" customHeight="1">
      <c r="A76" t="inlineStr">
        <is>
          <t>A 54302-2023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46304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Lopplummer (aggregat)</t>
        </is>
      </c>
      <c r="W76">
        <f>HYPERLINK("https://klasma.github.io/Logging_0562/artfynd/A 54302-2023 artfynd.xlsx", "A 54302-2023")</f>
        <v/>
      </c>
      <c r="X76">
        <f>HYPERLINK("https://klasma.github.io/Logging_0562/kartor/A 54302-2023 karta.png", "A 54302-2023")</f>
        <v/>
      </c>
      <c r="Y76">
        <f>HYPERLINK("https://klasma.github.io/Logging_0562/kartor_geotiff/A 54302-2023 georefererad karta.tif", "A 54302-2023")</f>
        <v/>
      </c>
      <c r="AA76">
        <f>HYPERLINK("https://klasma.github.io/Logging_0562/klagomål/A 54302-2023 FSC-klagomål.docx", "A 54302-2023")</f>
        <v/>
      </c>
      <c r="AB76">
        <f>HYPERLINK("https://klasma.github.io/Logging_0562/klagomålsmail/A 54302-2023 FSC-klagomål mail.docx", "A 54302-2023")</f>
        <v/>
      </c>
      <c r="AC76">
        <f>HYPERLINK("https://klasma.github.io/Logging_0562/tillsyn/A 54302-2023 tillsynsbegäran.docx", "A 54302-2023")</f>
        <v/>
      </c>
      <c r="AD76">
        <f>HYPERLINK("https://klasma.github.io/Logging_0562/tillsynsmail/A 54302-2023 tillsynsbegäran mail.docx", "A 54302-2023")</f>
        <v/>
      </c>
    </row>
    <row r="77" ht="15" customHeight="1">
      <c r="A77" t="inlineStr">
        <is>
          <t>A 7265-2026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46304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7265-2026 artfynd.xlsx", "A 7265-2026")</f>
        <v/>
      </c>
      <c r="X77">
        <f>HYPERLINK("https://klasma.github.io/Logging_0562/kartor/A 7265-2026 karta.png", "A 7265-2026")</f>
        <v/>
      </c>
      <c r="Y77">
        <f>HYPERLINK("https://klasma.github.io/Logging_0562/kartor_geotiff/A 7265-2026 georefererad karta.tif", "A 7265-2026")</f>
        <v/>
      </c>
      <c r="AA77">
        <f>HYPERLINK("https://klasma.github.io/Logging_0562/klagomål/A 7265-2026 FSC-klagomål.docx", "A 7265-2026")</f>
        <v/>
      </c>
      <c r="AB77">
        <f>HYPERLINK("https://klasma.github.io/Logging_0562/klagomålsmail/A 7265-2026 FSC-klagomål mail.docx", "A 7265-2026")</f>
        <v/>
      </c>
      <c r="AC77">
        <f>HYPERLINK("https://klasma.github.io/Logging_0562/tillsyn/A 7265-2026 tillsynsbegäran.docx", "A 7265-2026")</f>
        <v/>
      </c>
      <c r="AD77">
        <f>HYPERLINK("https://klasma.github.io/Logging_0562/tillsynsmail/A 7265-2026 tillsynsbegäran mail.docx", "A 7265-2026")</f>
        <v/>
      </c>
      <c r="AE77">
        <f>HYPERLINK("https://klasma.github.io/Logging_0562/fåglar/A 7265-2026 prioriterade fågelarter.docx", "A 7265-2026")</f>
        <v/>
      </c>
    </row>
    <row r="78" ht="15" customHeight="1">
      <c r="A78" t="inlineStr">
        <is>
          <t>A 10203-2022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46304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backsmörblomma</t>
        </is>
      </c>
      <c r="W78">
        <f>HYPERLINK("https://klasma.github.io/Logging_0562/artfynd/A 10203-2022 artfynd.xlsx", "A 10203-2022")</f>
        <v/>
      </c>
      <c r="X78">
        <f>HYPERLINK("https://klasma.github.io/Logging_0562/kartor/A 10203-2022 karta.png", "A 10203-2022")</f>
        <v/>
      </c>
      <c r="Y78">
        <f>HYPERLINK("https://klasma.github.io/Logging_0562/kartor_geotiff/A 10203-2022 georefererad karta.tif", "A 10203-2022")</f>
        <v/>
      </c>
      <c r="AA78">
        <f>HYPERLINK("https://klasma.github.io/Logging_0562/klagomål/A 10203-2022 FSC-klagomål.docx", "A 10203-2022")</f>
        <v/>
      </c>
      <c r="AB78">
        <f>HYPERLINK("https://klasma.github.io/Logging_0562/klagomålsmail/A 10203-2022 FSC-klagomål mail.docx", "A 10203-2022")</f>
        <v/>
      </c>
      <c r="AC78">
        <f>HYPERLINK("https://klasma.github.io/Logging_0562/tillsyn/A 10203-2022 tillsynsbegäran.docx", "A 10203-2022")</f>
        <v/>
      </c>
      <c r="AD78">
        <f>HYPERLINK("https://klasma.github.io/Logging_0562/tillsynsmail/A 10203-2022 tillsynsbegäran mail.docx", "A 10203-2022")</f>
        <v/>
      </c>
    </row>
    <row r="79" ht="15" customHeight="1">
      <c r="A79" t="inlineStr">
        <is>
          <t>A 22587-2026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46155</v>
      </c>
      <c r="E79" s="1" t="n">
        <v>46304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HYPERLINK("https://klasma.github.io/Logging_0562/artfynd/A 22587-2026 artfynd.xlsx", "A 22587-2026")</f>
        <v/>
      </c>
      <c r="X79">
        <f>HYPERLINK("https://klasma.github.io/Logging_0562/kartor/A 22587-2026 karta.png", "A 22587-2026")</f>
        <v/>
      </c>
      <c r="Y79">
        <f>HYPERLINK("https://klasma.github.io/Logging_0562/kartor_geotiff/A 22587-2026 georefererad karta.tif", "A 22587-2026")</f>
        <v/>
      </c>
      <c r="AA79">
        <f>HYPERLINK("https://klasma.github.io/Logging_0562/klagomål/A 22587-2026 FSC-klagomål.docx", "A 22587-2026")</f>
        <v/>
      </c>
      <c r="AB79">
        <f>HYPERLINK("https://klasma.github.io/Logging_0562/klagomålsmail/A 22587-2026 FSC-klagomål mail.docx", "A 22587-2026")</f>
        <v/>
      </c>
      <c r="AC79">
        <f>HYPERLINK("https://klasma.github.io/Logging_0562/tillsyn/A 22587-2026 tillsynsbegäran.docx", "A 22587-2026")</f>
        <v/>
      </c>
      <c r="AD79">
        <f>HYPERLINK("https://klasma.github.io/Logging_0562/tillsynsmail/A 22587-2026 tillsynsbegäran mail.docx", "A 22587-2026")</f>
        <v/>
      </c>
      <c r="AE79">
        <f>HYPERLINK("https://klasma.github.io/Logging_0562/fåglar/A 22587-2026 prioriterade fågelarter.docx", "A 22587-2026")</f>
        <v/>
      </c>
    </row>
    <row r="80" ht="15" customHeight="1">
      <c r="A80" t="inlineStr">
        <is>
          <t>A 39078-2022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46304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HYPERLINK("https://klasma.github.io/Logging_0562/artfynd/A 39078-2022 artfynd.xlsx", "A 39078-2022")</f>
        <v/>
      </c>
      <c r="X80">
        <f>HYPERLINK("https://klasma.github.io/Logging_0562/kartor/A 39078-2022 karta.png", "A 39078-2022")</f>
        <v/>
      </c>
      <c r="Y80">
        <f>HYPERLINK("https://klasma.github.io/Logging_0562/kartor_geotiff/A 39078-2022 georefererad karta.tif", "A 39078-2022")</f>
        <v/>
      </c>
      <c r="AA80">
        <f>HYPERLINK("https://klasma.github.io/Logging_0562/klagomål/A 39078-2022 FSC-klagomål.docx", "A 39078-2022")</f>
        <v/>
      </c>
      <c r="AB80">
        <f>HYPERLINK("https://klasma.github.io/Logging_0562/klagomålsmail/A 39078-2022 FSC-klagomål mail.docx", "A 39078-2022")</f>
        <v/>
      </c>
      <c r="AC80">
        <f>HYPERLINK("https://klasma.github.io/Logging_0562/tillsyn/A 39078-2022 tillsynsbegäran.docx", "A 39078-2022")</f>
        <v/>
      </c>
      <c r="AD80">
        <f>HYPERLINK("https://klasma.github.io/Logging_0562/tillsynsmail/A 39078-2022 tillsynsbegäran mail.docx", "A 39078-2022")</f>
        <v/>
      </c>
    </row>
    <row r="81" ht="15" customHeight="1">
      <c r="A81" t="inlineStr">
        <is>
          <t>A 61104-2022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46304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Tallticka</t>
        </is>
      </c>
      <c r="W81">
        <f>HYPERLINK("https://klasma.github.io/Logging_0562/artfynd/A 61104-2022 artfynd.xlsx", "A 61104-2022")</f>
        <v/>
      </c>
      <c r="X81">
        <f>HYPERLINK("https://klasma.github.io/Logging_0562/kartor/A 61104-2022 karta.png", "A 61104-2022")</f>
        <v/>
      </c>
      <c r="Y81">
        <f>HYPERLINK("https://klasma.github.io/Logging_0562/kartor_geotiff/A 61104-2022 georefererad karta.tif", "A 61104-2022")</f>
        <v/>
      </c>
      <c r="AA81">
        <f>HYPERLINK("https://klasma.github.io/Logging_0562/klagomål/A 61104-2022 FSC-klagomål.docx", "A 61104-2022")</f>
        <v/>
      </c>
      <c r="AB81">
        <f>HYPERLINK("https://klasma.github.io/Logging_0562/klagomålsmail/A 61104-2022 FSC-klagomål mail.docx", "A 61104-2022")</f>
        <v/>
      </c>
      <c r="AC81">
        <f>HYPERLINK("https://klasma.github.io/Logging_0562/tillsyn/A 61104-2022 tillsynsbegäran.docx", "A 61104-2022")</f>
        <v/>
      </c>
      <c r="AD81">
        <f>HYPERLINK("https://klasma.github.io/Logging_0562/tillsynsmail/A 61104-2022 tillsynsbegäran mail.docx", "A 61104-2022")</f>
        <v/>
      </c>
    </row>
    <row r="82" ht="15" customHeight="1">
      <c r="A82" t="inlineStr">
        <is>
          <t>A 27456-2026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46304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HYPERLINK("https://klasma.github.io/Logging_0562/artfynd/A 27456-2026 artfynd.xlsx", "A 27456-2026")</f>
        <v/>
      </c>
      <c r="X82">
        <f>HYPERLINK("https://klasma.github.io/Logging_0562/kartor/A 27456-2026 karta.png", "A 27456-2026")</f>
        <v/>
      </c>
      <c r="Y82">
        <f>HYPERLINK("https://klasma.github.io/Logging_0562/kartor_geotiff/A 27456-2026 georefererad karta.tif", "A 27456-2026")</f>
        <v/>
      </c>
      <c r="AA82">
        <f>HYPERLINK("https://klasma.github.io/Logging_0562/klagomål/A 27456-2026 FSC-klagomål.docx", "A 27456-2026")</f>
        <v/>
      </c>
      <c r="AB82">
        <f>HYPERLINK("https://klasma.github.io/Logging_0562/klagomålsmail/A 27456-2026 FSC-klagomål mail.docx", "A 27456-2026")</f>
        <v/>
      </c>
      <c r="AC82">
        <f>HYPERLINK("https://klasma.github.io/Logging_0562/tillsyn/A 27456-2026 tillsynsbegäran.docx", "A 27456-2026")</f>
        <v/>
      </c>
      <c r="AD82">
        <f>HYPERLINK("https://klasma.github.io/Logging_0562/tillsynsmail/A 27456-2026 tillsynsbegäran mail.docx", "A 27456-2026")</f>
        <v/>
      </c>
    </row>
    <row r="83" ht="15" customHeight="1">
      <c r="A83" t="inlineStr">
        <is>
          <t>A 22439-2023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45070</v>
      </c>
      <c r="E83" s="1" t="n">
        <v>46304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1.3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Hasselsnok</t>
        </is>
      </c>
      <c r="W83">
        <f>HYPERLINK("https://klasma.github.io/Logging_0562/artfynd/A 22439-2023 artfynd.xlsx", "A 22439-2023")</f>
        <v/>
      </c>
      <c r="X83">
        <f>HYPERLINK("https://klasma.github.io/Logging_0562/kartor/A 22439-2023 karta.png", "A 22439-2023")</f>
        <v/>
      </c>
      <c r="Y83">
        <f>HYPERLINK("https://klasma.github.io/Logging_0562/kartor_geotiff/A 22439-2023 georefererad karta.tif", "A 22439-2023")</f>
        <v/>
      </c>
      <c r="AA83">
        <f>HYPERLINK("https://klasma.github.io/Logging_0562/klagomål/A 22439-2023 FSC-klagomål.docx", "A 22439-2023")</f>
        <v/>
      </c>
      <c r="AB83">
        <f>HYPERLINK("https://klasma.github.io/Logging_0562/klagomålsmail/A 22439-2023 FSC-klagomål mail.docx", "A 22439-2023")</f>
        <v/>
      </c>
      <c r="AC83">
        <f>HYPERLINK("https://klasma.github.io/Logging_0562/tillsyn/A 22439-2023 tillsynsbegäran.docx", "A 22439-2023")</f>
        <v/>
      </c>
      <c r="AD83">
        <f>HYPERLINK("https://klasma.github.io/Logging_0562/tillsynsmail/A 22439-2023 tillsynsbegäran mail.docx", "A 22439-2023")</f>
        <v/>
      </c>
    </row>
    <row r="84" ht="15" customHeight="1">
      <c r="A84" t="inlineStr">
        <is>
          <t>A 25942-2026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46304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HYPERLINK("https://klasma.github.io/Logging_0562/artfynd/A 25942-2026 artfynd.xlsx", "A 25942-2026")</f>
        <v/>
      </c>
      <c r="X84">
        <f>HYPERLINK("https://klasma.github.io/Logging_0562/kartor/A 25942-2026 karta.png", "A 25942-2026")</f>
        <v/>
      </c>
      <c r="Y84">
        <f>HYPERLINK("https://klasma.github.io/Logging_0562/kartor_geotiff/A 25942-2026 georefererad karta.tif", "A 25942-2026")</f>
        <v/>
      </c>
      <c r="AA84">
        <f>HYPERLINK("https://klasma.github.io/Logging_0562/klagomål/A 25942-2026 FSC-klagomål.docx", "A 25942-2026")</f>
        <v/>
      </c>
      <c r="AB84">
        <f>HYPERLINK("https://klasma.github.io/Logging_0562/klagomålsmail/A 25942-2026 FSC-klagomål mail.docx", "A 25942-2026")</f>
        <v/>
      </c>
      <c r="AC84">
        <f>HYPERLINK("https://klasma.github.io/Logging_0562/tillsyn/A 25942-2026 tillsynsbegäran.docx", "A 25942-2026")</f>
        <v/>
      </c>
      <c r="AD84">
        <f>HYPERLINK("https://klasma.github.io/Logging_0562/tillsynsmail/A 25942-2026 tillsynsbegäran mail.docx", "A 25942-2026")</f>
        <v/>
      </c>
    </row>
    <row r="85" ht="15" customHeight="1">
      <c r="A85" t="inlineStr">
        <is>
          <t>A 11140-2023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46304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Grönvit nattviol</t>
        </is>
      </c>
      <c r="W85">
        <f>HYPERLINK("https://klasma.github.io/Logging_0562/artfynd/A 11140-2023 artfynd.xlsx", "A 11140-2023")</f>
        <v/>
      </c>
      <c r="X85">
        <f>HYPERLINK("https://klasma.github.io/Logging_0562/kartor/A 11140-2023 karta.png", "A 11140-2023")</f>
        <v/>
      </c>
      <c r="Y85">
        <f>HYPERLINK("https://klasma.github.io/Logging_0562/kartor_geotiff/A 11140-2023 georefererad karta.tif", "A 11140-2023")</f>
        <v/>
      </c>
      <c r="AA85">
        <f>HYPERLINK("https://klasma.github.io/Logging_0562/klagomål/A 11140-2023 FSC-klagomål.docx", "A 11140-2023")</f>
        <v/>
      </c>
      <c r="AB85">
        <f>HYPERLINK("https://klasma.github.io/Logging_0562/klagomålsmail/A 11140-2023 FSC-klagomål mail.docx", "A 11140-2023")</f>
        <v/>
      </c>
      <c r="AC85">
        <f>HYPERLINK("https://klasma.github.io/Logging_0562/tillsyn/A 11140-2023 tillsynsbegäran.docx", "A 11140-2023")</f>
        <v/>
      </c>
      <c r="AD85">
        <f>HYPERLINK("https://klasma.github.io/Logging_0562/tillsynsmail/A 11140-2023 tillsynsbegäran mail.docx", "A 11140-2023")</f>
        <v/>
      </c>
    </row>
    <row r="86" ht="15" customHeight="1">
      <c r="A86" t="inlineStr">
        <is>
          <t>A 53673-2024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45615</v>
      </c>
      <c r="E86" s="1" t="n">
        <v>46304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HYPERLINK("https://klasma.github.io/Logging_0562/artfynd/A 53673-2024 artfynd.xlsx", "A 53673-2024")</f>
        <v/>
      </c>
      <c r="X86">
        <f>HYPERLINK("https://klasma.github.io/Logging_0562/kartor/A 53673-2024 karta.png", "A 53673-2024")</f>
        <v/>
      </c>
      <c r="Y86">
        <f>HYPERLINK("https://klasma.github.io/Logging_0562/kartor_geotiff/A 53673-2024 georefererad karta.tif", "A 53673-2024")</f>
        <v/>
      </c>
      <c r="Z86">
        <f>HYPERLINK("https://klasma.github.io/Logging_0562/knärot/A 53673-2024 karta knärot.png", "A 53673-2024")</f>
        <v/>
      </c>
      <c r="AA86">
        <f>HYPERLINK("https://klasma.github.io/Logging_0562/klagomål/A 53673-2024 FSC-klagomål.docx", "A 53673-2024")</f>
        <v/>
      </c>
      <c r="AB86">
        <f>HYPERLINK("https://klasma.github.io/Logging_0562/klagomålsmail/A 53673-2024 FSC-klagomål mail.docx", "A 53673-2024")</f>
        <v/>
      </c>
      <c r="AC86">
        <f>HYPERLINK("https://klasma.github.io/Logging_0562/tillsyn/A 53673-2024 tillsynsbegäran.docx", "A 53673-2024")</f>
        <v/>
      </c>
      <c r="AD86">
        <f>HYPERLINK("https://klasma.github.io/Logging_0562/tillsynsmail/A 53673-2024 tillsynsbegäran mail.docx", "A 53673-2024")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46304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46304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46304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46304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46304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46304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44864</v>
      </c>
      <c r="E94" s="1" t="n">
        <v>46304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70407-2021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46304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46304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46304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46304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46304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46304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46304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46304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46304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46304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46304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46304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46304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46304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46304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46304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46304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46304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46304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46304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46304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46304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46304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46304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46304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46304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46304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46304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46304</v>
      </c>
      <c r="F123" t="inlineStr">
        <is>
          <t>ÖSTERGÖTLANDS LÄN</t>
        </is>
      </c>
      <c r="G123" t="inlineStr">
        <is>
          <t>FINSPÅNG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46304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46304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46304</v>
      </c>
      <c r="F126" t="inlineStr">
        <is>
          <t>ÖSTERGÖTLANDS LÄN</t>
        </is>
      </c>
      <c r="G126" t="inlineStr">
        <is>
          <t>FINSPÅNG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44796</v>
      </c>
      <c r="E127" s="1" t="n">
        <v>46304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44782</v>
      </c>
      <c r="E128" s="1" t="n">
        <v>46304</v>
      </c>
      <c r="F128" t="inlineStr">
        <is>
          <t>ÖSTERGÖTLANDS LÄN</t>
        </is>
      </c>
      <c r="G128" t="inlineStr">
        <is>
          <t>FINSPÅNG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44741</v>
      </c>
      <c r="E129" s="1" t="n">
        <v>46304</v>
      </c>
      <c r="F129" t="inlineStr">
        <is>
          <t>ÖSTERGÖTLANDS LÄN</t>
        </is>
      </c>
      <c r="G129" t="inlineStr">
        <is>
          <t>FINSPÅNG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46304</v>
      </c>
      <c r="F130" t="inlineStr">
        <is>
          <t>ÖSTERGÖTLANDS LÄN</t>
        </is>
      </c>
      <c r="G130" t="inlineStr">
        <is>
          <t>FINSPÅNG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46304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46304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46304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44887</v>
      </c>
      <c r="E134" s="1" t="n">
        <v>46304</v>
      </c>
      <c r="F134" t="inlineStr">
        <is>
          <t>ÖSTERGÖTLANDS LÄN</t>
        </is>
      </c>
      <c r="G134" t="inlineStr">
        <is>
          <t>FINSPÅNG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46304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46304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46304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46304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46304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46304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46304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46304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46304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46304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46304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46304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46304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46304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46304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46304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46304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46304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46304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46304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46304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46304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46304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46304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46304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46304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46304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46304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46304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46304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46304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46304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46304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46304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44635</v>
      </c>
      <c r="E169" s="1" t="n">
        <v>46304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46304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46304</v>
      </c>
      <c r="F171" t="inlineStr">
        <is>
          <t>ÖSTERGÖTLANDS LÄN</t>
        </is>
      </c>
      <c r="G171" t="inlineStr">
        <is>
          <t>FINSPÅNG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46304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56883-2021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46304</v>
      </c>
      <c r="F173" t="inlineStr">
        <is>
          <t>ÖSTERGÖTLANDS LÄN</t>
        </is>
      </c>
      <c r="G173" t="inlineStr">
        <is>
          <t>FINSPÅNG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69994-2021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44533</v>
      </c>
      <c r="E174" s="1" t="n">
        <v>46304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46304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46304</v>
      </c>
      <c r="F176" t="inlineStr">
        <is>
          <t>ÖSTERGÖTLANDS LÄN</t>
        </is>
      </c>
      <c r="G176" t="inlineStr">
        <is>
          <t>FINSPÅNG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44564</v>
      </c>
      <c r="E177" s="1" t="n">
        <v>46304</v>
      </c>
      <c r="F177" t="inlineStr">
        <is>
          <t>ÖSTERGÖTLANDS LÄN</t>
        </is>
      </c>
      <c r="G177" t="inlineStr">
        <is>
          <t>FINSPÅNG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46304</v>
      </c>
      <c r="F178" t="inlineStr">
        <is>
          <t>ÖSTERGÖTLANDS LÄN</t>
        </is>
      </c>
      <c r="G178" t="inlineStr">
        <is>
          <t>FINSPÅNG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21190-2022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44704</v>
      </c>
      <c r="E179" s="1" t="n">
        <v>46304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44659</v>
      </c>
      <c r="E180" s="1" t="n">
        <v>46304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14866-2022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44656</v>
      </c>
      <c r="E181" s="1" t="n">
        <v>46304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46304</v>
      </c>
      <c r="F182" t="inlineStr">
        <is>
          <t>ÖSTERGÖTLANDS LÄN</t>
        </is>
      </c>
      <c r="G182" t="inlineStr">
        <is>
          <t>FINSPÅNG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46304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46304</v>
      </c>
      <c r="F184" t="inlineStr">
        <is>
          <t>ÖSTERGÖTLANDS LÄN</t>
        </is>
      </c>
      <c r="G184" t="inlineStr">
        <is>
          <t>FINSPÅNG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46304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Naturvårdsverket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45009</v>
      </c>
      <c r="E186" s="1" t="n">
        <v>46304</v>
      </c>
      <c r="F186" t="inlineStr">
        <is>
          <t>ÖSTERGÖTLANDS LÄN</t>
        </is>
      </c>
      <c r="G186" t="inlineStr">
        <is>
          <t>FINSPÅNG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46304</v>
      </c>
      <c r="F187" t="inlineStr">
        <is>
          <t>ÖSTERGÖTLANDS LÄN</t>
        </is>
      </c>
      <c r="G187" t="inlineStr">
        <is>
          <t>FINSPÅNG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46304</v>
      </c>
      <c r="F188" t="inlineStr">
        <is>
          <t>ÖSTERGÖTLANDS LÄN</t>
        </is>
      </c>
      <c r="G188" t="inlineStr">
        <is>
          <t>FINSPÅNG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46304</v>
      </c>
      <c r="F189" t="inlineStr">
        <is>
          <t>ÖSTERGÖTLANDS LÄN</t>
        </is>
      </c>
      <c r="G189" t="inlineStr">
        <is>
          <t>FINSPÅNG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44898</v>
      </c>
      <c r="E190" s="1" t="n">
        <v>46304</v>
      </c>
      <c r="F190" t="inlineStr">
        <is>
          <t>ÖSTERGÖTLANDS LÄN</t>
        </is>
      </c>
      <c r="G190" t="inlineStr">
        <is>
          <t>FINSPÅNG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46304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16680-2022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46304</v>
      </c>
      <c r="F192" t="inlineStr">
        <is>
          <t>ÖSTERGÖTLANDS LÄN</t>
        </is>
      </c>
      <c r="G192" t="inlineStr">
        <is>
          <t>FINSPÅNG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46304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46304</v>
      </c>
      <c r="F194" t="inlineStr">
        <is>
          <t>ÖSTERGÖTLANDS LÄN</t>
        </is>
      </c>
      <c r="G194" t="inlineStr">
        <is>
          <t>FINSPÅNG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28722-2023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45103</v>
      </c>
      <c r="E195" s="1" t="n">
        <v>46304</v>
      </c>
      <c r="F195" t="inlineStr">
        <is>
          <t>ÖSTERGÖTLANDS LÄN</t>
        </is>
      </c>
      <c r="G195" t="inlineStr">
        <is>
          <t>FINSPÅNG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44918</v>
      </c>
      <c r="E196" s="1" t="n">
        <v>46304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46304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46304</v>
      </c>
      <c r="F198" t="inlineStr">
        <is>
          <t>ÖSTERGÖTLANDS LÄN</t>
        </is>
      </c>
      <c r="G198" t="inlineStr">
        <is>
          <t>FINSPÅNG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46304</v>
      </c>
      <c r="F199" t="inlineStr">
        <is>
          <t>ÖSTERGÖTLANDS LÄN</t>
        </is>
      </c>
      <c r="G199" t="inlineStr">
        <is>
          <t>FINSPÅNG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45293</v>
      </c>
      <c r="E200" s="1" t="n">
        <v>46304</v>
      </c>
      <c r="F200" t="inlineStr">
        <is>
          <t>ÖSTERGÖTLANDS LÄN</t>
        </is>
      </c>
      <c r="G200" t="inlineStr">
        <is>
          <t>FINSPÅNG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46304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46304</v>
      </c>
      <c r="F202" t="inlineStr">
        <is>
          <t>ÖSTERGÖTLANDS LÄN</t>
        </is>
      </c>
      <c r="G202" t="inlineStr">
        <is>
          <t>FINSPÅNG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45021</v>
      </c>
      <c r="E203" s="1" t="n">
        <v>46304</v>
      </c>
      <c r="F203" t="inlineStr">
        <is>
          <t>ÖSTERGÖTLANDS LÄN</t>
        </is>
      </c>
      <c r="G203" t="inlineStr">
        <is>
          <t>FINSPÅNG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44767</v>
      </c>
      <c r="E204" s="1" t="n">
        <v>46304</v>
      </c>
      <c r="F204" t="inlineStr">
        <is>
          <t>ÖSTERGÖTLANDS LÄN</t>
        </is>
      </c>
      <c r="G204" t="inlineStr">
        <is>
          <t>FINSPÅNG</t>
        </is>
      </c>
      <c r="I204" t="n">
        <v>10.6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46304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45293</v>
      </c>
      <c r="E206" s="1" t="n">
        <v>46304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46304</v>
      </c>
      <c r="F207" t="inlineStr">
        <is>
          <t>ÖSTERGÖTLANDS LÄN</t>
        </is>
      </c>
      <c r="G207" t="inlineStr">
        <is>
          <t>FINSPÅNG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45428</v>
      </c>
      <c r="E208" s="1" t="n">
        <v>46304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45206</v>
      </c>
      <c r="E209" s="1" t="n">
        <v>46304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46304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46304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46304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45095</v>
      </c>
      <c r="E213" s="1" t="n">
        <v>46304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Övriga Aktiebolag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46304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46304</v>
      </c>
      <c r="F215" t="inlineStr">
        <is>
          <t>ÖSTERGÖTLANDS LÄN</t>
        </is>
      </c>
      <c r="G215" t="inlineStr">
        <is>
          <t>FINSPÅNG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46304</v>
      </c>
      <c r="F216" t="inlineStr">
        <is>
          <t>ÖSTERGÖTLANDS LÄN</t>
        </is>
      </c>
      <c r="G216" t="inlineStr">
        <is>
          <t>FINSPÅNG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45407-2022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44844</v>
      </c>
      <c r="E217" s="1" t="n">
        <v>46304</v>
      </c>
      <c r="F217" t="inlineStr">
        <is>
          <t>ÖSTERGÖTLANDS LÄN</t>
        </is>
      </c>
      <c r="G217" t="inlineStr">
        <is>
          <t>FINSPÅNG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46304</v>
      </c>
      <c r="F218" t="inlineStr">
        <is>
          <t>ÖSTERGÖTLANDS LÄN</t>
        </is>
      </c>
      <c r="G218" t="inlineStr">
        <is>
          <t>FINSPÅNG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46304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40063-2024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45554</v>
      </c>
      <c r="E220" s="1" t="n">
        <v>46304</v>
      </c>
      <c r="F220" t="inlineStr">
        <is>
          <t>ÖSTERGÖTLANDS LÄN</t>
        </is>
      </c>
      <c r="G220" t="inlineStr">
        <is>
          <t>FINSPÅNG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46304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44778</v>
      </c>
      <c r="E222" s="1" t="n">
        <v>46304</v>
      </c>
      <c r="F222" t="inlineStr">
        <is>
          <t>ÖSTERGÖTLANDS LÄN</t>
        </is>
      </c>
      <c r="G222" t="inlineStr">
        <is>
          <t>FINSPÅNG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46304</v>
      </c>
      <c r="F223" t="inlineStr">
        <is>
          <t>ÖSTERGÖTLANDS LÄN</t>
        </is>
      </c>
      <c r="G223" t="inlineStr">
        <is>
          <t>FINSPÅNG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46304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45688</v>
      </c>
      <c r="E225" s="1" t="n">
        <v>46304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46304</v>
      </c>
      <c r="F226" t="inlineStr">
        <is>
          <t>ÖSTERGÖTLANDS LÄN</t>
        </is>
      </c>
      <c r="G226" t="inlineStr">
        <is>
          <t>FINSPÅNG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46304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46304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45441</v>
      </c>
      <c r="E229" s="1" t="n">
        <v>46304</v>
      </c>
      <c r="F229" t="inlineStr">
        <is>
          <t>ÖSTERGÖTLANDS LÄN</t>
        </is>
      </c>
      <c r="G229" t="inlineStr">
        <is>
          <t>FINSPÅNG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46304</v>
      </c>
      <c r="F230" t="inlineStr">
        <is>
          <t>ÖSTERGÖTLANDS LÄN</t>
        </is>
      </c>
      <c r="G230" t="inlineStr">
        <is>
          <t>FINSPÅNG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44861</v>
      </c>
      <c r="E231" s="1" t="n">
        <v>46304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Naturvårdsverket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45677</v>
      </c>
      <c r="E232" s="1" t="n">
        <v>46304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58141-2022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46304</v>
      </c>
      <c r="F233" t="inlineStr">
        <is>
          <t>ÖSTERGÖTLANDS LÄN</t>
        </is>
      </c>
      <c r="G233" t="inlineStr">
        <is>
          <t>FINSPÅNG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44942</v>
      </c>
      <c r="E234" s="1" t="n">
        <v>46304</v>
      </c>
      <c r="F234" t="inlineStr">
        <is>
          <t>ÖSTERGÖTLANDS LÄN</t>
        </is>
      </c>
      <c r="G234" t="inlineStr">
        <is>
          <t>FINSPÅNG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45095</v>
      </c>
      <c r="E235" s="1" t="n">
        <v>46304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45095</v>
      </c>
      <c r="E236" s="1" t="n">
        <v>46304</v>
      </c>
      <c r="F236" t="inlineStr">
        <is>
          <t>ÖSTERGÖTLANDS LÄN</t>
        </is>
      </c>
      <c r="G236" t="inlineStr">
        <is>
          <t>FINSPÅNG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46304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46304</v>
      </c>
      <c r="F238" t="inlineStr">
        <is>
          <t>ÖSTERGÖTLANDS LÄN</t>
        </is>
      </c>
      <c r="G238" t="inlineStr">
        <is>
          <t>FINSPÅNG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46304</v>
      </c>
      <c r="F239" t="inlineStr">
        <is>
          <t>ÖSTERGÖTLANDS LÄN</t>
        </is>
      </c>
      <c r="G239" t="inlineStr">
        <is>
          <t>FINSPÅNG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46304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53821-2022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44880</v>
      </c>
      <c r="E241" s="1" t="n">
        <v>46304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44974</v>
      </c>
      <c r="E242" s="1" t="n">
        <v>46304</v>
      </c>
      <c r="F242" t="inlineStr">
        <is>
          <t>ÖSTERGÖTLANDS LÄN</t>
        </is>
      </c>
      <c r="G242" t="inlineStr">
        <is>
          <t>FINSPÅNG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46304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45008</v>
      </c>
      <c r="E244" s="1" t="n">
        <v>46304</v>
      </c>
      <c r="F244" t="inlineStr">
        <is>
          <t>ÖSTERGÖTLANDS LÄN</t>
        </is>
      </c>
      <c r="G244" t="inlineStr">
        <is>
          <t>FINSPÅNG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46304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46304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Övriga Aktiebolag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46304</v>
      </c>
      <c r="F247" t="inlineStr">
        <is>
          <t>ÖSTERGÖTLANDS LÄN</t>
        </is>
      </c>
      <c r="G247" t="inlineStr">
        <is>
          <t>FINSPÅNG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44918</v>
      </c>
      <c r="E248" s="1" t="n">
        <v>46304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18134-2023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45040</v>
      </c>
      <c r="E249" s="1" t="n">
        <v>46304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45710</v>
      </c>
      <c r="E250" s="1" t="n">
        <v>46304</v>
      </c>
      <c r="F250" t="inlineStr">
        <is>
          <t>ÖSTERGÖTLANDS LÄN</t>
        </is>
      </c>
      <c r="G250" t="inlineStr">
        <is>
          <t>FINSPÅNG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45554</v>
      </c>
      <c r="E251" s="1" t="n">
        <v>46304</v>
      </c>
      <c r="F251" t="inlineStr">
        <is>
          <t>ÖSTERGÖTLANDS LÄN</t>
        </is>
      </c>
      <c r="G251" t="inlineStr">
        <is>
          <t>FINSPÅNG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46304</v>
      </c>
      <c r="F252" t="inlineStr">
        <is>
          <t>ÖSTERGÖTLANDS LÄN</t>
        </is>
      </c>
      <c r="G252" t="inlineStr">
        <is>
          <t>FINSPÅNG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32246-2025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46304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58991-2021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44490</v>
      </c>
      <c r="E254" s="1" t="n">
        <v>46304</v>
      </c>
      <c r="F254" t="inlineStr">
        <is>
          <t>ÖSTERGÖTLANDS LÄN</t>
        </is>
      </c>
      <c r="G254" t="inlineStr">
        <is>
          <t>FINSPÅNG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45415</v>
      </c>
      <c r="E255" s="1" t="n">
        <v>46304</v>
      </c>
      <c r="F255" t="inlineStr">
        <is>
          <t>ÖSTERGÖTLANDS LÄN</t>
        </is>
      </c>
      <c r="G255" t="inlineStr">
        <is>
          <t>FINSPÅNG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46304</v>
      </c>
      <c r="F256" t="inlineStr">
        <is>
          <t>ÖSTERGÖTLANDS LÄN</t>
        </is>
      </c>
      <c r="G256" t="inlineStr">
        <is>
          <t>FINSPÅNG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46304</v>
      </c>
      <c r="F257" t="inlineStr">
        <is>
          <t>ÖSTERGÖTLANDS LÄN</t>
        </is>
      </c>
      <c r="G257" t="inlineStr">
        <is>
          <t>FINSPÅNG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45274</v>
      </c>
      <c r="E258" s="1" t="n">
        <v>46304</v>
      </c>
      <c r="F258" t="inlineStr">
        <is>
          <t>ÖSTERGÖTLANDS LÄN</t>
        </is>
      </c>
      <c r="G258" t="inlineStr">
        <is>
          <t>FINSPÅNG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46304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45095</v>
      </c>
      <c r="E260" s="1" t="n">
        <v>46304</v>
      </c>
      <c r="F260" t="inlineStr">
        <is>
          <t>ÖSTERGÖTLANDS LÄN</t>
        </is>
      </c>
      <c r="G260" t="inlineStr">
        <is>
          <t>FINSPÅNG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44950</v>
      </c>
      <c r="E261" s="1" t="n">
        <v>46304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46304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46304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46304</v>
      </c>
      <c r="F264" t="inlineStr">
        <is>
          <t>ÖSTERGÖTLANDS LÄN</t>
        </is>
      </c>
      <c r="G264" t="inlineStr">
        <is>
          <t>FINSPÅNG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46304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46304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44860</v>
      </c>
      <c r="E267" s="1" t="n">
        <v>46304</v>
      </c>
      <c r="F267" t="inlineStr">
        <is>
          <t>ÖSTERGÖTLANDS LÄN</t>
        </is>
      </c>
      <c r="G267" t="inlineStr">
        <is>
          <t>FINSPÅNG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45456</v>
      </c>
      <c r="E268" s="1" t="n">
        <v>46304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11807-2026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46304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46304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Naturvårdsverket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46304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46304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46304</v>
      </c>
      <c r="F273" t="inlineStr">
        <is>
          <t>ÖSTERGÖTLANDS LÄN</t>
        </is>
      </c>
      <c r="G273" t="inlineStr">
        <is>
          <t>FINSPÅNG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63321-2021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44508</v>
      </c>
      <c r="E274" s="1" t="n">
        <v>46304</v>
      </c>
      <c r="F274" t="inlineStr">
        <is>
          <t>ÖSTERGÖTLANDS LÄN</t>
        </is>
      </c>
      <c r="G274" t="inlineStr">
        <is>
          <t>FINSPÅNG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46304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45776</v>
      </c>
      <c r="E276" s="1" t="n">
        <v>46304</v>
      </c>
      <c r="F276" t="inlineStr">
        <is>
          <t>ÖSTERGÖTLANDS LÄN</t>
        </is>
      </c>
      <c r="G276" t="inlineStr">
        <is>
          <t>FINSPÅNG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45178</v>
      </c>
      <c r="E277" s="1" t="n">
        <v>46304</v>
      </c>
      <c r="F277" t="inlineStr">
        <is>
          <t>ÖSTERGÖTLANDS LÄN</t>
        </is>
      </c>
      <c r="G277" t="inlineStr">
        <is>
          <t>FINSPÅNG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46304</v>
      </c>
      <c r="F278" t="inlineStr">
        <is>
          <t>ÖSTERGÖTLANDS LÄN</t>
        </is>
      </c>
      <c r="G278" t="inlineStr">
        <is>
          <t>FINSPÅNG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46304</v>
      </c>
      <c r="F279" t="inlineStr">
        <is>
          <t>ÖSTERGÖTLANDS LÄN</t>
        </is>
      </c>
      <c r="G279" t="inlineStr">
        <is>
          <t>FINSPÅNG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45853</v>
      </c>
      <c r="E280" s="1" t="n">
        <v>46304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46304</v>
      </c>
      <c r="F281" t="inlineStr">
        <is>
          <t>ÖSTERGÖTLANDS LÄN</t>
        </is>
      </c>
      <c r="G281" t="inlineStr">
        <is>
          <t>FINSPÅNG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45002</v>
      </c>
      <c r="E282" s="1" t="n">
        <v>46304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45523</v>
      </c>
      <c r="E283" s="1" t="n">
        <v>46304</v>
      </c>
      <c r="F283" t="inlineStr">
        <is>
          <t>ÖSTERGÖTLANDS LÄN</t>
        </is>
      </c>
      <c r="G283" t="inlineStr">
        <is>
          <t>FINSPÅNG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62421-2021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44503</v>
      </c>
      <c r="E284" s="1" t="n">
        <v>46304</v>
      </c>
      <c r="F284" t="inlineStr">
        <is>
          <t>ÖSTERGÖTLANDS LÄN</t>
        </is>
      </c>
      <c r="G284" t="inlineStr">
        <is>
          <t>FINSPÅNG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32973-2023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45125</v>
      </c>
      <c r="E285" s="1" t="n">
        <v>46304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Övriga Aktiebolag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45621</v>
      </c>
      <c r="E286" s="1" t="n">
        <v>46304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45421</v>
      </c>
      <c r="E287" s="1" t="n">
        <v>46304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46304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46304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59799-2023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46304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45206</v>
      </c>
      <c r="E291" s="1" t="n">
        <v>46304</v>
      </c>
      <c r="F291" t="inlineStr">
        <is>
          <t>ÖSTERGÖTLANDS LÄN</t>
        </is>
      </c>
      <c r="G291" t="inlineStr">
        <is>
          <t>FINSPÅNG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46304</v>
      </c>
      <c r="F292" t="inlineStr">
        <is>
          <t>ÖSTERGÖTLANDS LÄN</t>
        </is>
      </c>
      <c r="G292" t="inlineStr">
        <is>
          <t>FINSPÅNG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45020</v>
      </c>
      <c r="E293" s="1" t="n">
        <v>46304</v>
      </c>
      <c r="F293" t="inlineStr">
        <is>
          <t>ÖSTERGÖTLANDS LÄN</t>
        </is>
      </c>
      <c r="G293" t="inlineStr">
        <is>
          <t>FINSPÅNG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45891</v>
      </c>
      <c r="E294" s="1" t="n">
        <v>46304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45707</v>
      </c>
      <c r="E295" s="1" t="n">
        <v>46304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Allmännings- och besparingsskogar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45243-2022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44840</v>
      </c>
      <c r="E296" s="1" t="n">
        <v>46304</v>
      </c>
      <c r="F296" t="inlineStr">
        <is>
          <t>ÖSTERGÖTLANDS LÄN</t>
        </is>
      </c>
      <c r="G296" t="inlineStr">
        <is>
          <t>FINSPÅNG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46304</v>
      </c>
      <c r="F297" t="inlineStr">
        <is>
          <t>ÖSTERGÖTLANDS LÄN</t>
        </is>
      </c>
      <c r="G297" t="inlineStr">
        <is>
          <t>FINSPÅNG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65742-2021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44516</v>
      </c>
      <c r="E298" s="1" t="n">
        <v>46304</v>
      </c>
      <c r="F298" t="inlineStr">
        <is>
          <t>ÖSTERGÖTLANDS LÄN</t>
        </is>
      </c>
      <c r="G298" t="inlineStr">
        <is>
          <t>FINSPÅNG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46304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7445-2022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46304</v>
      </c>
      <c r="F300" t="inlineStr">
        <is>
          <t>ÖSTERGÖTLANDS LÄN</t>
        </is>
      </c>
      <c r="G300" t="inlineStr">
        <is>
          <t>FINSPÅNG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45463</v>
      </c>
      <c r="E301" s="1" t="n">
        <v>46304</v>
      </c>
      <c r="F301" t="inlineStr">
        <is>
          <t>ÖSTERGÖTLANDS LÄN</t>
        </is>
      </c>
      <c r="G301" t="inlineStr">
        <is>
          <t>FINSPÅNG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46304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46304</v>
      </c>
      <c r="F303" t="inlineStr">
        <is>
          <t>ÖSTERGÖTLANDS LÄN</t>
        </is>
      </c>
      <c r="G303" t="inlineStr">
        <is>
          <t>FINSPÅNG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44993</v>
      </c>
      <c r="E304" s="1" t="n">
        <v>46304</v>
      </c>
      <c r="F304" t="inlineStr">
        <is>
          <t>ÖSTERGÖTLANDS LÄN</t>
        </is>
      </c>
      <c r="G304" t="inlineStr">
        <is>
          <t>FINSPÅNG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39655-2023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45167</v>
      </c>
      <c r="E305" s="1" t="n">
        <v>46304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Kyrkan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30920-2022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44767</v>
      </c>
      <c r="E306" s="1" t="n">
        <v>46304</v>
      </c>
      <c r="F306" t="inlineStr">
        <is>
          <t>ÖSTERGÖTLANDS LÄN</t>
        </is>
      </c>
      <c r="G306" t="inlineStr">
        <is>
          <t>FINSPÅNG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46304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45870</v>
      </c>
      <c r="E308" s="1" t="n">
        <v>46304</v>
      </c>
      <c r="F308" t="inlineStr">
        <is>
          <t>ÖSTERGÖTLANDS LÄN</t>
        </is>
      </c>
      <c r="G308" t="inlineStr">
        <is>
          <t>FINSPÅNG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46304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44930</v>
      </c>
      <c r="E310" s="1" t="n">
        <v>46304</v>
      </c>
      <c r="F310" t="inlineStr">
        <is>
          <t>ÖSTERGÖTLANDS LÄN</t>
        </is>
      </c>
      <c r="G310" t="inlineStr">
        <is>
          <t>FINSPÅNG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46304</v>
      </c>
      <c r="F311" t="inlineStr">
        <is>
          <t>ÖSTERGÖTLANDS LÄN</t>
        </is>
      </c>
      <c r="G311" t="inlineStr">
        <is>
          <t>FINSPÅNG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45898</v>
      </c>
      <c r="E312" s="1" t="n">
        <v>46304</v>
      </c>
      <c r="F312" t="inlineStr">
        <is>
          <t>ÖSTERGÖTLANDS LÄN</t>
        </is>
      </c>
      <c r="G312" t="inlineStr">
        <is>
          <t>FINSPÅNG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15473-2022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44662</v>
      </c>
      <c r="E313" s="1" t="n">
        <v>46304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46304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45463</v>
      </c>
      <c r="E315" s="1" t="n">
        <v>46304</v>
      </c>
      <c r="F315" t="inlineStr">
        <is>
          <t>ÖSTERGÖTLANDS LÄN</t>
        </is>
      </c>
      <c r="G315" t="inlineStr">
        <is>
          <t>FINSPÅNG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46304</v>
      </c>
      <c r="F316" t="inlineStr">
        <is>
          <t>ÖSTERGÖTLANDS LÄN</t>
        </is>
      </c>
      <c r="G316" t="inlineStr">
        <is>
          <t>FINSPÅNG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44732</v>
      </c>
      <c r="E317" s="1" t="n">
        <v>46304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46304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46304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50670-2024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45601</v>
      </c>
      <c r="E320" s="1" t="n">
        <v>46304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44914</v>
      </c>
      <c r="E321" s="1" t="n">
        <v>46304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46304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Naturvårdsverket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46304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70505-2021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46304</v>
      </c>
      <c r="F324" t="inlineStr">
        <is>
          <t>ÖSTERGÖTLANDS LÄN</t>
        </is>
      </c>
      <c r="G324" t="inlineStr">
        <is>
          <t>FINSPÅNG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46304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45903</v>
      </c>
      <c r="E326" s="1" t="n">
        <v>46304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46304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26087-2022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46304</v>
      </c>
      <c r="F328" t="inlineStr">
        <is>
          <t>ÖSTERGÖTLANDS LÄN</t>
        </is>
      </c>
      <c r="G328" t="inlineStr">
        <is>
          <t>FINSPÅNG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46304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46304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45883</v>
      </c>
      <c r="E331" s="1" t="n">
        <v>46304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46304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45442</v>
      </c>
      <c r="E333" s="1" t="n">
        <v>46304</v>
      </c>
      <c r="F333" t="inlineStr">
        <is>
          <t>ÖSTERGÖTLANDS LÄN</t>
        </is>
      </c>
      <c r="G333" t="inlineStr">
        <is>
          <t>FINSPÅNG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46304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45904</v>
      </c>
      <c r="E335" s="1" t="n">
        <v>46304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46304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45904</v>
      </c>
      <c r="E337" s="1" t="n">
        <v>46304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56246-2022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44887</v>
      </c>
      <c r="E338" s="1" t="n">
        <v>46304</v>
      </c>
      <c r="F338" t="inlineStr">
        <is>
          <t>ÖSTERGÖTLANDS LÄN</t>
        </is>
      </c>
      <c r="G338" t="inlineStr">
        <is>
          <t>FINSPÅNG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46304</v>
      </c>
      <c r="F339" t="inlineStr">
        <is>
          <t>ÖSTERGÖTLANDS LÄN</t>
        </is>
      </c>
      <c r="G339" t="inlineStr">
        <is>
          <t>FINSPÅNG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45615</v>
      </c>
      <c r="E340" s="1" t="n">
        <v>46304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13768-2026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46304</v>
      </c>
      <c r="F341" t="inlineStr">
        <is>
          <t>ÖSTERGÖTLANDS LÄN</t>
        </is>
      </c>
      <c r="G341" t="inlineStr">
        <is>
          <t>FINSPÅNG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8937-2022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44614</v>
      </c>
      <c r="E342" s="1" t="n">
        <v>46304</v>
      </c>
      <c r="F342" t="inlineStr">
        <is>
          <t>ÖSTERGÖTLANDS LÄN</t>
        </is>
      </c>
      <c r="G342" t="inlineStr">
        <is>
          <t>FINSPÅNG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45468</v>
      </c>
      <c r="E343" s="1" t="n">
        <v>46304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44833</v>
      </c>
      <c r="E345" s="1" t="n">
        <v>46304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Övriga Aktiebolag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73260-2021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44550</v>
      </c>
      <c r="E346" s="1" t="n">
        <v>46304</v>
      </c>
      <c r="F346" t="inlineStr">
        <is>
          <t>ÖSTERGÖTLANDS LÄN</t>
        </is>
      </c>
      <c r="G346" t="inlineStr">
        <is>
          <t>FINSPÅNG</t>
        </is>
      </c>
      <c r="I346" t="n">
        <v>10.3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46304</v>
      </c>
      <c r="F347" t="inlineStr">
        <is>
          <t>ÖSTERGÖTLANDS LÄN</t>
        </is>
      </c>
      <c r="G347" t="inlineStr">
        <is>
          <t>FINSPÅNG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14117-2026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46304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Sveaskog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46304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46304</v>
      </c>
      <c r="F350" t="inlineStr">
        <is>
          <t>ÖSTERGÖTLANDS LÄN</t>
        </is>
      </c>
      <c r="G350" t="inlineStr">
        <is>
          <t>FINSPÅNG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46304</v>
      </c>
      <c r="F351" t="inlineStr">
        <is>
          <t>ÖSTERGÖTLANDS LÄN</t>
        </is>
      </c>
      <c r="G351" t="inlineStr">
        <is>
          <t>FINSPÅNG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44865</v>
      </c>
      <c r="E352" s="1" t="n">
        <v>46304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46304</v>
      </c>
      <c r="F353" t="inlineStr">
        <is>
          <t>ÖSTERGÖTLANDS LÄN</t>
        </is>
      </c>
      <c r="G353" t="inlineStr">
        <is>
          <t>FINSPÅNG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31801-2023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45118</v>
      </c>
      <c r="E354" s="1" t="n">
        <v>46304</v>
      </c>
      <c r="F354" t="inlineStr">
        <is>
          <t>ÖSTERGÖTLANDS LÄN</t>
        </is>
      </c>
      <c r="G354" t="inlineStr">
        <is>
          <t>FINSPÅNG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46304</v>
      </c>
      <c r="F355" t="inlineStr">
        <is>
          <t>ÖSTERGÖTLANDS LÄN</t>
        </is>
      </c>
      <c r="G355" t="inlineStr">
        <is>
          <t>FINSPÅNG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46304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Övriga Aktiebolag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25877-2024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45467</v>
      </c>
      <c r="E357" s="1" t="n">
        <v>46304</v>
      </c>
      <c r="F357" t="inlineStr">
        <is>
          <t>ÖSTERGÖTLANDS LÄN</t>
        </is>
      </c>
      <c r="G357" t="inlineStr">
        <is>
          <t>FINSPÅNG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15490-2026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46304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26247-2022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44735</v>
      </c>
      <c r="E359" s="1" t="n">
        <v>46304</v>
      </c>
      <c r="F359" t="inlineStr">
        <is>
          <t>ÖSTERGÖTLANDS LÄN</t>
        </is>
      </c>
      <c r="G359" t="inlineStr">
        <is>
          <t>FINSPÅNG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46304</v>
      </c>
      <c r="F360" t="inlineStr">
        <is>
          <t>ÖSTERGÖTLANDS LÄN</t>
        </is>
      </c>
      <c r="G360" t="inlineStr">
        <is>
          <t>FINSPÅNG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47567-2025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45931</v>
      </c>
      <c r="E361" s="1" t="n">
        <v>46304</v>
      </c>
      <c r="F361" t="inlineStr">
        <is>
          <t>ÖSTERGÖTLANDS LÄN</t>
        </is>
      </c>
      <c r="G361" t="inlineStr">
        <is>
          <t>FINSPÅNG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45229</v>
      </c>
      <c r="E362" s="1" t="n">
        <v>46304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46304</v>
      </c>
      <c r="F363" t="inlineStr">
        <is>
          <t>ÖSTERGÖTLANDS LÄN</t>
        </is>
      </c>
      <c r="G363" t="inlineStr">
        <is>
          <t>FINSPÅNG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46304</v>
      </c>
      <c r="F364" t="inlineStr">
        <is>
          <t>ÖSTERGÖTLANDS LÄN</t>
        </is>
      </c>
      <c r="G364" t="inlineStr">
        <is>
          <t>FINSPÅNG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46304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46304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45299</v>
      </c>
      <c r="E367" s="1" t="n">
        <v>46304</v>
      </c>
      <c r="F367" t="inlineStr">
        <is>
          <t>ÖSTERGÖTLANDS LÄN</t>
        </is>
      </c>
      <c r="G367" t="inlineStr">
        <is>
          <t>FINSPÅNG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46304</v>
      </c>
      <c r="F368" t="inlineStr">
        <is>
          <t>ÖSTERGÖTLANDS LÄN</t>
        </is>
      </c>
      <c r="G368" t="inlineStr">
        <is>
          <t>FINSPÅNG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46304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48455-2025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45935</v>
      </c>
      <c r="E370" s="1" t="n">
        <v>46304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45379</v>
      </c>
      <c r="E371" s="1" t="n">
        <v>46304</v>
      </c>
      <c r="F371" t="inlineStr">
        <is>
          <t>ÖSTERGÖTLANDS LÄN</t>
        </is>
      </c>
      <c r="G371" t="inlineStr">
        <is>
          <t>FINSPÅNG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44571-2022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44840</v>
      </c>
      <c r="E372" s="1" t="n">
        <v>46304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46304</v>
      </c>
      <c r="F373" t="inlineStr">
        <is>
          <t>ÖSTERGÖTLANDS LÄN</t>
        </is>
      </c>
      <c r="G373" t="inlineStr">
        <is>
          <t>FINSPÅNG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46304</v>
      </c>
      <c r="F374" t="inlineStr">
        <is>
          <t>ÖSTERGÖTLANDS LÄN</t>
        </is>
      </c>
      <c r="G374" t="inlineStr">
        <is>
          <t>FINSPÅNG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45617</v>
      </c>
      <c r="E375" s="1" t="n">
        <v>46304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45944</v>
      </c>
      <c r="E376" s="1" t="n">
        <v>46304</v>
      </c>
      <c r="F376" t="inlineStr">
        <is>
          <t>ÖSTERGÖTLANDS LÄN</t>
        </is>
      </c>
      <c r="G376" t="inlineStr">
        <is>
          <t>FINSPÅNG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24192-2022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44725</v>
      </c>
      <c r="E377" s="1" t="n">
        <v>46304</v>
      </c>
      <c r="F377" t="inlineStr">
        <is>
          <t>ÖSTERGÖTLANDS LÄN</t>
        </is>
      </c>
      <c r="G377" t="inlineStr">
        <is>
          <t>FINSPÅNG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46304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45055</v>
      </c>
      <c r="E379" s="1" t="n">
        <v>46304</v>
      </c>
      <c r="F379" t="inlineStr">
        <is>
          <t>ÖSTERGÖTLANDS LÄN</t>
        </is>
      </c>
      <c r="G379" t="inlineStr">
        <is>
          <t>FINSPÅNG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46304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45688</v>
      </c>
      <c r="E381" s="1" t="n">
        <v>46304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46304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46304</v>
      </c>
      <c r="F383" t="inlineStr">
        <is>
          <t>ÖSTERGÖTLANDS LÄN</t>
        </is>
      </c>
      <c r="G383" t="inlineStr">
        <is>
          <t>FINSPÅNG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46304</v>
      </c>
      <c r="F384" t="inlineStr">
        <is>
          <t>ÖSTERGÖTLANDS LÄN</t>
        </is>
      </c>
      <c r="G384" t="inlineStr">
        <is>
          <t>FINSPÅNG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45133</v>
      </c>
      <c r="E385" s="1" t="n">
        <v>46304</v>
      </c>
      <c r="F385" t="inlineStr">
        <is>
          <t>ÖSTERGÖTLANDS LÄN</t>
        </is>
      </c>
      <c r="G385" t="inlineStr">
        <is>
          <t>FINSPÅNG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44903</v>
      </c>
      <c r="E386" s="1" t="n">
        <v>46304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46304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39114-2024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45548</v>
      </c>
      <c r="E388" s="1" t="n">
        <v>46304</v>
      </c>
      <c r="F388" t="inlineStr">
        <is>
          <t>ÖSTERGÖTLANDS LÄN</t>
        </is>
      </c>
      <c r="G388" t="inlineStr">
        <is>
          <t>FINSPÅNG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46304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46304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46114</v>
      </c>
      <c r="E391" s="1" t="n">
        <v>46304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46304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7269-2024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45344</v>
      </c>
      <c r="E393" s="1" t="n">
        <v>46304</v>
      </c>
      <c r="F393" t="inlineStr">
        <is>
          <t>ÖSTERGÖTLANDS LÄN</t>
        </is>
      </c>
      <c r="G393" t="inlineStr">
        <is>
          <t>FINSPÅNG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9809-2024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45362</v>
      </c>
      <c r="E394" s="1" t="n">
        <v>46304</v>
      </c>
      <c r="F394" t="inlineStr">
        <is>
          <t>ÖSTERGÖTLANDS LÄN</t>
        </is>
      </c>
      <c r="G394" t="inlineStr">
        <is>
          <t>FINSPÅNG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46114</v>
      </c>
      <c r="E395" s="1" t="n">
        <v>46304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16902-2026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46304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11730-2022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44634</v>
      </c>
      <c r="E397" s="1" t="n">
        <v>46304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46304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48790-2023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46304</v>
      </c>
      <c r="F399" t="inlineStr">
        <is>
          <t>ÖSTERGÖTLANDS LÄN</t>
        </is>
      </c>
      <c r="G399" t="inlineStr">
        <is>
          <t>FINSPÅNG</t>
        </is>
      </c>
      <c r="I399" t="n">
        <v>14.6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48793-2023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45209</v>
      </c>
      <c r="E400" s="1" t="n">
        <v>46304</v>
      </c>
      <c r="F400" t="inlineStr">
        <is>
          <t>ÖSTERGÖTLANDS LÄN</t>
        </is>
      </c>
      <c r="G400" t="inlineStr">
        <is>
          <t>FINSPÅNG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45955</v>
      </c>
      <c r="E401" s="1" t="n">
        <v>46304</v>
      </c>
      <c r="F401" t="inlineStr">
        <is>
          <t>ÖSTERGÖTLANDS LÄN</t>
        </is>
      </c>
      <c r="G401" t="inlineStr">
        <is>
          <t>FINSPÅNG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45566</v>
      </c>
      <c r="E402" s="1" t="n">
        <v>46304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46304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44664</v>
      </c>
      <c r="E404" s="1" t="n">
        <v>46304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46304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Sveaskog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46304</v>
      </c>
      <c r="F406" t="inlineStr">
        <is>
          <t>ÖSTERGÖTLANDS LÄN</t>
        </is>
      </c>
      <c r="G406" t="inlineStr">
        <is>
          <t>FINSPÅNG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44946</v>
      </c>
      <c r="E407" s="1" t="n">
        <v>46304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3107-2023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44946</v>
      </c>
      <c r="E408" s="1" t="n">
        <v>46304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44944</v>
      </c>
      <c r="E409" s="1" t="n">
        <v>46304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18086-2026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46125</v>
      </c>
      <c r="E410" s="1" t="n">
        <v>46304</v>
      </c>
      <c r="F410" t="inlineStr">
        <is>
          <t>ÖSTERGÖTLANDS LÄN</t>
        </is>
      </c>
      <c r="G410" t="inlineStr">
        <is>
          <t>FINSPÅNG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45009</v>
      </c>
      <c r="E411" s="1" t="n">
        <v>46304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58011-2023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45247</v>
      </c>
      <c r="E412" s="1" t="n">
        <v>46304</v>
      </c>
      <c r="F412" t="inlineStr">
        <is>
          <t>ÖSTERGÖTLANDS LÄN</t>
        </is>
      </c>
      <c r="G412" t="inlineStr">
        <is>
          <t>FINSPÅNG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45095</v>
      </c>
      <c r="E413" s="1" t="n">
        <v>46304</v>
      </c>
      <c r="F413" t="inlineStr">
        <is>
          <t>ÖSTERGÖTLANDS LÄN</t>
        </is>
      </c>
      <c r="G413" t="inlineStr">
        <is>
          <t>FINSPÅNG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45969</v>
      </c>
      <c r="E414" s="1" t="n">
        <v>46304</v>
      </c>
      <c r="F414" t="inlineStr">
        <is>
          <t>ÖSTERGÖTLANDS LÄN</t>
        </is>
      </c>
      <c r="G414" t="inlineStr">
        <is>
          <t>FINSPÅNG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45523</v>
      </c>
      <c r="E415" s="1" t="n">
        <v>46304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46304</v>
      </c>
      <c r="F416" t="inlineStr">
        <is>
          <t>ÖSTERGÖTLANDS LÄN</t>
        </is>
      </c>
      <c r="G416" t="inlineStr">
        <is>
          <t>FINSPÅNG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44767</v>
      </c>
      <c r="E417" s="1" t="n">
        <v>46304</v>
      </c>
      <c r="F417" t="inlineStr">
        <is>
          <t>ÖSTERGÖTLANDS LÄN</t>
        </is>
      </c>
      <c r="G417" t="inlineStr">
        <is>
          <t>FINSPÅNG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44964</v>
      </c>
      <c r="E418" s="1" t="n">
        <v>46304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44759</v>
      </c>
      <c r="E419" s="1" t="n">
        <v>46304</v>
      </c>
      <c r="F419" t="inlineStr">
        <is>
          <t>ÖSTERGÖTLANDS LÄN</t>
        </is>
      </c>
      <c r="G419" t="inlineStr">
        <is>
          <t>FINSPÅNG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46129</v>
      </c>
      <c r="E420" s="1" t="n">
        <v>46304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60169-2023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45258</v>
      </c>
      <c r="E421" s="1" t="n">
        <v>46304</v>
      </c>
      <c r="F421" t="inlineStr">
        <is>
          <t>ÖSTERGÖTLANDS LÄN</t>
        </is>
      </c>
      <c r="G421" t="inlineStr">
        <is>
          <t>FINSPÅNG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9554-2022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44617</v>
      </c>
      <c r="E422" s="1" t="n">
        <v>46304</v>
      </c>
      <c r="F422" t="inlineStr">
        <is>
          <t>ÖSTERGÖTLANDS LÄN</t>
        </is>
      </c>
      <c r="G422" t="inlineStr">
        <is>
          <t>FINSPÅNG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18725-2026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46128</v>
      </c>
      <c r="E423" s="1" t="n">
        <v>46304</v>
      </c>
      <c r="F423" t="inlineStr">
        <is>
          <t>ÖSTERGÖTLANDS LÄN</t>
        </is>
      </c>
      <c r="G423" t="inlineStr">
        <is>
          <t>FINSPÅNG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18445-2023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45042</v>
      </c>
      <c r="E424" s="1" t="n">
        <v>46304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44937</v>
      </c>
      <c r="E425" s="1" t="n">
        <v>46304</v>
      </c>
      <c r="F425" t="inlineStr">
        <is>
          <t>ÖSTERGÖTLANDS LÄN</t>
        </is>
      </c>
      <c r="G425" t="inlineStr">
        <is>
          <t>FINSPÅNG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46304</v>
      </c>
      <c r="F426" t="inlineStr">
        <is>
          <t>ÖSTERGÖTLANDS LÄN</t>
        </is>
      </c>
      <c r="G426" t="inlineStr">
        <is>
          <t>FINSPÅNG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46304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44993</v>
      </c>
      <c r="E428" s="1" t="n">
        <v>46304</v>
      </c>
      <c r="F428" t="inlineStr">
        <is>
          <t>ÖSTERGÖTLANDS LÄN</t>
        </is>
      </c>
      <c r="G428" t="inlineStr">
        <is>
          <t>FINSPÅNG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45095</v>
      </c>
      <c r="E429" s="1" t="n">
        <v>46304</v>
      </c>
      <c r="F429" t="inlineStr">
        <is>
          <t>ÖSTERGÖTLANDS LÄN</t>
        </is>
      </c>
      <c r="G429" t="inlineStr">
        <is>
          <t>FINSPÅNG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45983</v>
      </c>
      <c r="E430" s="1" t="n">
        <v>46304</v>
      </c>
      <c r="F430" t="inlineStr">
        <is>
          <t>ÖSTERGÖTLANDS LÄN</t>
        </is>
      </c>
      <c r="G430" t="inlineStr">
        <is>
          <t>FINSPÅNG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45983</v>
      </c>
      <c r="E431" s="1" t="n">
        <v>46304</v>
      </c>
      <c r="F431" t="inlineStr">
        <is>
          <t>ÖSTERGÖTLANDS LÄN</t>
        </is>
      </c>
      <c r="G431" t="inlineStr">
        <is>
          <t>FINSPÅNG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58189-2025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45983</v>
      </c>
      <c r="E432" s="1" t="n">
        <v>46304</v>
      </c>
      <c r="F432" t="inlineStr">
        <is>
          <t>ÖSTERGÖTLANDS LÄN</t>
        </is>
      </c>
      <c r="G432" t="inlineStr">
        <is>
          <t>FINSPÅNG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58698-2025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46304</v>
      </c>
      <c r="F433" t="inlineStr">
        <is>
          <t>ÖSTERGÖTLANDS LÄN</t>
        </is>
      </c>
      <c r="G433" t="inlineStr">
        <is>
          <t>FINSPÅNG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46304</v>
      </c>
      <c r="F434" t="inlineStr">
        <is>
          <t>ÖSTERGÖTLANDS LÄN</t>
        </is>
      </c>
      <c r="G434" t="inlineStr">
        <is>
          <t>FINSPÅNG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44564</v>
      </c>
      <c r="E435" s="1" t="n">
        <v>46304</v>
      </c>
      <c r="F435" t="inlineStr">
        <is>
          <t>ÖSTERGÖTLANDS LÄN</t>
        </is>
      </c>
      <c r="G435" t="inlineStr">
        <is>
          <t>FINSPÅNG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46304</v>
      </c>
      <c r="F436" t="inlineStr">
        <is>
          <t>ÖSTERGÖTLANDS LÄN</t>
        </is>
      </c>
      <c r="G436" t="inlineStr">
        <is>
          <t>FINSPÅNG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52007-2024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45607</v>
      </c>
      <c r="E437" s="1" t="n">
        <v>46304</v>
      </c>
      <c r="F437" t="inlineStr">
        <is>
          <t>ÖSTERGÖTLANDS LÄN</t>
        </is>
      </c>
      <c r="G437" t="inlineStr">
        <is>
          <t>FINSPÅNG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46304</v>
      </c>
      <c r="F438" t="inlineStr">
        <is>
          <t>ÖSTERGÖTLANDS LÄN</t>
        </is>
      </c>
      <c r="G438" t="inlineStr">
        <is>
          <t>FINSPÅNG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52557-2024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45609</v>
      </c>
      <c r="E439" s="1" t="n">
        <v>46304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45665</v>
      </c>
      <c r="E440" s="1" t="n">
        <v>46304</v>
      </c>
      <c r="F440" t="inlineStr">
        <is>
          <t>ÖSTERGÖTLANDS LÄN</t>
        </is>
      </c>
      <c r="G440" t="inlineStr">
        <is>
          <t>FINSPÅNG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46304</v>
      </c>
      <c r="F441" t="inlineStr">
        <is>
          <t>ÖSTERGÖTLANDS LÄN</t>
        </is>
      </c>
      <c r="G441" t="inlineStr">
        <is>
          <t>FINSPÅNG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58709-2025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46304</v>
      </c>
      <c r="F442" t="inlineStr">
        <is>
          <t>ÖSTERGÖTLANDS LÄN</t>
        </is>
      </c>
      <c r="G442" t="inlineStr">
        <is>
          <t>FINSPÅNG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44774</v>
      </c>
      <c r="E443" s="1" t="n">
        <v>46304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46304</v>
      </c>
      <c r="F444" t="inlineStr">
        <is>
          <t>ÖSTERGÖTLANDS LÄN</t>
        </is>
      </c>
      <c r="G444" t="inlineStr">
        <is>
          <t>FINSPÅNG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46304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Naturvårdsverket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45013</v>
      </c>
      <c r="E446" s="1" t="n">
        <v>46304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46134</v>
      </c>
      <c r="E447" s="1" t="n">
        <v>46304</v>
      </c>
      <c r="F447" t="inlineStr">
        <is>
          <t>ÖSTERGÖTLANDS LÄN</t>
        </is>
      </c>
      <c r="G447" t="inlineStr">
        <is>
          <t>FINSPÅNG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45086</v>
      </c>
      <c r="E448" s="1" t="n">
        <v>46304</v>
      </c>
      <c r="F448" t="inlineStr">
        <is>
          <t>ÖSTERGÖTLANDS LÄN</t>
        </is>
      </c>
      <c r="G448" t="inlineStr">
        <is>
          <t>FINSPÅNG</t>
        </is>
      </c>
      <c r="I448" t="n">
        <v>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45688</v>
      </c>
      <c r="E449" s="1" t="n">
        <v>46304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46304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21722-2025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45783</v>
      </c>
      <c r="E451" s="1" t="n">
        <v>46304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45428</v>
      </c>
      <c r="E452" s="1" t="n">
        <v>46304</v>
      </c>
      <c r="F452" t="inlineStr">
        <is>
          <t>ÖSTERGÖTLANDS LÄN</t>
        </is>
      </c>
      <c r="G452" t="inlineStr">
        <is>
          <t>FINSPÅNG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45744</v>
      </c>
      <c r="E453" s="1" t="n">
        <v>46304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10083-2025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45719</v>
      </c>
      <c r="E454" s="1" t="n">
        <v>46304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23724-2023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45077</v>
      </c>
      <c r="E455" s="1" t="n">
        <v>46304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45002</v>
      </c>
      <c r="E456" s="1" t="n">
        <v>46304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Kyrkan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45068</v>
      </c>
      <c r="E457" s="1" t="n">
        <v>46304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44867</v>
      </c>
      <c r="E458" s="1" t="n">
        <v>46304</v>
      </c>
      <c r="F458" t="inlineStr">
        <is>
          <t>ÖSTERGÖTLANDS LÄN</t>
        </is>
      </c>
      <c r="G458" t="inlineStr">
        <is>
          <t>FINSPÅNG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46000</v>
      </c>
      <c r="E459" s="1" t="n">
        <v>46304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54923-2022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44886</v>
      </c>
      <c r="E460" s="1" t="n">
        <v>46304</v>
      </c>
      <c r="F460" t="inlineStr">
        <is>
          <t>ÖSTERGÖTLANDS LÄN</t>
        </is>
      </c>
      <c r="G460" t="inlineStr">
        <is>
          <t>FINSPÅNG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46304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46304</v>
      </c>
      <c r="F462" t="inlineStr">
        <is>
          <t>ÖSTERGÖTLANDS LÄN</t>
        </is>
      </c>
      <c r="G462" t="inlineStr">
        <is>
          <t>FINSPÅNG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62235-2025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46304</v>
      </c>
      <c r="F463" t="inlineStr">
        <is>
          <t>ÖSTERGÖTLANDS LÄN</t>
        </is>
      </c>
      <c r="G463" t="inlineStr">
        <is>
          <t>FINSPÅNG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61683-2025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46002</v>
      </c>
      <c r="E464" s="1" t="n">
        <v>46304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46002</v>
      </c>
      <c r="E465" s="1" t="n">
        <v>46304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45728</v>
      </c>
      <c r="E466" s="1" t="n">
        <v>46304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46304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Övriga Aktiebolag</t>
        </is>
      </c>
      <c r="I467" t="n">
        <v>13.6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61712-2025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46002</v>
      </c>
      <c r="E468" s="1" t="n">
        <v>46304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62242-2025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46304</v>
      </c>
      <c r="F469" t="inlineStr">
        <is>
          <t>ÖSTERGÖTLANDS LÄN</t>
        </is>
      </c>
      <c r="G469" t="inlineStr">
        <is>
          <t>FINSPÅNG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46304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46304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46304</v>
      </c>
      <c r="F472" t="inlineStr">
        <is>
          <t>ÖSTERGÖTLANDS LÄN</t>
        </is>
      </c>
      <c r="G472" t="inlineStr">
        <is>
          <t>FINSPÅNG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52730-2023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45225</v>
      </c>
      <c r="E473" s="1" t="n">
        <v>46304</v>
      </c>
      <c r="F473" t="inlineStr">
        <is>
          <t>ÖSTERGÖTLANDS LÄN</t>
        </is>
      </c>
      <c r="G473" t="inlineStr">
        <is>
          <t>FINSPÅNG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32789-2024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45516</v>
      </c>
      <c r="E474" s="1" t="n">
        <v>46304</v>
      </c>
      <c r="F474" t="inlineStr">
        <is>
          <t>ÖSTERGÖTLANDS LÄN</t>
        </is>
      </c>
      <c r="G474" t="inlineStr">
        <is>
          <t>FINSPÅNG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46304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44987</v>
      </c>
      <c r="E476" s="1" t="n">
        <v>46304</v>
      </c>
      <c r="F476" t="inlineStr">
        <is>
          <t>ÖSTERGÖTLANDS LÄN</t>
        </is>
      </c>
      <c r="G476" t="inlineStr">
        <is>
          <t>FINSPÅNG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46304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46304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45700</v>
      </c>
      <c r="E479" s="1" t="n">
        <v>46304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45177</v>
      </c>
      <c r="E480" s="1" t="n">
        <v>46304</v>
      </c>
      <c r="F480" t="inlineStr">
        <is>
          <t>ÖSTERGÖTLANDS LÄN</t>
        </is>
      </c>
      <c r="G480" t="inlineStr">
        <is>
          <t>FINSPÅNG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44995</v>
      </c>
      <c r="E481" s="1" t="n">
        <v>46304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46304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46304</v>
      </c>
      <c r="F483" t="inlineStr">
        <is>
          <t>ÖSTERGÖTLANDS LÄN</t>
        </is>
      </c>
      <c r="G483" t="inlineStr">
        <is>
          <t>FINSPÅNG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44966</v>
      </c>
      <c r="E484" s="1" t="n">
        <v>46304</v>
      </c>
      <c r="F484" t="inlineStr">
        <is>
          <t>ÖSTERGÖTLANDS LÄN</t>
        </is>
      </c>
      <c r="G484" t="inlineStr">
        <is>
          <t>FINSPÅNG</t>
        </is>
      </c>
      <c r="I484" t="n">
        <v>8.5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45853</v>
      </c>
      <c r="E485" s="1" t="n">
        <v>46304</v>
      </c>
      <c r="F485" t="inlineStr">
        <is>
          <t>ÖSTERGÖTLANDS LÄN</t>
        </is>
      </c>
      <c r="G485" t="inlineStr">
        <is>
          <t>FINSPÅNG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46304</v>
      </c>
      <c r="F486" t="inlineStr">
        <is>
          <t>ÖSTERGÖTLANDS LÄN</t>
        </is>
      </c>
      <c r="G486" t="inlineStr">
        <is>
          <t>FINSPÅNG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45040</v>
      </c>
      <c r="E487" s="1" t="n">
        <v>46304</v>
      </c>
      <c r="F487" t="inlineStr">
        <is>
          <t>ÖSTERGÖTLANDS LÄN</t>
        </is>
      </c>
      <c r="G487" t="inlineStr">
        <is>
          <t>FINSPÅNG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46304</v>
      </c>
      <c r="F488" t="inlineStr">
        <is>
          <t>ÖSTERGÖTLANDS LÄN</t>
        </is>
      </c>
      <c r="G488" t="inlineStr">
        <is>
          <t>FINSPÅNG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46304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46304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46304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46031</v>
      </c>
      <c r="E492" s="1" t="n">
        <v>46304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Kyrkan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53246-2022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44876</v>
      </c>
      <c r="E493" s="1" t="n">
        <v>46304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42202-2023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45179</v>
      </c>
      <c r="E494" s="1" t="n">
        <v>46304</v>
      </c>
      <c r="F494" t="inlineStr">
        <is>
          <t>ÖSTERGÖTLANDS LÄN</t>
        </is>
      </c>
      <c r="G494" t="inlineStr">
        <is>
          <t>FINSPÅNG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45179</v>
      </c>
      <c r="E495" s="1" t="n">
        <v>46304</v>
      </c>
      <c r="F495" t="inlineStr">
        <is>
          <t>ÖSTERGÖTLANDS LÄN</t>
        </is>
      </c>
      <c r="G495" t="inlineStr">
        <is>
          <t>FINSPÅNG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8403-2025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45709</v>
      </c>
      <c r="E496" s="1" t="n">
        <v>46304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46304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46304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45309</v>
      </c>
      <c r="E499" s="1" t="n">
        <v>46304</v>
      </c>
      <c r="F499" t="inlineStr">
        <is>
          <t>ÖSTERGÖTLANDS LÄN</t>
        </is>
      </c>
      <c r="G499" t="inlineStr">
        <is>
          <t>FINSPÅNG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2164-2024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45309</v>
      </c>
      <c r="E500" s="1" t="n">
        <v>46304</v>
      </c>
      <c r="F500" t="inlineStr">
        <is>
          <t>ÖSTERGÖTLANDS LÄN</t>
        </is>
      </c>
      <c r="G500" t="inlineStr">
        <is>
          <t>FINSPÅNG</t>
        </is>
      </c>
      <c r="I500" t="n">
        <v>15.1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46304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46304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45853</v>
      </c>
      <c r="E503" s="1" t="n">
        <v>46304</v>
      </c>
      <c r="F503" t="inlineStr">
        <is>
          <t>ÖSTERGÖTLANDS LÄN</t>
        </is>
      </c>
      <c r="G503" t="inlineStr">
        <is>
          <t>FINSPÅNG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46304</v>
      </c>
      <c r="F504" t="inlineStr">
        <is>
          <t>ÖSTERGÖTLANDS LÄN</t>
        </is>
      </c>
      <c r="G504" t="inlineStr">
        <is>
          <t>FINSPÅNG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46304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46304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45323</v>
      </c>
      <c r="E507" s="1" t="n">
        <v>46304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46040</v>
      </c>
      <c r="E508" s="1" t="n">
        <v>46304</v>
      </c>
      <c r="F508" t="inlineStr">
        <is>
          <t>ÖSTERGÖTLANDS LÄN</t>
        </is>
      </c>
      <c r="G508" t="inlineStr">
        <is>
          <t>FINSPÅNG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45013</v>
      </c>
      <c r="E509" s="1" t="n">
        <v>46304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44981</v>
      </c>
      <c r="E510" s="1" t="n">
        <v>46304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46040</v>
      </c>
      <c r="E511" s="1" t="n">
        <v>46304</v>
      </c>
      <c r="F511" t="inlineStr">
        <is>
          <t>ÖSTERGÖTLANDS LÄN</t>
        </is>
      </c>
      <c r="G511" t="inlineStr">
        <is>
          <t>FINSPÅNG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611-2023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44930</v>
      </c>
      <c r="E512" s="1" t="n">
        <v>46304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46064</v>
      </c>
      <c r="E513" s="1" t="n">
        <v>46304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Sveaskog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46304</v>
      </c>
      <c r="F514" t="inlineStr">
        <is>
          <t>ÖSTERGÖTLANDS LÄN</t>
        </is>
      </c>
      <c r="G514" t="inlineStr">
        <is>
          <t>FINSPÅNG</t>
        </is>
      </c>
      <c r="I514" t="n">
        <v>10.1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45042</v>
      </c>
      <c r="E515" s="1" t="n">
        <v>46304</v>
      </c>
      <c r="F515" t="inlineStr">
        <is>
          <t>ÖSTERGÖTLANDS LÄN</t>
        </is>
      </c>
      <c r="G515" t="inlineStr">
        <is>
          <t>FINSPÅNG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45042</v>
      </c>
      <c r="E516" s="1" t="n">
        <v>46304</v>
      </c>
      <c r="F516" t="inlineStr">
        <is>
          <t>ÖSTERGÖTLANDS LÄN</t>
        </is>
      </c>
      <c r="G516" t="inlineStr">
        <is>
          <t>FINSPÅNG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44939</v>
      </c>
      <c r="E517" s="1" t="n">
        <v>46304</v>
      </c>
      <c r="F517" t="inlineStr">
        <is>
          <t>ÖSTERGÖTLANDS LÄN</t>
        </is>
      </c>
      <c r="G517" t="inlineStr">
        <is>
          <t>FINSPÅNG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52004-2024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45607</v>
      </c>
      <c r="E518" s="1" t="n">
        <v>46304</v>
      </c>
      <c r="F518" t="inlineStr">
        <is>
          <t>ÖSTERGÖTLANDS LÄN</t>
        </is>
      </c>
      <c r="G518" t="inlineStr">
        <is>
          <t>FINSPÅNG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25420-2022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44732</v>
      </c>
      <c r="E519" s="1" t="n">
        <v>46304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45425</v>
      </c>
      <c r="E520" s="1" t="n">
        <v>46304</v>
      </c>
      <c r="F520" t="inlineStr">
        <is>
          <t>ÖSTERGÖTLANDS LÄN</t>
        </is>
      </c>
      <c r="G520" t="inlineStr">
        <is>
          <t>FINSPÅNG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45177</v>
      </c>
      <c r="E521" s="1" t="n">
        <v>46304</v>
      </c>
      <c r="F521" t="inlineStr">
        <is>
          <t>ÖSTERGÖTLANDS LÄN</t>
        </is>
      </c>
      <c r="G521" t="inlineStr">
        <is>
          <t>FINSPÅNG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45302</v>
      </c>
      <c r="E522" s="1" t="n">
        <v>46304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45678</v>
      </c>
      <c r="E523" s="1" t="n">
        <v>46304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46304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46049</v>
      </c>
      <c r="E525" s="1" t="n">
        <v>46304</v>
      </c>
      <c r="F525" t="inlineStr">
        <is>
          <t>ÖSTERGÖTLANDS LÄN</t>
        </is>
      </c>
      <c r="G525" t="inlineStr">
        <is>
          <t>FINSPÅNG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45622</v>
      </c>
      <c r="E526" s="1" t="n">
        <v>46304</v>
      </c>
      <c r="F526" t="inlineStr">
        <is>
          <t>ÖSTERGÖTLANDS LÄN</t>
        </is>
      </c>
      <c r="G526" t="inlineStr">
        <is>
          <t>FINSPÅNG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46304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46304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46304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46304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46304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46304</v>
      </c>
      <c r="F532" t="inlineStr">
        <is>
          <t>ÖSTERGÖTLANDS LÄN</t>
        </is>
      </c>
      <c r="G532" t="inlineStr">
        <is>
          <t>FINSPÅNG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45237</v>
      </c>
      <c r="E533" s="1" t="n">
        <v>46304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Kyrkan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44642</v>
      </c>
      <c r="E534" s="1" t="n">
        <v>46304</v>
      </c>
      <c r="F534" t="inlineStr">
        <is>
          <t>ÖSTERGÖTLANDS LÄN</t>
        </is>
      </c>
      <c r="G534" t="inlineStr">
        <is>
          <t>FINSPÅNG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46304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Övriga Aktiebolag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19609-2025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45770</v>
      </c>
      <c r="E536" s="1" t="n">
        <v>46304</v>
      </c>
      <c r="F536" t="inlineStr">
        <is>
          <t>ÖSTERGÖTLANDS LÄN</t>
        </is>
      </c>
      <c r="G536" t="inlineStr">
        <is>
          <t>FINSPÅNG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46304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45456</v>
      </c>
      <c r="E538" s="1" t="n">
        <v>46304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46304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46304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Övriga Aktiebolag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44749</v>
      </c>
      <c r="E541" s="1" t="n">
        <v>46304</v>
      </c>
      <c r="F541" t="inlineStr">
        <is>
          <t>ÖSTERGÖTLANDS LÄN</t>
        </is>
      </c>
      <c r="G541" t="inlineStr">
        <is>
          <t>FINSPÅNG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24503-2023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45082</v>
      </c>
      <c r="E542" s="1" t="n">
        <v>46304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46304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46060</v>
      </c>
      <c r="E544" s="1" t="n">
        <v>46304</v>
      </c>
      <c r="F544" t="inlineStr">
        <is>
          <t>ÖSTERGÖTLANDS LÄN</t>
        </is>
      </c>
      <c r="G544" t="inlineStr">
        <is>
          <t>FINSPÅNG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39740-2023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45167</v>
      </c>
      <c r="E545" s="1" t="n">
        <v>46304</v>
      </c>
      <c r="F545" t="inlineStr">
        <is>
          <t>ÖSTERGÖTLANDS LÄN</t>
        </is>
      </c>
      <c r="G545" t="inlineStr">
        <is>
          <t>FINSPÅNG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46304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8083-2026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46304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44930</v>
      </c>
      <c r="E548" s="1" t="n">
        <v>46304</v>
      </c>
      <c r="F548" t="inlineStr">
        <is>
          <t>ÖSTERGÖTLANDS LÄN</t>
        </is>
      </c>
      <c r="G548" t="inlineStr">
        <is>
          <t>FINSPÅNG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46304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Sveaskog</t>
        </is>
      </c>
      <c r="I549" t="n">
        <v>10.5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33027-2022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44782</v>
      </c>
      <c r="E550" s="1" t="n">
        <v>46304</v>
      </c>
      <c r="F550" t="inlineStr">
        <is>
          <t>ÖSTERGÖTLANDS LÄN</t>
        </is>
      </c>
      <c r="G550" t="inlineStr">
        <is>
          <t>FINSPÅNG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8529-2026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46304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46304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46304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Sveaskog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46304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46304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Sveaskog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46304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Sveaskog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8238-2026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46304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46304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61447-2024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45646</v>
      </c>
      <c r="E559" s="1" t="n">
        <v>46304</v>
      </c>
      <c r="F559" t="inlineStr">
        <is>
          <t>ÖSTERGÖTLANDS LÄN</t>
        </is>
      </c>
      <c r="G559" t="inlineStr">
        <is>
          <t>FINSPÅNG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42779-2023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45181</v>
      </c>
      <c r="E560" s="1" t="n">
        <v>46304</v>
      </c>
      <c r="F560" t="inlineStr">
        <is>
          <t>ÖSTERGÖTLANDS LÄN</t>
        </is>
      </c>
      <c r="G560" t="inlineStr">
        <is>
          <t>FINSPÅNG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52731-2023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46304</v>
      </c>
      <c r="F561" t="inlineStr">
        <is>
          <t>ÖSTERGÖTLANDS LÄN</t>
        </is>
      </c>
      <c r="G561" t="inlineStr">
        <is>
          <t>FINSPÅNG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29630-2022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44754</v>
      </c>
      <c r="E562" s="1" t="n">
        <v>46304</v>
      </c>
      <c r="F562" t="inlineStr">
        <is>
          <t>ÖSTERGÖTLANDS LÄN</t>
        </is>
      </c>
      <c r="G562" t="inlineStr">
        <is>
          <t>FINSPÅNG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9206-2026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46304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46304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18261-2024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45421</v>
      </c>
      <c r="E565" s="1" t="n">
        <v>46304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46073</v>
      </c>
      <c r="E566" s="1" t="n">
        <v>46304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46304</v>
      </c>
      <c r="F567" t="inlineStr">
        <is>
          <t>ÖSTERGÖTLANDS LÄN</t>
        </is>
      </c>
      <c r="G567" t="inlineStr">
        <is>
          <t>FINSPÅNG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35346-2024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45530</v>
      </c>
      <c r="E568" s="1" t="n">
        <v>46304</v>
      </c>
      <c r="F568" t="inlineStr">
        <is>
          <t>ÖSTERGÖTLANDS LÄN</t>
        </is>
      </c>
      <c r="G568" t="inlineStr">
        <is>
          <t>FINSPÅNG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46304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46304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10872-2026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46078</v>
      </c>
      <c r="E571" s="1" t="n">
        <v>46304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11211-2026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46080</v>
      </c>
      <c r="E572" s="1" t="n">
        <v>46304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11244-2026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46304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46079</v>
      </c>
      <c r="E574" s="1" t="n">
        <v>46304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10184-2023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44986</v>
      </c>
      <c r="E575" s="1" t="n">
        <v>46304</v>
      </c>
      <c r="F575" t="inlineStr">
        <is>
          <t>ÖSTERGÖTLANDS LÄN</t>
        </is>
      </c>
      <c r="G575" t="inlineStr">
        <is>
          <t>FINSPÅNG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46080</v>
      </c>
      <c r="E576" s="1" t="n">
        <v>46304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46304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31176-2022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44770</v>
      </c>
      <c r="E578" s="1" t="n">
        <v>46304</v>
      </c>
      <c r="F578" t="inlineStr">
        <is>
          <t>ÖSTERGÖTLANDS LÄN</t>
        </is>
      </c>
      <c r="G578" t="inlineStr">
        <is>
          <t>FINSPÅNG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42785-2024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46304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46141</v>
      </c>
      <c r="E580" s="1" t="n">
        <v>46304</v>
      </c>
      <c r="F580" t="inlineStr">
        <is>
          <t>ÖSTERGÖTLANDS LÄN</t>
        </is>
      </c>
      <c r="G580" t="inlineStr">
        <is>
          <t>FINSPÅNG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45302</v>
      </c>
      <c r="E581" s="1" t="n">
        <v>46304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45601</v>
      </c>
      <c r="E582" s="1" t="n">
        <v>46304</v>
      </c>
      <c r="F582" t="inlineStr">
        <is>
          <t>ÖSTERGÖTLANDS LÄN</t>
        </is>
      </c>
      <c r="G582" t="inlineStr">
        <is>
          <t>FINSPÅNG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17321-2022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44678</v>
      </c>
      <c r="E583" s="1" t="n">
        <v>46304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12216-2022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44637</v>
      </c>
      <c r="E584" s="1" t="n">
        <v>46304</v>
      </c>
      <c r="F584" t="inlineStr">
        <is>
          <t>ÖSTERGÖTLANDS LÄN</t>
        </is>
      </c>
      <c r="G584" t="inlineStr">
        <is>
          <t>FINSPÅNG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43534-2023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45184</v>
      </c>
      <c r="E585" s="1" t="n">
        <v>46304</v>
      </c>
      <c r="F585" t="inlineStr">
        <is>
          <t>ÖSTERGÖTLANDS LÄN</t>
        </is>
      </c>
      <c r="G585" t="inlineStr">
        <is>
          <t>FINSPÅNG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57678-2025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46304</v>
      </c>
      <c r="F586" t="inlineStr">
        <is>
          <t>ÖSTERGÖTLANDS LÄN</t>
        </is>
      </c>
      <c r="G586" t="inlineStr">
        <is>
          <t>FINSPÅNG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64103-2023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45279</v>
      </c>
      <c r="E587" s="1" t="n">
        <v>46304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52561-2024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46304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22437-2023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45070</v>
      </c>
      <c r="E589" s="1" t="n">
        <v>46304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7743-2023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44973</v>
      </c>
      <c r="E590" s="1" t="n">
        <v>46304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56425-2022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44891</v>
      </c>
      <c r="E591" s="1" t="n">
        <v>46304</v>
      </c>
      <c r="F591" t="inlineStr">
        <is>
          <t>ÖSTERGÖTLANDS LÄN</t>
        </is>
      </c>
      <c r="G591" t="inlineStr">
        <is>
          <t>FINSPÅNG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46304</v>
      </c>
      <c r="F592" t="inlineStr">
        <is>
          <t>ÖSTERGÖTLANDS LÄN</t>
        </is>
      </c>
      <c r="G592" t="inlineStr">
        <is>
          <t>FINSPÅNG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46304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44949</v>
      </c>
      <c r="E594" s="1" t="n">
        <v>46304</v>
      </c>
      <c r="F594" t="inlineStr">
        <is>
          <t>ÖSTERGÖTLANDS LÄN</t>
        </is>
      </c>
      <c r="G594" t="inlineStr">
        <is>
          <t>FINSPÅNG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44966</v>
      </c>
      <c r="E595" s="1" t="n">
        <v>46304</v>
      </c>
      <c r="F595" t="inlineStr">
        <is>
          <t>ÖSTERGÖTLANDS LÄN</t>
        </is>
      </c>
      <c r="G595" t="inlineStr">
        <is>
          <t>FINSPÅNG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44953</v>
      </c>
      <c r="E596" s="1" t="n">
        <v>46304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40319-2022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44823</v>
      </c>
      <c r="E597" s="1" t="n">
        <v>46304</v>
      </c>
      <c r="F597" t="inlineStr">
        <is>
          <t>ÖSTERGÖTLANDS LÄN</t>
        </is>
      </c>
      <c r="G597" t="inlineStr">
        <is>
          <t>FINSPÅNG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47317-2023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45202</v>
      </c>
      <c r="E598" s="1" t="n">
        <v>46304</v>
      </c>
      <c r="F598" t="inlineStr">
        <is>
          <t>ÖSTERGÖTLANDS LÄN</t>
        </is>
      </c>
      <c r="G598" t="inlineStr">
        <is>
          <t>FINSPÅNG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10485-2026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46077</v>
      </c>
      <c r="E599" s="1" t="n">
        <v>46304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Kyrkan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12483-2024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45379</v>
      </c>
      <c r="E600" s="1" t="n">
        <v>46304</v>
      </c>
      <c r="F600" t="inlineStr">
        <is>
          <t>ÖSTERGÖTLANDS LÄN</t>
        </is>
      </c>
      <c r="G600" t="inlineStr">
        <is>
          <t>FINSPÅNG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19160-2024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46304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46304</v>
      </c>
      <c r="F602" t="inlineStr">
        <is>
          <t>ÖSTERGÖTLANDS LÄN</t>
        </is>
      </c>
      <c r="G602" t="inlineStr">
        <is>
          <t>FINSPÅNG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41328-2023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45174</v>
      </c>
      <c r="E603" s="1" t="n">
        <v>46304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Kyrkan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19529-2025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46304</v>
      </c>
      <c r="F604" t="inlineStr">
        <is>
          <t>ÖSTERGÖTLANDS LÄN</t>
        </is>
      </c>
      <c r="G604" t="inlineStr">
        <is>
          <t>FINSPÅNG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54727-2023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45236</v>
      </c>
      <c r="E605" s="1" t="n">
        <v>46304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54730-2023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45236</v>
      </c>
      <c r="E606" s="1" t="n">
        <v>46304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9003-2024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45357</v>
      </c>
      <c r="E607" s="1" t="n">
        <v>46304</v>
      </c>
      <c r="F607" t="inlineStr">
        <is>
          <t>ÖSTERGÖTLANDS LÄN</t>
        </is>
      </c>
      <c r="G607" t="inlineStr">
        <is>
          <t>FINSPÅNG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56420-2023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46304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15952-2023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45022</v>
      </c>
      <c r="E609" s="1" t="n">
        <v>46304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38964-2022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44816</v>
      </c>
      <c r="E610" s="1" t="n">
        <v>46304</v>
      </c>
      <c r="F610" t="inlineStr">
        <is>
          <t>ÖSTERGÖTLANDS LÄN</t>
        </is>
      </c>
      <c r="G610" t="inlineStr">
        <is>
          <t>FINSPÅNG</t>
        </is>
      </c>
      <c r="I610" t="n">
        <v>7.3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45314</v>
      </c>
      <c r="E611" s="1" t="n">
        <v>46304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44820</v>
      </c>
      <c r="E612" s="1" t="n">
        <v>46304</v>
      </c>
      <c r="F612" t="inlineStr">
        <is>
          <t>ÖSTERGÖTLANDS LÄN</t>
        </is>
      </c>
      <c r="G612" t="inlineStr">
        <is>
          <t>FINSPÅNG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24833-2026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46304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Sveaskog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36406-2024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45535</v>
      </c>
      <c r="E614" s="1" t="n">
        <v>46304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Kommuner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24835-2026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46304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58367-2023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45250</v>
      </c>
      <c r="E616" s="1" t="n">
        <v>46304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46317-2023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45197</v>
      </c>
      <c r="E617" s="1" t="n">
        <v>46304</v>
      </c>
      <c r="F617" t="inlineStr">
        <is>
          <t>ÖSTERGÖTLANDS LÄN</t>
        </is>
      </c>
      <c r="G617" t="inlineStr">
        <is>
          <t>FINSPÅNG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44966</v>
      </c>
      <c r="E618" s="1" t="n">
        <v>46304</v>
      </c>
      <c r="F618" t="inlineStr">
        <is>
          <t>ÖSTERGÖTLANDS LÄN</t>
        </is>
      </c>
      <c r="G618" t="inlineStr">
        <is>
          <t>FINSPÅNG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36994-2022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44806</v>
      </c>
      <c r="E619" s="1" t="n">
        <v>46304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46304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46304</v>
      </c>
      <c r="F621" t="inlineStr">
        <is>
          <t>ÖSTERGÖTLANDS LÄN</t>
        </is>
      </c>
      <c r="G621" t="inlineStr">
        <is>
          <t>FINSPÅNG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46176</v>
      </c>
      <c r="E622" s="1" t="n">
        <v>46304</v>
      </c>
      <c r="F622" t="inlineStr">
        <is>
          <t>ÖSTERGÖTLANDS LÄN</t>
        </is>
      </c>
      <c r="G622" t="inlineStr">
        <is>
          <t>FINSPÅNG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31130-2023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45113</v>
      </c>
      <c r="E623" s="1" t="n">
        <v>46304</v>
      </c>
      <c r="F623" t="inlineStr">
        <is>
          <t>ÖSTERGÖTLANDS LÄN</t>
        </is>
      </c>
      <c r="G623" t="inlineStr">
        <is>
          <t>FINSPÅNG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44964</v>
      </c>
      <c r="E624" s="1" t="n">
        <v>46304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46304</v>
      </c>
      <c r="F625" t="inlineStr">
        <is>
          <t>ÖSTERGÖTLANDS LÄN</t>
        </is>
      </c>
      <c r="G625" t="inlineStr">
        <is>
          <t>FINSPÅNG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25766-2026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46304</v>
      </c>
      <c r="F626" t="inlineStr">
        <is>
          <t>ÖSTERGÖTLANDS LÄN</t>
        </is>
      </c>
      <c r="G626" t="inlineStr">
        <is>
          <t>FINSPÅNG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25629-2026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46304</v>
      </c>
      <c r="F627" t="inlineStr">
        <is>
          <t>ÖSTERGÖTLANDS LÄN</t>
        </is>
      </c>
      <c r="G627" t="inlineStr">
        <is>
          <t>FINSPÅNG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46304</v>
      </c>
      <c r="F628" t="inlineStr">
        <is>
          <t>ÖSTERGÖTLANDS LÄN</t>
        </is>
      </c>
      <c r="G628" t="inlineStr">
        <is>
          <t>FINSPÅNG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18171-2024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45420</v>
      </c>
      <c r="E629" s="1" t="n">
        <v>46304</v>
      </c>
      <c r="F629" t="inlineStr">
        <is>
          <t>ÖSTERGÖTLANDS LÄN</t>
        </is>
      </c>
      <c r="G629" t="inlineStr">
        <is>
          <t>FINSPÅNG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43318-2022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44834</v>
      </c>
      <c r="E630" s="1" t="n">
        <v>46304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53944-2024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46304</v>
      </c>
      <c r="F631" t="inlineStr">
        <is>
          <t>ÖSTERGÖTLANDS LÄN</t>
        </is>
      </c>
      <c r="G631" t="inlineStr">
        <is>
          <t>FINSPÅNG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25943-2026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46304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Sveaskog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60038-2023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45258</v>
      </c>
      <c r="E633" s="1" t="n">
        <v>46304</v>
      </c>
      <c r="F633" t="inlineStr">
        <is>
          <t>ÖSTERGÖTLANDS LÄN</t>
        </is>
      </c>
      <c r="G633" t="inlineStr">
        <is>
          <t>FINSPÅNG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50341-2022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44865</v>
      </c>
      <c r="E634" s="1" t="n">
        <v>46304</v>
      </c>
      <c r="F634" t="inlineStr">
        <is>
          <t>ÖSTERGÖTLANDS LÄN</t>
        </is>
      </c>
      <c r="G634" t="inlineStr">
        <is>
          <t>FINSPÅNG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44953</v>
      </c>
      <c r="E635" s="1" t="n">
        <v>46304</v>
      </c>
      <c r="F635" t="inlineStr">
        <is>
          <t>ÖSTERGÖTLANDS LÄN</t>
        </is>
      </c>
      <c r="G635" t="inlineStr">
        <is>
          <t>FINSPÅNG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54505-2024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46304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53610-2022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44879</v>
      </c>
      <c r="E637" s="1" t="n">
        <v>46304</v>
      </c>
      <c r="F637" t="inlineStr">
        <is>
          <t>ÖSTERGÖTLANDS LÄN</t>
        </is>
      </c>
      <c r="G637" t="inlineStr">
        <is>
          <t>FINSPÅNG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8924-2025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45713</v>
      </c>
      <c r="E638" s="1" t="n">
        <v>46304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13378-2025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45735</v>
      </c>
      <c r="E639" s="1" t="n">
        <v>46304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49677-2022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44862</v>
      </c>
      <c r="E640" s="1" t="n">
        <v>46304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9.6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56309-2022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44887</v>
      </c>
      <c r="E641" s="1" t="n">
        <v>46304</v>
      </c>
      <c r="F641" t="inlineStr">
        <is>
          <t>ÖSTERGÖTLANDS LÄN</t>
        </is>
      </c>
      <c r="G641" t="inlineStr">
        <is>
          <t>FINSPÅNG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56264-2022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44887</v>
      </c>
      <c r="E642" s="1" t="n">
        <v>46304</v>
      </c>
      <c r="F642" t="inlineStr">
        <is>
          <t>ÖSTERGÖTLANDS LÄN</t>
        </is>
      </c>
      <c r="G642" t="inlineStr">
        <is>
          <t>FINSPÅNG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26905-2026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46185</v>
      </c>
      <c r="E643" s="1" t="n">
        <v>46304</v>
      </c>
      <c r="F643" t="inlineStr">
        <is>
          <t>ÖSTERGÖTLANDS LÄN</t>
        </is>
      </c>
      <c r="G643" t="inlineStr">
        <is>
          <t>FINSPÅNG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27018-2026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46304</v>
      </c>
      <c r="F644" t="inlineStr">
        <is>
          <t>ÖSTERGÖTLANDS LÄN</t>
        </is>
      </c>
      <c r="G644" t="inlineStr">
        <is>
          <t>FINSPÅNG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18657-2024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45426</v>
      </c>
      <c r="E645" s="1" t="n">
        <v>46304</v>
      </c>
      <c r="F645" t="inlineStr">
        <is>
          <t>ÖSTERGÖTLANDS LÄN</t>
        </is>
      </c>
      <c r="G645" t="inlineStr">
        <is>
          <t>FINSPÅNG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27369-2026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46188</v>
      </c>
      <c r="E646" s="1" t="n">
        <v>46304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9339-2022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44616</v>
      </c>
      <c r="E647" s="1" t="n">
        <v>46304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46304</v>
      </c>
      <c r="F648" t="inlineStr">
        <is>
          <t>ÖSTERGÖTLANDS LÄN</t>
        </is>
      </c>
      <c r="G648" t="inlineStr">
        <is>
          <t>FINSPÅNG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44995</v>
      </c>
      <c r="E649" s="1" t="n">
        <v>46304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38613-2022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44813</v>
      </c>
      <c r="E650" s="1" t="n">
        <v>46304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34941-2023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45142</v>
      </c>
      <c r="E651" s="1" t="n">
        <v>46304</v>
      </c>
      <c r="F651" t="inlineStr">
        <is>
          <t>ÖSTERGÖTLANDS LÄN</t>
        </is>
      </c>
      <c r="G651" t="inlineStr">
        <is>
          <t>FINSPÅNG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9635-2025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45715</v>
      </c>
      <c r="E652" s="1" t="n">
        <v>46304</v>
      </c>
      <c r="F652" t="inlineStr">
        <is>
          <t>ÖSTERGÖTLANDS LÄN</t>
        </is>
      </c>
      <c r="G652" t="inlineStr">
        <is>
          <t>FINSPÅNG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46304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Kommuner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14454-2022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44653</v>
      </c>
      <c r="E654" s="1" t="n">
        <v>46304</v>
      </c>
      <c r="F654" t="inlineStr">
        <is>
          <t>ÖSTERGÖTLANDS LÄN</t>
        </is>
      </c>
      <c r="G654" t="inlineStr">
        <is>
          <t>FINSPÅNG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46304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45593</v>
      </c>
      <c r="E656" s="1" t="n">
        <v>46304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10420-2023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44987</v>
      </c>
      <c r="E657" s="1" t="n">
        <v>46304</v>
      </c>
      <c r="F657" t="inlineStr">
        <is>
          <t>ÖSTERGÖTLANDS LÄN</t>
        </is>
      </c>
      <c r="G657" t="inlineStr">
        <is>
          <t>FINSPÅNG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40410-2024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45555</v>
      </c>
      <c r="E658" s="1" t="n">
        <v>46304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59699-2024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45639</v>
      </c>
      <c r="E659" s="1" t="n">
        <v>46304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2741-2024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45314</v>
      </c>
      <c r="E660" s="1" t="n">
        <v>46304</v>
      </c>
      <c r="F660" t="inlineStr">
        <is>
          <t>ÖSTERGÖTLANDS LÄN</t>
        </is>
      </c>
      <c r="G660" t="inlineStr">
        <is>
          <t>FINSPÅNG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22579-2024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45447</v>
      </c>
      <c r="E661" s="1" t="n">
        <v>46304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25195-2022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44729</v>
      </c>
      <c r="E662" s="1" t="n">
        <v>46304</v>
      </c>
      <c r="F662" t="inlineStr">
        <is>
          <t>ÖSTERGÖTLANDS LÄN</t>
        </is>
      </c>
      <c r="G662" t="inlineStr">
        <is>
          <t>FINSPÅNG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45410-2022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44844</v>
      </c>
      <c r="E663" s="1" t="n">
        <v>46304</v>
      </c>
      <c r="F663" t="inlineStr">
        <is>
          <t>ÖSTERGÖTLANDS LÄN</t>
        </is>
      </c>
      <c r="G663" t="inlineStr">
        <is>
          <t>FINSPÅNG</t>
        </is>
      </c>
      <c r="I663" t="n">
        <v>16.6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7788-2023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44973</v>
      </c>
      <c r="E664" s="1" t="n">
        <v>46304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23350-2023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45076</v>
      </c>
      <c r="E665" s="1" t="n">
        <v>46304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27892-2023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45095</v>
      </c>
      <c r="E666" s="1" t="n">
        <v>46304</v>
      </c>
      <c r="F666" t="inlineStr">
        <is>
          <t>ÖSTERGÖTLANDS LÄN</t>
        </is>
      </c>
      <c r="G666" t="inlineStr">
        <is>
          <t>FINSPÅNG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59672-2024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45639</v>
      </c>
      <c r="E667" s="1" t="n">
        <v>46304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29018-2026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46304</v>
      </c>
      <c r="F668" t="inlineStr">
        <is>
          <t>ÖSTERGÖTLANDS LÄN</t>
        </is>
      </c>
      <c r="G668" t="inlineStr">
        <is>
          <t>FINSPÅNG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34309-2025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45846</v>
      </c>
      <c r="E669" s="1" t="n">
        <v>46304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68122-2021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44526</v>
      </c>
      <c r="E670" s="1" t="n">
        <v>46304</v>
      </c>
      <c r="F670" t="inlineStr">
        <is>
          <t>ÖSTERGÖTLANDS LÄN</t>
        </is>
      </c>
      <c r="G670" t="inlineStr">
        <is>
          <t>FINSPÅNG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62158-2022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44922</v>
      </c>
      <c r="E671" s="1" t="n">
        <v>46304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34758-2022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44795</v>
      </c>
      <c r="E672" s="1" t="n">
        <v>46304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Övriga Aktiebolag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29731-2026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46204</v>
      </c>
      <c r="E673" s="1" t="n">
        <v>46304</v>
      </c>
      <c r="F673" t="inlineStr">
        <is>
          <t>ÖSTERGÖTLANDS LÄN</t>
        </is>
      </c>
      <c r="G673" t="inlineStr">
        <is>
          <t>FINSPÅNG</t>
        </is>
      </c>
      <c r="I673" t="n">
        <v>18.6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29482-2026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46304</v>
      </c>
      <c r="F674" t="inlineStr">
        <is>
          <t>ÖSTERGÖTLANDS LÄN</t>
        </is>
      </c>
      <c r="G674" t="inlineStr">
        <is>
          <t>FINSPÅNG</t>
        </is>
      </c>
      <c r="I674" t="n">
        <v>13.3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61076-2023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45260</v>
      </c>
      <c r="E675" s="1" t="n">
        <v>46304</v>
      </c>
      <c r="F675" t="inlineStr">
        <is>
          <t>ÖSTERGÖTLANDS LÄN</t>
        </is>
      </c>
      <c r="G675" t="inlineStr">
        <is>
          <t>FINSPÅNG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59468-2021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44491</v>
      </c>
      <c r="E676" s="1" t="n">
        <v>46304</v>
      </c>
      <c r="F676" t="inlineStr">
        <is>
          <t>ÖSTERGÖTLANDS LÄN</t>
        </is>
      </c>
      <c r="G676" t="inlineStr">
        <is>
          <t>FINSPÅNG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18306-2023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45041</v>
      </c>
      <c r="E677" s="1" t="n">
        <v>46304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Naturvårdsverket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59838-2023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45257</v>
      </c>
      <c r="E678" s="1" t="n">
        <v>46304</v>
      </c>
      <c r="F678" t="inlineStr">
        <is>
          <t>ÖSTERGÖTLANDS LÄN</t>
        </is>
      </c>
      <c r="G678" t="inlineStr">
        <is>
          <t>FINSPÅNG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46209</v>
      </c>
      <c r="E679" s="1" t="n">
        <v>46304</v>
      </c>
      <c r="F679" t="inlineStr">
        <is>
          <t>ÖSTERGÖTLANDS LÄN</t>
        </is>
      </c>
      <c r="G679" t="inlineStr">
        <is>
          <t>FINSPÅNG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51610-2022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44871</v>
      </c>
      <c r="E680" s="1" t="n">
        <v>46304</v>
      </c>
      <c r="F680" t="inlineStr">
        <is>
          <t>ÖSTERGÖTLANDS LÄN</t>
        </is>
      </c>
      <c r="G680" t="inlineStr">
        <is>
          <t>FINSPÅNG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13826-2024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45391</v>
      </c>
      <c r="E681" s="1" t="n">
        <v>46304</v>
      </c>
      <c r="F681" t="inlineStr">
        <is>
          <t>ÖSTERGÖTLANDS LÄN</t>
        </is>
      </c>
      <c r="G681" t="inlineStr">
        <is>
          <t>FINSPÅNG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45692</v>
      </c>
      <c r="E682" s="1" t="n">
        <v>46304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31151-2026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46209</v>
      </c>
      <c r="E683" s="1" t="n">
        <v>46304</v>
      </c>
      <c r="F683" t="inlineStr">
        <is>
          <t>ÖSTERGÖTLANDS LÄN</t>
        </is>
      </c>
      <c r="G683" t="inlineStr">
        <is>
          <t>FINSPÅNG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31152-2026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46304</v>
      </c>
      <c r="F684" t="inlineStr">
        <is>
          <t>ÖSTERGÖTLANDS LÄN</t>
        </is>
      </c>
      <c r="G684" t="inlineStr">
        <is>
          <t>FINSPÅNG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22354-2023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45070</v>
      </c>
      <c r="E685" s="1" t="n">
        <v>46304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47224-2023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45202</v>
      </c>
      <c r="E686" s="1" t="n">
        <v>46304</v>
      </c>
      <c r="F686" t="inlineStr">
        <is>
          <t>ÖSTERGÖTLANDS LÄN</t>
        </is>
      </c>
      <c r="G686" t="inlineStr">
        <is>
          <t>FINSPÅNG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6527-2023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44966</v>
      </c>
      <c r="E687" s="1" t="n">
        <v>46304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45323</v>
      </c>
      <c r="E688" s="1" t="n">
        <v>46304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45341</v>
      </c>
      <c r="E689" s="1" t="n">
        <v>46304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Övriga Aktiebolag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73260-2021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44550</v>
      </c>
      <c r="E690" s="1" t="n">
        <v>46304</v>
      </c>
      <c r="F690" t="inlineStr">
        <is>
          <t>ÖSTERGÖTLANDS LÄN</t>
        </is>
      </c>
      <c r="G690" t="inlineStr">
        <is>
          <t>FINSPÅNG</t>
        </is>
      </c>
      <c r="I690" t="n">
        <v>10.3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42705-2024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45566</v>
      </c>
      <c r="E691" s="1" t="n">
        <v>46304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42711-2024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45566</v>
      </c>
      <c r="E692" s="1" t="n">
        <v>46304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21517-2024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45441</v>
      </c>
      <c r="E693" s="1" t="n">
        <v>46304</v>
      </c>
      <c r="F693" t="inlineStr">
        <is>
          <t>ÖSTERGÖTLANDS LÄN</t>
        </is>
      </c>
      <c r="G693" t="inlineStr">
        <is>
          <t>FINSPÅNG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46212</v>
      </c>
      <c r="E694" s="1" t="n">
        <v>46304</v>
      </c>
      <c r="F694" t="inlineStr">
        <is>
          <t>ÖSTERGÖTLANDS LÄN</t>
        </is>
      </c>
      <c r="G694" t="inlineStr">
        <is>
          <t>FINSPÅNG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46304</v>
      </c>
      <c r="F695" t="inlineStr">
        <is>
          <t>ÖSTERGÖTLANDS LÄN</t>
        </is>
      </c>
      <c r="G695" t="inlineStr">
        <is>
          <t>FINSPÅNG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45374</v>
      </c>
      <c r="E696" s="1" t="n">
        <v>46304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Kyrkan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13821-2024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45391</v>
      </c>
      <c r="E697" s="1" t="n">
        <v>46304</v>
      </c>
      <c r="F697" t="inlineStr">
        <is>
          <t>ÖSTERGÖTLANDS LÄN</t>
        </is>
      </c>
      <c r="G697" t="inlineStr">
        <is>
          <t>FINSPÅNG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9418-2023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44981</v>
      </c>
      <c r="E698" s="1" t="n">
        <v>46304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31301-2026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46218</v>
      </c>
      <c r="E699" s="1" t="n">
        <v>46304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31300-2026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46218</v>
      </c>
      <c r="E700" s="1" t="n">
        <v>46304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17557-2022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44679</v>
      </c>
      <c r="E701" s="1" t="n">
        <v>46304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Övriga Aktiebolag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45293</v>
      </c>
      <c r="E702" s="1" t="n">
        <v>46304</v>
      </c>
      <c r="F702" t="inlineStr">
        <is>
          <t>ÖSTERGÖTLANDS LÄN</t>
        </is>
      </c>
      <c r="G702" t="inlineStr">
        <is>
          <t>FINSPÅNG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40296-2024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45554</v>
      </c>
      <c r="E703" s="1" t="n">
        <v>46304</v>
      </c>
      <c r="F703" t="inlineStr">
        <is>
          <t>ÖSTERGÖTLANDS LÄN</t>
        </is>
      </c>
      <c r="G703" t="inlineStr">
        <is>
          <t>FINSPÅNG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49904-2023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45214</v>
      </c>
      <c r="E704" s="1" t="n">
        <v>46304</v>
      </c>
      <c r="F704" t="inlineStr">
        <is>
          <t>ÖSTERGÖTLANDS LÄN</t>
        </is>
      </c>
      <c r="G704" t="inlineStr">
        <is>
          <t>FINSPÅNG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32431-2023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45110</v>
      </c>
      <c r="E705" s="1" t="n">
        <v>46304</v>
      </c>
      <c r="F705" t="inlineStr">
        <is>
          <t>ÖSTERGÖTLANDS LÄN</t>
        </is>
      </c>
      <c r="G705" t="inlineStr">
        <is>
          <t>FINSPÅNG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45660</v>
      </c>
      <c r="E706" s="1" t="n">
        <v>46304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Övriga Aktiebolag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13375-2025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45735</v>
      </c>
      <c r="E707" s="1" t="n">
        <v>46304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32795-2024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45516</v>
      </c>
      <c r="E708" s="1" t="n">
        <v>46304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Kommuner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46219</v>
      </c>
      <c r="E709" s="1" t="n">
        <v>46304</v>
      </c>
      <c r="F709" t="inlineStr">
        <is>
          <t>ÖSTERGÖTLANDS LÄN</t>
        </is>
      </c>
      <c r="G709" t="inlineStr">
        <is>
          <t>FINSPÅNG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44966</v>
      </c>
      <c r="E710" s="1" t="n">
        <v>46304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Övriga Aktiebolag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45078</v>
      </c>
      <c r="E711" s="1" t="n">
        <v>46304</v>
      </c>
      <c r="F711" t="inlineStr">
        <is>
          <t>ÖSTERGÖTLANDS LÄN</t>
        </is>
      </c>
      <c r="G711" t="inlineStr">
        <is>
          <t>FINSPÅNG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45113</v>
      </c>
      <c r="E712" s="1" t="n">
        <v>46304</v>
      </c>
      <c r="F712" t="inlineStr">
        <is>
          <t>ÖSTERGÖTLANDS LÄN</t>
        </is>
      </c>
      <c r="G712" t="inlineStr">
        <is>
          <t>FINSPÅNG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45311-2023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45191</v>
      </c>
      <c r="E713" s="1" t="n">
        <v>46304</v>
      </c>
      <c r="F713" t="inlineStr">
        <is>
          <t>ÖSTERGÖTLANDS LÄN</t>
        </is>
      </c>
      <c r="G713" t="inlineStr">
        <is>
          <t>FINSPÅNG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18488-2025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45763</v>
      </c>
      <c r="E714" s="1" t="n">
        <v>46304</v>
      </c>
      <c r="F714" t="inlineStr">
        <is>
          <t>ÖSTERGÖTLANDS LÄN</t>
        </is>
      </c>
      <c r="G714" t="inlineStr">
        <is>
          <t>FINSPÅNG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73655-2021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44551</v>
      </c>
      <c r="E715" s="1" t="n">
        <v>46304</v>
      </c>
      <c r="F715" t="inlineStr">
        <is>
          <t>ÖSTERGÖTLANDS LÄN</t>
        </is>
      </c>
      <c r="G715" t="inlineStr">
        <is>
          <t>FINSPÅNG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43051-2022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44833</v>
      </c>
      <c r="E716" s="1" t="n">
        <v>46304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28558-2023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45103</v>
      </c>
      <c r="E717" s="1" t="n">
        <v>46304</v>
      </c>
      <c r="F717" t="inlineStr">
        <is>
          <t>ÖSTERGÖTLANDS LÄN</t>
        </is>
      </c>
      <c r="G717" t="inlineStr">
        <is>
          <t>FINSPÅNG</t>
        </is>
      </c>
      <c r="I717" t="n">
        <v>11.1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54916-2024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45618</v>
      </c>
      <c r="E718" s="1" t="n">
        <v>46304</v>
      </c>
      <c r="F718" t="inlineStr">
        <is>
          <t>ÖSTERGÖTLANDS LÄN</t>
        </is>
      </c>
      <c r="G718" t="inlineStr">
        <is>
          <t>FINSPÅNG</t>
        </is>
      </c>
      <c r="I718" t="n">
        <v>11.8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36505-2026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46269</v>
      </c>
      <c r="E719" s="1" t="n">
        <v>46304</v>
      </c>
      <c r="F719" t="inlineStr">
        <is>
          <t>ÖSTERGÖTLANDS LÄN</t>
        </is>
      </c>
      <c r="G719" t="inlineStr">
        <is>
          <t>FINSPÅNG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59702-2024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45639</v>
      </c>
      <c r="E720" s="1" t="n">
        <v>46304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45299</v>
      </c>
      <c r="E721" s="1" t="n">
        <v>46304</v>
      </c>
      <c r="F721" t="inlineStr">
        <is>
          <t>ÖSTERGÖTLANDS LÄN</t>
        </is>
      </c>
      <c r="G721" t="inlineStr">
        <is>
          <t>FINSPÅNG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1020-2024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45301</v>
      </c>
      <c r="E722" s="1" t="n">
        <v>46304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36479-2026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46304</v>
      </c>
      <c r="F723" t="inlineStr">
        <is>
          <t>ÖSTERGÖTLANDS LÄN</t>
        </is>
      </c>
      <c r="G723" t="inlineStr">
        <is>
          <t>FINSPÅNG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46225</v>
      </c>
      <c r="E724" s="1" t="n">
        <v>46304</v>
      </c>
      <c r="F724" t="inlineStr">
        <is>
          <t>ÖSTERGÖTLANDS LÄN</t>
        </is>
      </c>
      <c r="G724" t="inlineStr">
        <is>
          <t>FINSPÅNG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22714-2022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44714</v>
      </c>
      <c r="E725" s="1" t="n">
        <v>46304</v>
      </c>
      <c r="F725" t="inlineStr">
        <is>
          <t>ÖSTERGÖTLANDS LÄN</t>
        </is>
      </c>
      <c r="G725" t="inlineStr">
        <is>
          <t>FINSPÅNG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36498-2026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46304</v>
      </c>
      <c r="F726" t="inlineStr">
        <is>
          <t>ÖSTERGÖTLANDS LÄN</t>
        </is>
      </c>
      <c r="G726" t="inlineStr">
        <is>
          <t>FINSPÅNG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36503-2026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46269</v>
      </c>
      <c r="E727" s="1" t="n">
        <v>46304</v>
      </c>
      <c r="F727" t="inlineStr">
        <is>
          <t>ÖSTERGÖTLANDS LÄN</t>
        </is>
      </c>
      <c r="G727" t="inlineStr">
        <is>
          <t>FINSPÅNG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31675-2026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46226</v>
      </c>
      <c r="E728" s="1" t="n">
        <v>46304</v>
      </c>
      <c r="F728" t="inlineStr">
        <is>
          <t>ÖSTERGÖTLANDS LÄN</t>
        </is>
      </c>
      <c r="G728" t="inlineStr">
        <is>
          <t>FINSPÅNG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31682-2026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46226</v>
      </c>
      <c r="E729" s="1" t="n">
        <v>46304</v>
      </c>
      <c r="F729" t="inlineStr">
        <is>
          <t>ÖSTERGÖTLANDS LÄN</t>
        </is>
      </c>
      <c r="G729" t="inlineStr">
        <is>
          <t>FINSPÅNG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36486-2026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46269</v>
      </c>
      <c r="E730" s="1" t="n">
        <v>46304</v>
      </c>
      <c r="F730" t="inlineStr">
        <is>
          <t>ÖSTERGÖTLANDS LÄN</t>
        </is>
      </c>
      <c r="G730" t="inlineStr">
        <is>
          <t>FINSPÅNG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10215-2022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44622</v>
      </c>
      <c r="E731" s="1" t="n">
        <v>46304</v>
      </c>
      <c r="F731" t="inlineStr">
        <is>
          <t>ÖSTERGÖTLANDS LÄN</t>
        </is>
      </c>
      <c r="G731" t="inlineStr">
        <is>
          <t>FINSPÅNG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31668-2026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46225</v>
      </c>
      <c r="E732" s="1" t="n">
        <v>46304</v>
      </c>
      <c r="F732" t="inlineStr">
        <is>
          <t>ÖSTERGÖTLANDS LÄN</t>
        </is>
      </c>
      <c r="G732" t="inlineStr">
        <is>
          <t>FINSPÅNG</t>
        </is>
      </c>
      <c r="I732" t="n">
        <v>10.5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54299-2023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45232</v>
      </c>
      <c r="E733" s="1" t="n">
        <v>46304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56288-2022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44887</v>
      </c>
      <c r="E734" s="1" t="n">
        <v>46304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18356-2024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45422</v>
      </c>
      <c r="E735" s="1" t="n">
        <v>46304</v>
      </c>
      <c r="F735" t="inlineStr">
        <is>
          <t>ÖSTERGÖTLANDS LÄN</t>
        </is>
      </c>
      <c r="G735" t="inlineStr">
        <is>
          <t>FINSPÅNG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10206-2022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44622</v>
      </c>
      <c r="E736" s="1" t="n">
        <v>46304</v>
      </c>
      <c r="F736" t="inlineStr">
        <is>
          <t>ÖSTERGÖTLANDS LÄN</t>
        </is>
      </c>
      <c r="G736" t="inlineStr">
        <is>
          <t>FINSPÅNG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45314-2023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45191</v>
      </c>
      <c r="E737" s="1" t="n">
        <v>46304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5616-2022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44595</v>
      </c>
      <c r="E738" s="1" t="n">
        <v>46304</v>
      </c>
      <c r="F738" t="inlineStr">
        <is>
          <t>ÖSTERGÖTLANDS LÄN</t>
        </is>
      </c>
      <c r="G738" t="inlineStr">
        <is>
          <t>FINSPÅNG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44589</v>
      </c>
      <c r="E739" s="1" t="n">
        <v>46304</v>
      </c>
      <c r="F739" t="inlineStr">
        <is>
          <t>ÖSTERGÖTLANDS LÄN</t>
        </is>
      </c>
      <c r="G739" t="inlineStr">
        <is>
          <t>FINSPÅNG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2047-2024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45308</v>
      </c>
      <c r="E740" s="1" t="n">
        <v>46304</v>
      </c>
      <c r="F740" t="inlineStr">
        <is>
          <t>ÖSTERGÖTLANDS LÄN</t>
        </is>
      </c>
      <c r="G740" t="inlineStr">
        <is>
          <t>FINSPÅNG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62168-2022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44922</v>
      </c>
      <c r="E741" s="1" t="n">
        <v>46304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53670-2024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45615</v>
      </c>
      <c r="E742" s="1" t="n">
        <v>46304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36110-2023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45149</v>
      </c>
      <c r="E743" s="1" t="n">
        <v>46304</v>
      </c>
      <c r="F743" t="inlineStr">
        <is>
          <t>ÖSTERGÖTLANDS LÄN</t>
        </is>
      </c>
      <c r="G743" t="inlineStr">
        <is>
          <t>FINSPÅNG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18349-2025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45762</v>
      </c>
      <c r="E744" s="1" t="n">
        <v>46304</v>
      </c>
      <c r="F744" t="inlineStr">
        <is>
          <t>ÖSTERGÖTLANDS LÄN</t>
        </is>
      </c>
      <c r="G744" t="inlineStr">
        <is>
          <t>FINSPÅNG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39358-2022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44817</v>
      </c>
      <c r="E745" s="1" t="n">
        <v>46304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32000-2026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46232</v>
      </c>
      <c r="E746" s="1" t="n">
        <v>46304</v>
      </c>
      <c r="F746" t="inlineStr">
        <is>
          <t>ÖSTERGÖTLANDS LÄN</t>
        </is>
      </c>
      <c r="G746" t="inlineStr">
        <is>
          <t>FINSPÅNG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36191-2023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45149</v>
      </c>
      <c r="E747" s="1" t="n">
        <v>46304</v>
      </c>
      <c r="F747" t="inlineStr">
        <is>
          <t>ÖSTERGÖTLANDS LÄN</t>
        </is>
      </c>
      <c r="G747" t="inlineStr">
        <is>
          <t>FINSPÅNG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55457-2024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45622</v>
      </c>
      <c r="E748" s="1" t="n">
        <v>46304</v>
      </c>
      <c r="F748" t="inlineStr">
        <is>
          <t>ÖSTERGÖTLANDS LÄN</t>
        </is>
      </c>
      <c r="G748" t="inlineStr">
        <is>
          <t>FINSPÅNG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37814-2026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46279</v>
      </c>
      <c r="E749" s="1" t="n">
        <v>46304</v>
      </c>
      <c r="F749" t="inlineStr">
        <is>
          <t>ÖSTERGÖTLANDS LÄN</t>
        </is>
      </c>
      <c r="G749" t="inlineStr">
        <is>
          <t>FINSPÅNG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40065-2024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45554</v>
      </c>
      <c r="E750" s="1" t="n">
        <v>46304</v>
      </c>
      <c r="F750" t="inlineStr">
        <is>
          <t>ÖSTERGÖTLANDS LÄN</t>
        </is>
      </c>
      <c r="G750" t="inlineStr">
        <is>
          <t>FINSPÅNG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27698-2023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45095</v>
      </c>
      <c r="E751" s="1" t="n">
        <v>46304</v>
      </c>
      <c r="F751" t="inlineStr">
        <is>
          <t>ÖSTERGÖTLANDS LÄN</t>
        </is>
      </c>
      <c r="G751" t="inlineStr">
        <is>
          <t>FINSPÅNG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48691-2024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45593</v>
      </c>
      <c r="E752" s="1" t="n">
        <v>46304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63585-2023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45275</v>
      </c>
      <c r="E753" s="1" t="n">
        <v>46304</v>
      </c>
      <c r="F753" t="inlineStr">
        <is>
          <t>ÖSTERGÖTLANDS LÄN</t>
        </is>
      </c>
      <c r="G753" t="inlineStr">
        <is>
          <t>FINSPÅNG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46233</v>
      </c>
      <c r="E754" s="1" t="n">
        <v>46304</v>
      </c>
      <c r="F754" t="inlineStr">
        <is>
          <t>ÖSTERGÖTLANDS LÄN</t>
        </is>
      </c>
      <c r="G754" t="inlineStr">
        <is>
          <t>FINSPÅNG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44564</v>
      </c>
      <c r="E755" s="1" t="n">
        <v>46304</v>
      </c>
      <c r="F755" t="inlineStr">
        <is>
          <t>ÖSTERGÖTLANDS LÄN</t>
        </is>
      </c>
      <c r="G755" t="inlineStr">
        <is>
          <t>FINSPÅNG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45744</v>
      </c>
      <c r="E756" s="1" t="n">
        <v>46304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Naturvårdsverket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46279</v>
      </c>
      <c r="E757" s="1" t="n">
        <v>46304</v>
      </c>
      <c r="F757" t="inlineStr">
        <is>
          <t>ÖSTERGÖTLANDS LÄN</t>
        </is>
      </c>
      <c r="G757" t="inlineStr">
        <is>
          <t>FINSPÅNG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37804-2026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46279</v>
      </c>
      <c r="E758" s="1" t="n">
        <v>46304</v>
      </c>
      <c r="F758" t="inlineStr">
        <is>
          <t>ÖSTERGÖTLANDS LÄN</t>
        </is>
      </c>
      <c r="G758" t="inlineStr">
        <is>
          <t>FINSPÅNG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16229-2024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45407</v>
      </c>
      <c r="E759" s="1" t="n">
        <v>46304</v>
      </c>
      <c r="F759" t="inlineStr">
        <is>
          <t>ÖSTERGÖTLANDS LÄN</t>
        </is>
      </c>
      <c r="G759" t="inlineStr">
        <is>
          <t>FINSPÅNG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22586-2023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45071</v>
      </c>
      <c r="E760" s="1" t="n">
        <v>46304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59777-2023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45257</v>
      </c>
      <c r="E761" s="1" t="n">
        <v>46304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59827-2023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45257</v>
      </c>
      <c r="E762" s="1" t="n">
        <v>46304</v>
      </c>
      <c r="F762" t="inlineStr">
        <is>
          <t>ÖSTERGÖTLANDS LÄN</t>
        </is>
      </c>
      <c r="G762" t="inlineStr">
        <is>
          <t>FINSPÅNG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42682-2024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45566</v>
      </c>
      <c r="E763" s="1" t="n">
        <v>46304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42678-2024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45566</v>
      </c>
      <c r="E764" s="1" t="n">
        <v>46304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42699-2024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45566</v>
      </c>
      <c r="E765" s="1" t="n">
        <v>46304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13392-2025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45735</v>
      </c>
      <c r="E766" s="1" t="n">
        <v>46304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13457-2025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45736</v>
      </c>
      <c r="E767" s="1" t="n">
        <v>46304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60249-2024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45642</v>
      </c>
      <c r="E768" s="1" t="n">
        <v>46304</v>
      </c>
      <c r="F768" t="inlineStr">
        <is>
          <t>ÖSTERGÖTLANDS LÄN</t>
        </is>
      </c>
      <c r="G768" t="inlineStr">
        <is>
          <t>FINSPÅNG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35340-2024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45530</v>
      </c>
      <c r="E769" s="1" t="n">
        <v>46304</v>
      </c>
      <c r="F769" t="inlineStr">
        <is>
          <t>ÖSTERGÖTLANDS LÄN</t>
        </is>
      </c>
      <c r="G769" t="inlineStr">
        <is>
          <t>FINSPÅNG</t>
        </is>
      </c>
      <c r="I769" t="n">
        <v>7.9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38441-2026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46282</v>
      </c>
      <c r="E770" s="1" t="n">
        <v>46304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Sveaskog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35343-2024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45530</v>
      </c>
      <c r="E771" s="1" t="n">
        <v>46304</v>
      </c>
      <c r="F771" t="inlineStr">
        <is>
          <t>ÖSTERGÖTLANDS LÄN</t>
        </is>
      </c>
      <c r="G771" t="inlineStr">
        <is>
          <t>FINSPÅNG</t>
        </is>
      </c>
      <c r="I771" t="n">
        <v>7.2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11149-2024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45371</v>
      </c>
      <c r="E772" s="1" t="n">
        <v>46304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Kyrkan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38414-2026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46282</v>
      </c>
      <c r="E773" s="1" t="n">
        <v>46304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38444-2026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46282</v>
      </c>
      <c r="E774" s="1" t="n">
        <v>46304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38445-2026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46282</v>
      </c>
      <c r="E775" s="1" t="n">
        <v>46304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Sveaskog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38421-2026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46282</v>
      </c>
      <c r="E776" s="1" t="n">
        <v>46304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Sveaskog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38625-2026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46281</v>
      </c>
      <c r="E777" s="1" t="n">
        <v>46304</v>
      </c>
      <c r="F777" t="inlineStr">
        <is>
          <t>ÖSTERGÖTLANDS LÄN</t>
        </is>
      </c>
      <c r="G777" t="inlineStr">
        <is>
          <t>FINSPÅNG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46304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Sveaskog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46304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46304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Sveaskog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38419-2026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46282</v>
      </c>
      <c r="E781" s="1" t="n">
        <v>46304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Sveaskog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11523-2025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45727</v>
      </c>
      <c r="E782" s="1" t="n">
        <v>46304</v>
      </c>
      <c r="F782" t="inlineStr">
        <is>
          <t>ÖSTERGÖTLANDS LÄN</t>
        </is>
      </c>
      <c r="G782" t="inlineStr">
        <is>
          <t>FINSPÅNG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62155-2023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45267</v>
      </c>
      <c r="E783" s="1" t="n">
        <v>46304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24328-2025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45797</v>
      </c>
      <c r="E784" s="1" t="n">
        <v>46304</v>
      </c>
      <c r="F784" t="inlineStr">
        <is>
          <t>ÖSTERGÖTLANDS LÄN</t>
        </is>
      </c>
      <c r="G784" t="inlineStr">
        <is>
          <t>FINSPÅNG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24363-2025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45797</v>
      </c>
      <c r="E785" s="1" t="n">
        <v>46304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24021-2025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45796</v>
      </c>
      <c r="E786" s="1" t="n">
        <v>46304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Naturvårdsverket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38765-2026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46286</v>
      </c>
      <c r="E787" s="1" t="n">
        <v>46304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Övriga Aktiebolag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24310-2025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45797</v>
      </c>
      <c r="E788" s="1" t="n">
        <v>46304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24009-2025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46304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7131-2025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45702</v>
      </c>
      <c r="E790" s="1" t="n">
        <v>46304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Övriga Aktiebolag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45316</v>
      </c>
      <c r="E791" s="1" t="n">
        <v>46304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35970-2025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45863</v>
      </c>
      <c r="E792" s="1" t="n">
        <v>46304</v>
      </c>
      <c r="F792" t="inlineStr">
        <is>
          <t>ÖSTERGÖTLANDS LÄN</t>
        </is>
      </c>
      <c r="G792" t="inlineStr">
        <is>
          <t>FINSPÅNG</t>
        </is>
      </c>
      <c r="I792" t="n">
        <v>22.6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25272-2025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45800</v>
      </c>
      <c r="E793" s="1" t="n">
        <v>46304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Naturvårdsverket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25306-2025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45800</v>
      </c>
      <c r="E794" s="1" t="n">
        <v>46304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Naturvårdsverket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25319-2025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45800</v>
      </c>
      <c r="E795" s="1" t="n">
        <v>46304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Naturvårdsverket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25342-2025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45800</v>
      </c>
      <c r="E796" s="1" t="n">
        <v>46304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8.199999999999999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36592-2025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45870</v>
      </c>
      <c r="E797" s="1" t="n">
        <v>46304</v>
      </c>
      <c r="F797" t="inlineStr">
        <is>
          <t>ÖSTERGÖTLANDS LÄN</t>
        </is>
      </c>
      <c r="G797" t="inlineStr">
        <is>
          <t>FINSPÅNG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46304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46304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59701-2024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45639</v>
      </c>
      <c r="E800" s="1" t="n">
        <v>46304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40578-2026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46295</v>
      </c>
      <c r="E801" s="1" t="n">
        <v>46304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7.2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40580-2026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46295</v>
      </c>
      <c r="E802" s="1" t="n">
        <v>46304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46304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28491-2025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46304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29441-2025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45824</v>
      </c>
      <c r="E805" s="1" t="n">
        <v>46304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46304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46304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29430-2025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45824</v>
      </c>
      <c r="E808" s="1" t="n">
        <v>46304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34555-2026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46255</v>
      </c>
      <c r="E809" s="1" t="n">
        <v>46304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Sveaskog</t>
        </is>
      </c>
      <c r="I809" t="n">
        <v>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41247-2026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46304</v>
      </c>
      <c r="F810" t="inlineStr">
        <is>
          <t>ÖSTERGÖTLANDS LÄN</t>
        </is>
      </c>
      <c r="G810" t="inlineStr">
        <is>
          <t>FINSPÅNG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34884-2026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46258</v>
      </c>
      <c r="E811" s="1" t="n">
        <v>46304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Övriga Aktiebolag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46304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41654-2026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46302</v>
      </c>
      <c r="E813" s="1" t="n">
        <v>46304</v>
      </c>
      <c r="F813" t="inlineStr">
        <is>
          <t>ÖSTERGÖTLANDS LÄN</t>
        </is>
      </c>
      <c r="G813" t="inlineStr">
        <is>
          <t>FINSPÅNG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5129-2024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45644</v>
      </c>
      <c r="E814" s="1" t="n">
        <v>46304</v>
      </c>
      <c r="F814" t="inlineStr">
        <is>
          <t>ÖSTERGÖTLANDS LÄN</t>
        </is>
      </c>
      <c r="G814" t="inlineStr">
        <is>
          <t>FINSPÅNG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1605-2024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45428</v>
      </c>
      <c r="E815" s="1" t="n">
        <v>46304</v>
      </c>
      <c r="F815" t="inlineStr">
        <is>
          <t>ÖSTERGÖTLANDS LÄN</t>
        </is>
      </c>
      <c r="G815" t="inlineStr">
        <is>
          <t>FINSPÅNG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1637-2024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45429</v>
      </c>
      <c r="E816" s="1" t="n">
        <v>46304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4163-2023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45250</v>
      </c>
      <c r="E817" s="1" t="n">
        <v>46304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1759-2026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46188</v>
      </c>
      <c r="E818" s="1" t="n">
        <v>46304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Övriga Aktiebolag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>
      <c r="A819" t="inlineStr">
        <is>
          <t>S 2208-2026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46258</v>
      </c>
      <c r="E819" s="1" t="n">
        <v>46304</v>
      </c>
      <c r="F819" t="inlineStr">
        <is>
          <t>ÖSTERGÖTLANDS LÄN</t>
        </is>
      </c>
      <c r="G819" t="inlineStr">
        <is>
          <t>FINSPÅNG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2026-10-09T02:09:11Z</dcterms:created>
  <dcterms:modified xmlns:dcterms="http://purl.org/dc/terms/" xmlns:xsi="http://www.w3.org/2001/XMLSchema-instance" xsi:type="dcterms:W3CDTF">2026-10-09T02:09:12Z</dcterms:modified>
</cp:coreProperties>
</file>