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46230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46230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46230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46230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46230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11</v>
      </c>
      <c r="U6" t="n">
        <v>11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46230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46230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46230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46230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46230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46230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55560-2023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45238</v>
      </c>
      <c r="E13" s="1" t="n">
        <v>46230</v>
      </c>
      <c r="F13" t="inlineStr">
        <is>
          <t>ÖSTERGÖTLANDS LÄN</t>
        </is>
      </c>
      <c r="G13" t="inlineStr">
        <is>
          <t>FINSPÅNG</t>
        </is>
      </c>
      <c r="I13" t="n">
        <v>5.5</v>
      </c>
      <c r="J13" t="n">
        <v>2</v>
      </c>
      <c r="K13" t="n">
        <v>3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7</v>
      </c>
      <c r="T13" t="n">
        <v>9</v>
      </c>
      <c r="U13" t="n">
        <v>9</v>
      </c>
      <c r="V13" s="2" t="inlineStr">
        <is>
          <t>Knärot
Kattfotslav
Vedtrappmossa
Flagellkvastmossa
Mindre märgborre
Vedticka
Revlummer</t>
        </is>
      </c>
      <c r="W13">
        <f>HYPERLINK("https://klasma.github.io/Logging_0562/artfynd/A 55560-2023 artfynd.xlsx", "A 55560-2023")</f>
        <v/>
      </c>
      <c r="X13">
        <f>HYPERLINK("https://klasma.github.io/Logging_0562/kartor/A 55560-2023 karta.png", "A 55560-2023")</f>
        <v/>
      </c>
      <c r="Y13">
        <f>HYPERLINK("https://klasma.github.io/Logging_0562/kartor_geotiff/A 55560-2023 georefererad karta.tif", "A 55560-2023")</f>
        <v/>
      </c>
      <c r="Z13">
        <f>HYPERLINK("https://klasma.github.io/Logging_0562/knärot/A 55560-2023 karta knärot.png", "A 55560-2023")</f>
        <v/>
      </c>
      <c r="AA13">
        <f>HYPERLINK("https://klasma.github.io/Logging_0562/klagomål/A 55560-2023 FSC-klagomål.docx", "A 55560-2023")</f>
        <v/>
      </c>
      <c r="AB13">
        <f>HYPERLINK("https://klasma.github.io/Logging_0562/klagomålsmail/A 55560-2023 FSC-klagomål mail.docx", "A 55560-2023")</f>
        <v/>
      </c>
      <c r="AC13">
        <f>HYPERLINK("https://klasma.github.io/Logging_0562/tillsyn/A 55560-2023 tillsynsbegäran.docx", "A 55560-2023")</f>
        <v/>
      </c>
      <c r="AD13">
        <f>HYPERLINK("https://klasma.github.io/Logging_0562/tillsynsmail/A 55560-2023 tillsynsbegäran mail.docx", "A 55560-2023")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46230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46230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46230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t="n">
        <v>13</v>
      </c>
      <c r="V16" s="2" t="inlineStr">
        <is>
          <t>Björksplintborre
Blåmossa
Flagellkvastmossa
Kornknutmossa
Mindre märgborre
Stubbspretmossa</t>
        </is>
      </c>
      <c r="W16">
        <f>HYPERLINK("https://klasma.github.io/Logging_0562/artfynd/A 41091-2025 artfynd.xlsx", "A 41091-2025")</f>
        <v/>
      </c>
      <c r="X16">
        <f>HYPERLINK("https://klasma.github.io/Logging_0562/kartor/A 41091-2025 karta.png", "A 41091-2025")</f>
        <v/>
      </c>
      <c r="Y16">
        <f>HYPERLINK("https://klasma.github.io/Logging_0562/kartor_geotiff/A 41091-2025 georefererad karta.tif", "A 41091-2025")</f>
        <v/>
      </c>
      <c r="AA16">
        <f>HYPERLINK("https://klasma.github.io/Logging_0562/klagomål/A 41091-2025 FSC-klagomål.docx", "A 41091-2025")</f>
        <v/>
      </c>
      <c r="AB16">
        <f>HYPERLINK("https://klasma.github.io/Logging_0562/klagomålsmail/A 41091-2025 FSC-klagomål mail.docx", "A 41091-2025")</f>
        <v/>
      </c>
      <c r="AC16">
        <f>HYPERLINK("https://klasma.github.io/Logging_0562/tillsyn/A 41091-2025 tillsynsbegäran.docx", "A 41091-2025")</f>
        <v/>
      </c>
      <c r="AD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46230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46230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t="n">
        <v>4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46230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46230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46230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46230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46230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46230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46230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46230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46230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28382-2026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46196</v>
      </c>
      <c r="E28" s="1" t="n">
        <v>46230</v>
      </c>
      <c r="F28" t="inlineStr">
        <is>
          <t>ÖSTERGÖTLANDS LÄN</t>
        </is>
      </c>
      <c r="G28" t="inlineStr">
        <is>
          <t>FINSPÅNG</t>
        </is>
      </c>
      <c r="H28" t="inlineStr">
        <is>
          <t>Kommuner</t>
        </is>
      </c>
      <c r="I28" t="n">
        <v>2.4</v>
      </c>
      <c r="J28" t="n">
        <v>0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Mindre bastardsvärmare
Noshornsoxe
Svart trolldruva</t>
        </is>
      </c>
      <c r="W28">
        <f>HYPERLINK("https://klasma.github.io/Logging_0562/artfynd/A 28382-2026 artfynd.xlsx", "A 28382-2026")</f>
        <v/>
      </c>
      <c r="X28">
        <f>HYPERLINK("https://klasma.github.io/Logging_0562/kartor/A 28382-2026 karta.png", "A 28382-2026")</f>
        <v/>
      </c>
      <c r="Y28">
        <f>HYPERLINK("https://klasma.github.io/Logging_0562/kartor_geotiff/A 28382-2026 georefererad karta.tif", "A 28382-2026")</f>
        <v/>
      </c>
      <c r="AA28">
        <f>HYPERLINK("https://klasma.github.io/Logging_0562/klagomål/A 28382-2026 FSC-klagomål.docx", "A 28382-2026")</f>
        <v/>
      </c>
      <c r="AB28">
        <f>HYPERLINK("https://klasma.github.io/Logging_0562/klagomålsmail/A 28382-2026 FSC-klagomål mail.docx", "A 28382-2026")</f>
        <v/>
      </c>
      <c r="AC28">
        <f>HYPERLINK("https://klasma.github.io/Logging_0562/tillsyn/A 28382-2026 tillsynsbegäran.docx", "A 28382-2026")</f>
        <v/>
      </c>
      <c r="AD28">
        <f>HYPERLINK("https://klasma.github.io/Logging_0562/tillsynsmail/A 28382-2026 tillsynsbegäran mail.docx", "A 28382-2026")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46230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46230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21566-2024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46230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Tallticka
Blompraktbagge</t>
        </is>
      </c>
      <c r="W31">
        <f>HYPERLINK("https://klasma.github.io/Logging_0562/artfynd/A 21566-2024 artfynd.xlsx", "A 21566-2024")</f>
        <v/>
      </c>
      <c r="X31">
        <f>HYPERLINK("https://klasma.github.io/Logging_0562/kartor/A 21566-2024 karta.png", "A 21566-2024")</f>
        <v/>
      </c>
      <c r="Y31">
        <f>HYPERLINK("https://klasma.github.io/Logging_0562/kartor_geotiff/A 21566-2024 georefererad karta.tif", "A 21566-2024")</f>
        <v/>
      </c>
      <c r="AA31">
        <f>HYPERLINK("https://klasma.github.io/Logging_0562/klagomål/A 21566-2024 FSC-klagomål.docx", "A 21566-2024")</f>
        <v/>
      </c>
      <c r="AB31">
        <f>HYPERLINK("https://klasma.github.io/Logging_0562/klagomålsmail/A 21566-2024 FSC-klagomål mail.docx", "A 21566-2024")</f>
        <v/>
      </c>
      <c r="AC31">
        <f>HYPERLINK("https://klasma.github.io/Logging_0562/tillsyn/A 21566-2024 tillsynsbegäran.docx", "A 21566-2024")</f>
        <v/>
      </c>
      <c r="AD31">
        <f>HYPERLINK("https://klasma.github.io/Logging_0562/tillsynsmail/A 21566-2024 tillsynsbegäran mail.docx", "A 21566-2024")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46230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28395-2024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45477</v>
      </c>
      <c r="E33" s="1" t="n">
        <v>46230</v>
      </c>
      <c r="F33" t="inlineStr">
        <is>
          <t>ÖSTERGÖTLANDS LÄN</t>
        </is>
      </c>
      <c r="G33" t="inlineStr">
        <is>
          <t>FINSPÅNG</t>
        </is>
      </c>
      <c r="H33" t="inlineStr">
        <is>
          <t>Naturvårdsverket</t>
        </is>
      </c>
      <c r="I33" t="n">
        <v>0.6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Talltita
Fläcknycklar</t>
        </is>
      </c>
      <c r="W33">
        <f>HYPERLINK("https://klasma.github.io/Logging_0562/artfynd/A 28395-2024 artfynd.xlsx", "A 28395-2024")</f>
        <v/>
      </c>
      <c r="X33">
        <f>HYPERLINK("https://klasma.github.io/Logging_0562/kartor/A 28395-2024 karta.png", "A 28395-2024")</f>
        <v/>
      </c>
      <c r="Y33">
        <f>HYPERLINK("https://klasma.github.io/Logging_0562/kartor_geotiff/A 28395-2024 georefererad karta.tif", "A 28395-2024")</f>
        <v/>
      </c>
      <c r="AA33">
        <f>HYPERLINK("https://klasma.github.io/Logging_0562/klagomål/A 28395-2024 FSC-klagomål.docx", "A 28395-2024")</f>
        <v/>
      </c>
      <c r="AB33">
        <f>HYPERLINK("https://klasma.github.io/Logging_0562/klagomålsmail/A 28395-2024 FSC-klagomål mail.docx", "A 28395-2024")</f>
        <v/>
      </c>
      <c r="AC33">
        <f>HYPERLINK("https://klasma.github.io/Logging_0562/tillsyn/A 28395-2024 tillsynsbegäran.docx", "A 28395-2024")</f>
        <v/>
      </c>
      <c r="AD33">
        <f>HYPERLINK("https://klasma.github.io/Logging_0562/tillsynsmail/A 28395-2024 tillsynsbegäran mail.docx", "A 28395-2024")</f>
        <v/>
      </c>
      <c r="AE33">
        <f>HYPERLINK("https://klasma.github.io/Logging_0562/fåglar/A 28395-2024 prioriterade fågelarter.docx", "A 28395-2024")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46230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taggsvamp
Orre</t>
        </is>
      </c>
      <c r="W34">
        <f>HYPERLINK("https://klasma.github.io/Logging_0562/artfynd/A 40002-2025 artfynd.xlsx", "A 40002-2025")</f>
        <v/>
      </c>
      <c r="X34">
        <f>HYPERLINK("https://klasma.github.io/Logging_0562/kartor/A 40002-2025 karta.png", "A 40002-2025")</f>
        <v/>
      </c>
      <c r="Y34">
        <f>HYPERLINK("https://klasma.github.io/Logging_0562/kartor_geotiff/A 40002-2025 georefererad karta.tif", "A 40002-2025")</f>
        <v/>
      </c>
      <c r="AA34">
        <f>HYPERLINK("https://klasma.github.io/Logging_0562/klagomål/A 40002-2025 FSC-klagomål.docx", "A 40002-2025")</f>
        <v/>
      </c>
      <c r="AB34">
        <f>HYPERLINK("https://klasma.github.io/Logging_0562/klagomålsmail/A 40002-2025 FSC-klagomål mail.docx", "A 40002-2025")</f>
        <v/>
      </c>
      <c r="AC34">
        <f>HYPERLINK("https://klasma.github.io/Logging_0562/tillsyn/A 40002-2025 tillsynsbegäran.docx", "A 40002-2025")</f>
        <v/>
      </c>
      <c r="AD34">
        <f>HYPERLINK("https://klasma.github.io/Logging_0562/tillsynsmail/A 40002-2025 tillsynsbegäran mail.docx", "A 40002-2025")</f>
        <v/>
      </c>
      <c r="AE34">
        <f>HYPERLINK("https://klasma.github.io/Logging_0562/fåglar/A 40002-2025 prioriterade fågelarter.docx", "A 40002-2025")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46230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Skarp dropptaggsvamp
Stor aspticka</t>
        </is>
      </c>
      <c r="W35">
        <f>HYPERLINK("https://klasma.github.io/Logging_0562/artfynd/A 42388-2025 artfynd.xlsx", "A 42388-2025")</f>
        <v/>
      </c>
      <c r="X35">
        <f>HYPERLINK("https://klasma.github.io/Logging_0562/kartor/A 42388-2025 karta.png", "A 42388-2025")</f>
        <v/>
      </c>
      <c r="Y35">
        <f>HYPERLINK("https://klasma.github.io/Logging_0562/kartor_geotiff/A 42388-2025 georefererad karta.tif", "A 42388-2025")</f>
        <v/>
      </c>
      <c r="AA35">
        <f>HYPERLINK("https://klasma.github.io/Logging_0562/klagomål/A 42388-2025 FSC-klagomål.docx", "A 42388-2025")</f>
        <v/>
      </c>
      <c r="AB35">
        <f>HYPERLINK("https://klasma.github.io/Logging_0562/klagomålsmail/A 42388-2025 FSC-klagomål mail.docx", "A 42388-2025")</f>
        <v/>
      </c>
      <c r="AC35">
        <f>HYPERLINK("https://klasma.github.io/Logging_0562/tillsyn/A 42388-2025 tillsynsbegäran.docx", "A 42388-2025")</f>
        <v/>
      </c>
      <c r="AD35">
        <f>HYPERLINK("https://klasma.github.io/Logging_0562/tillsynsmail/A 42388-2025 tillsynsbegäran mail.docx", "A 42388-2025")</f>
        <v/>
      </c>
    </row>
    <row r="36" ht="15" customHeight="1">
      <c r="A36" t="inlineStr">
        <is>
          <t>A 51549-2025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45950</v>
      </c>
      <c r="E36" s="1" t="n">
        <v>46230</v>
      </c>
      <c r="F36" t="inlineStr">
        <is>
          <t>ÖSTERGÖTLANDS LÄN</t>
        </is>
      </c>
      <c r="G36" t="inlineStr">
        <is>
          <t>FINSPÅNG</t>
        </is>
      </c>
      <c r="H36" t="inlineStr">
        <is>
          <t>Övriga Aktiebolag</t>
        </is>
      </c>
      <c r="I36" t="n">
        <v>4.1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Svedjenäva
Mattlummer</t>
        </is>
      </c>
      <c r="W36">
        <f>HYPERLINK("https://klasma.github.io/Logging_0562/artfynd/A 51549-2025 artfynd.xlsx", "A 51549-2025")</f>
        <v/>
      </c>
      <c r="X36">
        <f>HYPERLINK("https://klasma.github.io/Logging_0562/kartor/A 51549-2025 karta.png", "A 51549-2025")</f>
        <v/>
      </c>
      <c r="Y36">
        <f>HYPERLINK("https://klasma.github.io/Logging_0562/kartor_geotiff/A 51549-2025 georefererad karta.tif", "A 51549-2025")</f>
        <v/>
      </c>
      <c r="AA36">
        <f>HYPERLINK("https://klasma.github.io/Logging_0562/klagomål/A 51549-2025 FSC-klagomål.docx", "A 51549-2025")</f>
        <v/>
      </c>
      <c r="AB36">
        <f>HYPERLINK("https://klasma.github.io/Logging_0562/klagomålsmail/A 51549-2025 FSC-klagomål mail.docx", "A 51549-2025")</f>
        <v/>
      </c>
      <c r="AC36">
        <f>HYPERLINK("https://klasma.github.io/Logging_0562/tillsyn/A 51549-2025 tillsynsbegäran.docx", "A 51549-2025")</f>
        <v/>
      </c>
      <c r="AD36">
        <f>HYPERLINK("https://klasma.github.io/Logging_0562/tillsynsmail/A 51549-2025 tillsynsbegäran mail.docx", "A 51549-2025")</f>
        <v/>
      </c>
    </row>
    <row r="37" ht="15" customHeight="1">
      <c r="A37" t="inlineStr">
        <is>
          <t>A 60890-2024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46230</v>
      </c>
      <c r="F37" t="inlineStr">
        <is>
          <t>ÖSTERGÖTLANDS LÄN</t>
        </is>
      </c>
      <c r="G37" t="inlineStr">
        <is>
          <t>FINSPÅNG</t>
        </is>
      </c>
      <c r="I37" t="n">
        <v>2.2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HYPERLINK("https://klasma.github.io/Logging_0562/artfynd/A 60890-2024 artfynd.xlsx", "A 60890-2024")</f>
        <v/>
      </c>
      <c r="X37">
        <f>HYPERLINK("https://klasma.github.io/Logging_0562/kartor/A 60890-2024 karta.png", "A 60890-2024")</f>
        <v/>
      </c>
      <c r="Y37">
        <f>HYPERLINK("https://klasma.github.io/Logging_0562/kartor_geotiff/A 60890-2024 georefererad karta.tif", "A 60890-2024")</f>
        <v/>
      </c>
      <c r="AA37">
        <f>HYPERLINK("https://klasma.github.io/Logging_0562/klagomål/A 60890-2024 FSC-klagomål.docx", "A 60890-2024")</f>
        <v/>
      </c>
      <c r="AB37">
        <f>HYPERLINK("https://klasma.github.io/Logging_0562/klagomålsmail/A 60890-2024 FSC-klagomål mail.docx", "A 60890-2024")</f>
        <v/>
      </c>
      <c r="AC37">
        <f>HYPERLINK("https://klasma.github.io/Logging_0562/tillsyn/A 60890-2024 tillsynsbegäran.docx", "A 60890-2024")</f>
        <v/>
      </c>
      <c r="AD37">
        <f>HYPERLINK("https://klasma.github.io/Logging_0562/tillsynsmail/A 60890-2024 tillsynsbegäran mail.docx", "A 60890-2024")</f>
        <v/>
      </c>
    </row>
    <row r="38" ht="15" customHeight="1">
      <c r="A38" t="inlineStr">
        <is>
          <t>A 9412-2023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46230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Bronshjon
Fläcknycklar</t>
        </is>
      </c>
      <c r="W38">
        <f>HYPERLINK("https://klasma.github.io/Logging_0562/artfynd/A 9412-2023 artfynd.xlsx", "A 9412-2023")</f>
        <v/>
      </c>
      <c r="X38">
        <f>HYPERLINK("https://klasma.github.io/Logging_0562/kartor/A 9412-2023 karta.png", "A 9412-2023")</f>
        <v/>
      </c>
      <c r="Y38">
        <f>HYPERLINK("https://klasma.github.io/Logging_0562/kartor_geotiff/A 9412-2023 georefererad karta.tif", "A 9412-2023")</f>
        <v/>
      </c>
      <c r="AA38">
        <f>HYPERLINK("https://klasma.github.io/Logging_0562/klagomål/A 9412-2023 FSC-klagomål.docx", "A 9412-2023")</f>
        <v/>
      </c>
      <c r="AB38">
        <f>HYPERLINK("https://klasma.github.io/Logging_0562/klagomålsmail/A 9412-2023 FSC-klagomål mail.docx", "A 9412-2023")</f>
        <v/>
      </c>
      <c r="AC38">
        <f>HYPERLINK("https://klasma.github.io/Logging_0562/tillsyn/A 9412-2023 tillsynsbegäran.docx", "A 9412-2023")</f>
        <v/>
      </c>
      <c r="AD38">
        <f>HYPERLINK("https://klasma.github.io/Logging_0562/tillsynsmail/A 9412-2023 tillsynsbegäran mail.docx", "A 9412-2023")</f>
        <v/>
      </c>
    </row>
    <row r="39" ht="15" customHeight="1">
      <c r="A39" t="inlineStr">
        <is>
          <t>A 18462-2024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45425</v>
      </c>
      <c r="E39" s="1" t="n">
        <v>46230</v>
      </c>
      <c r="F39" t="inlineStr">
        <is>
          <t>ÖSTERGÖTLANDS LÄN</t>
        </is>
      </c>
      <c r="G39" t="inlineStr">
        <is>
          <t>FINSPÅNG</t>
        </is>
      </c>
      <c r="I39" t="n">
        <v>6.1</v>
      </c>
      <c r="J39" t="n">
        <v>1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1</v>
      </c>
      <c r="V39" s="2" t="inlineStr">
        <is>
          <t>Mosippa
Gullklöver</t>
        </is>
      </c>
      <c r="W39">
        <f>HYPERLINK("https://klasma.github.io/Logging_0562/artfynd/A 18462-2024 artfynd.xlsx", "A 18462-2024")</f>
        <v/>
      </c>
      <c r="X39">
        <f>HYPERLINK("https://klasma.github.io/Logging_0562/kartor/A 18462-2024 karta.png", "A 18462-2024")</f>
        <v/>
      </c>
      <c r="Y39">
        <f>HYPERLINK("https://klasma.github.io/Logging_0562/kartor_geotiff/A 18462-2024 georefererad karta.tif", "A 18462-2024")</f>
        <v/>
      </c>
      <c r="AA39">
        <f>HYPERLINK("https://klasma.github.io/Logging_0562/klagomål/A 18462-2024 FSC-klagomål.docx", "A 18462-2024")</f>
        <v/>
      </c>
      <c r="AB39">
        <f>HYPERLINK("https://klasma.github.io/Logging_0562/klagomålsmail/A 18462-2024 FSC-klagomål mail.docx", "A 18462-2024")</f>
        <v/>
      </c>
      <c r="AC39">
        <f>HYPERLINK("https://klasma.github.io/Logging_0562/tillsyn/A 18462-2024 tillsynsbegäran.docx", "A 18462-2024")</f>
        <v/>
      </c>
      <c r="AD39">
        <f>HYPERLINK("https://klasma.github.io/Logging_0562/tillsynsmail/A 18462-2024 tillsynsbegäran mail.docx", "A 18462-2024")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46230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46230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46230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46230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32570-2023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45121</v>
      </c>
      <c r="E44" s="1" t="n">
        <v>46230</v>
      </c>
      <c r="F44" t="inlineStr">
        <is>
          <t>ÖSTERGÖTLANDS LÄN</t>
        </is>
      </c>
      <c r="G44" t="inlineStr">
        <is>
          <t>FINSPÅNG</t>
        </is>
      </c>
      <c r="H44" t="inlineStr">
        <is>
          <t>Övriga Aktiebolag</t>
        </is>
      </c>
      <c r="I44" t="n">
        <v>7.7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Talltita
Havsörn</t>
        </is>
      </c>
      <c r="W44">
        <f>HYPERLINK("https://klasma.github.io/Logging_0562/artfynd/A 32570-2023 artfynd.xlsx", "A 32570-2023")</f>
        <v/>
      </c>
      <c r="X44">
        <f>HYPERLINK("https://klasma.github.io/Logging_0562/kartor/A 32570-2023 karta.png", "A 32570-2023")</f>
        <v/>
      </c>
      <c r="Y44">
        <f>HYPERLINK("https://klasma.github.io/Logging_0562/kartor_geotiff/A 32570-2023 georefererad karta.tif", "A 32570-2023")</f>
        <v/>
      </c>
      <c r="AA44">
        <f>HYPERLINK("https://klasma.github.io/Logging_0562/klagomål/A 32570-2023 FSC-klagomål.docx", "A 32570-2023")</f>
        <v/>
      </c>
      <c r="AB44">
        <f>HYPERLINK("https://klasma.github.io/Logging_0562/klagomålsmail/A 32570-2023 FSC-klagomål mail.docx", "A 32570-2023")</f>
        <v/>
      </c>
      <c r="AC44">
        <f>HYPERLINK("https://klasma.github.io/Logging_0562/tillsyn/A 32570-2023 tillsynsbegäran.docx", "A 32570-2023")</f>
        <v/>
      </c>
      <c r="AD44">
        <f>HYPERLINK("https://klasma.github.io/Logging_0562/tillsynsmail/A 32570-2023 tillsynsbegäran mail.docx", "A 32570-2023")</f>
        <v/>
      </c>
      <c r="AE44">
        <f>HYPERLINK("https://klasma.github.io/Logging_0562/fåglar/A 32570-2023 prioriterade fågelarter.docx", "A 32570-2023")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46230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25284-2025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46230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5.9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Revlummer</t>
        </is>
      </c>
      <c r="W46">
        <f>HYPERLINK("https://klasma.github.io/Logging_0562/artfynd/A 25284-2025 artfynd.xlsx", "A 25284-2025")</f>
        <v/>
      </c>
      <c r="X46">
        <f>HYPERLINK("https://klasma.github.io/Logging_0562/kartor/A 25284-2025 karta.png", "A 25284-2025")</f>
        <v/>
      </c>
      <c r="Y46">
        <f>HYPERLINK("https://klasma.github.io/Logging_0562/kartor_geotiff/A 25284-2025 georefererad karta.tif", "A 25284-2025")</f>
        <v/>
      </c>
      <c r="AA46">
        <f>HYPERLINK("https://klasma.github.io/Logging_0562/klagomål/A 25284-2025 FSC-klagomål.docx", "A 25284-2025")</f>
        <v/>
      </c>
      <c r="AB46">
        <f>HYPERLINK("https://klasma.github.io/Logging_0562/klagomålsmail/A 25284-2025 FSC-klagomål mail.docx", "A 25284-2025")</f>
        <v/>
      </c>
      <c r="AC46">
        <f>HYPERLINK("https://klasma.github.io/Logging_0562/tillsyn/A 25284-2025 tillsynsbegäran.docx", "A 25284-2025")</f>
        <v/>
      </c>
      <c r="AD46">
        <f>HYPERLINK("https://klasma.github.io/Logging_0562/tillsynsmail/A 25284-2025 tillsynsbegäran mail.docx", "A 25284-2025")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46230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46230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46230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46230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46230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46230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46230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46230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53265-2023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46230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HYPERLINK("https://klasma.github.io/Logging_0562/artfynd/A 53265-2023 artfynd.xlsx", "A 53265-2023")</f>
        <v/>
      </c>
      <c r="X55">
        <f>HYPERLINK("https://klasma.github.io/Logging_0562/kartor/A 53265-2023 karta.png", "A 53265-2023")</f>
        <v/>
      </c>
      <c r="Y55">
        <f>HYPERLINK("https://klasma.github.io/Logging_0562/kartor_geotiff/A 53265-2023 georefererad karta.tif", "A 53265-2023")</f>
        <v/>
      </c>
      <c r="AA55">
        <f>HYPERLINK("https://klasma.github.io/Logging_0562/klagomål/A 53265-2023 FSC-klagomål.docx", "A 53265-2023")</f>
        <v/>
      </c>
      <c r="AB55">
        <f>HYPERLINK("https://klasma.github.io/Logging_0562/klagomålsmail/A 53265-2023 FSC-klagomål mail.docx", "A 53265-2023")</f>
        <v/>
      </c>
      <c r="AC55">
        <f>HYPERLINK("https://klasma.github.io/Logging_0562/tillsyn/A 53265-2023 tillsynsbegäran.docx", "A 53265-2023")</f>
        <v/>
      </c>
      <c r="AD55">
        <f>HYPERLINK("https://klasma.github.io/Logging_0562/tillsynsmail/A 53265-2023 tillsynsbegäran mail.docx", "A 53265-2023")</f>
        <v/>
      </c>
    </row>
    <row r="56" ht="15" customHeight="1">
      <c r="A56" t="inlineStr">
        <is>
          <t>A 57662-2022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44897</v>
      </c>
      <c r="E56" s="1" t="n">
        <v>46230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0.7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Järnsparv</t>
        </is>
      </c>
      <c r="W56">
        <f>HYPERLINK("https://klasma.github.io/Logging_0562/artfynd/A 57662-2022 artfynd.xlsx", "A 57662-2022")</f>
        <v/>
      </c>
      <c r="X56">
        <f>HYPERLINK("https://klasma.github.io/Logging_0562/kartor/A 57662-2022 karta.png", "A 57662-2022")</f>
        <v/>
      </c>
      <c r="Y56">
        <f>HYPERLINK("https://klasma.github.io/Logging_0562/kartor_geotiff/A 57662-2022 georefererad karta.tif", "A 57662-2022")</f>
        <v/>
      </c>
      <c r="AA56">
        <f>HYPERLINK("https://klasma.github.io/Logging_0562/klagomål/A 57662-2022 FSC-klagomål.docx", "A 57662-2022")</f>
        <v/>
      </c>
      <c r="AB56">
        <f>HYPERLINK("https://klasma.github.io/Logging_0562/klagomålsmail/A 57662-2022 FSC-klagomål mail.docx", "A 57662-2022")</f>
        <v/>
      </c>
      <c r="AC56">
        <f>HYPERLINK("https://klasma.github.io/Logging_0562/tillsyn/A 57662-2022 tillsynsbegäran.docx", "A 57662-2022")</f>
        <v/>
      </c>
      <c r="AD56">
        <f>HYPERLINK("https://klasma.github.io/Logging_0562/tillsynsmail/A 57662-2022 tillsynsbegäran mail.docx", "A 57662-2022")</f>
        <v/>
      </c>
      <c r="AE56">
        <f>HYPERLINK("https://klasma.github.io/Logging_0562/fåglar/A 57662-2022 prioriterade fågelarter.docx", "A 57662-2022")</f>
        <v/>
      </c>
    </row>
    <row r="57" ht="15" customHeight="1">
      <c r="A57" t="inlineStr">
        <is>
          <t>A 61695-2021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44501</v>
      </c>
      <c r="E57" s="1" t="n">
        <v>46230</v>
      </c>
      <c r="F57" t="inlineStr">
        <is>
          <t>ÖSTERGÖTLANDS LÄN</t>
        </is>
      </c>
      <c r="G57" t="inlineStr">
        <is>
          <t>FINSPÅNG</t>
        </is>
      </c>
      <c r="H57" t="inlineStr">
        <is>
          <t>Sveaskog</t>
        </is>
      </c>
      <c r="I57" t="n">
        <v>1.7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Kornknutmossa</t>
        </is>
      </c>
      <c r="W57">
        <f>HYPERLINK("https://klasma.github.io/Logging_0562/artfynd/A 61695-2021 artfynd.xlsx", "A 61695-2021")</f>
        <v/>
      </c>
      <c r="X57">
        <f>HYPERLINK("https://klasma.github.io/Logging_0562/kartor/A 61695-2021 karta.png", "A 61695-2021")</f>
        <v/>
      </c>
      <c r="Y57">
        <f>HYPERLINK("https://klasma.github.io/Logging_0562/kartor_geotiff/A 61695-2021 georefererad karta.tif", "A 61695-2021")</f>
        <v/>
      </c>
      <c r="AA57">
        <f>HYPERLINK("https://klasma.github.io/Logging_0562/klagomål/A 61695-2021 FSC-klagomål.docx", "A 61695-2021")</f>
        <v/>
      </c>
      <c r="AB57">
        <f>HYPERLINK("https://klasma.github.io/Logging_0562/klagomålsmail/A 61695-2021 FSC-klagomål mail.docx", "A 61695-2021")</f>
        <v/>
      </c>
      <c r="AC57">
        <f>HYPERLINK("https://klasma.github.io/Logging_0562/tillsyn/A 61695-2021 tillsynsbegäran.docx", "A 61695-2021")</f>
        <v/>
      </c>
      <c r="AD57">
        <f>HYPERLINK("https://klasma.github.io/Logging_0562/tillsynsmail/A 61695-2021 tillsynsbegäran mail.docx", "A 61695-2021")</f>
        <v/>
      </c>
    </row>
    <row r="58" ht="15" customHeight="1">
      <c r="A58" t="inlineStr">
        <is>
          <t>A 15123-2025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45744</v>
      </c>
      <c r="E58" s="1" t="n">
        <v>46230</v>
      </c>
      <c r="F58" t="inlineStr">
        <is>
          <t>ÖSTERGÖTLANDS LÄN</t>
        </is>
      </c>
      <c r="G58" t="inlineStr">
        <is>
          <t>FINSPÅNG</t>
        </is>
      </c>
      <c r="H58" t="inlineStr">
        <is>
          <t>Naturvårdsverket</t>
        </is>
      </c>
      <c r="I58" t="n">
        <v>0.8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Orre</t>
        </is>
      </c>
      <c r="W58">
        <f>HYPERLINK("https://klasma.github.io/Logging_0562/artfynd/A 15123-2025 artfynd.xlsx", "A 15123-2025")</f>
        <v/>
      </c>
      <c r="X58">
        <f>HYPERLINK("https://klasma.github.io/Logging_0562/kartor/A 15123-2025 karta.png", "A 15123-2025")</f>
        <v/>
      </c>
      <c r="Y58">
        <f>HYPERLINK("https://klasma.github.io/Logging_0562/kartor_geotiff/A 15123-2025 georefererad karta.tif", "A 15123-2025")</f>
        <v/>
      </c>
      <c r="AA58">
        <f>HYPERLINK("https://klasma.github.io/Logging_0562/klagomål/A 15123-2025 FSC-klagomål.docx", "A 15123-2025")</f>
        <v/>
      </c>
      <c r="AB58">
        <f>HYPERLINK("https://klasma.github.io/Logging_0562/klagomålsmail/A 15123-2025 FSC-klagomål mail.docx", "A 15123-2025")</f>
        <v/>
      </c>
      <c r="AC58">
        <f>HYPERLINK("https://klasma.github.io/Logging_0562/tillsyn/A 15123-2025 tillsynsbegäran.docx", "A 15123-2025")</f>
        <v/>
      </c>
      <c r="AD58">
        <f>HYPERLINK("https://klasma.github.io/Logging_0562/tillsynsmail/A 15123-2025 tillsynsbegäran mail.docx", "A 15123-2025")</f>
        <v/>
      </c>
      <c r="AE58">
        <f>HYPERLINK("https://klasma.github.io/Logging_0562/fåglar/A 15123-2025 prioriterade fågelarter.docx", "A 15123-2025")</f>
        <v/>
      </c>
    </row>
    <row r="59" ht="15" customHeight="1">
      <c r="A59" t="inlineStr">
        <is>
          <t>A 59061-2024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45636</v>
      </c>
      <c r="E59" s="1" t="n">
        <v>46230</v>
      </c>
      <c r="F59" t="inlineStr">
        <is>
          <t>ÖSTERGÖTLANDS LÄN</t>
        </is>
      </c>
      <c r="G59" t="inlineStr">
        <is>
          <t>FINSPÅNG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Ängsnycklar</t>
        </is>
      </c>
      <c r="W59">
        <f>HYPERLINK("https://klasma.github.io/Logging_0562/artfynd/A 59061-2024 artfynd.xlsx", "A 59061-2024")</f>
        <v/>
      </c>
      <c r="X59">
        <f>HYPERLINK("https://klasma.github.io/Logging_0562/kartor/A 59061-2024 karta.png", "A 59061-2024")</f>
        <v/>
      </c>
      <c r="Y59">
        <f>HYPERLINK("https://klasma.github.io/Logging_0562/kartor_geotiff/A 59061-2024 georefererad karta.tif", "A 59061-2024")</f>
        <v/>
      </c>
      <c r="AA59">
        <f>HYPERLINK("https://klasma.github.io/Logging_0562/klagomål/A 59061-2024 FSC-klagomål.docx", "A 59061-2024")</f>
        <v/>
      </c>
      <c r="AB59">
        <f>HYPERLINK("https://klasma.github.io/Logging_0562/klagomålsmail/A 59061-2024 FSC-klagomål mail.docx", "A 59061-2024")</f>
        <v/>
      </c>
      <c r="AC59">
        <f>HYPERLINK("https://klasma.github.io/Logging_0562/tillsyn/A 59061-2024 tillsynsbegäran.docx", "A 59061-2024")</f>
        <v/>
      </c>
      <c r="AD59">
        <f>HYPERLINK("https://klasma.github.io/Logging_0562/tillsynsmail/A 59061-2024 tillsynsbegäran mail.docx", "A 59061-2024")</f>
        <v/>
      </c>
    </row>
    <row r="60" ht="15" customHeight="1">
      <c r="A60" t="inlineStr">
        <is>
          <t>A 4644-2024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45328</v>
      </c>
      <c r="E60" s="1" t="n">
        <v>46230</v>
      </c>
      <c r="F60" t="inlineStr">
        <is>
          <t>ÖSTERGÖTLANDS LÄN</t>
        </is>
      </c>
      <c r="G60" t="inlineStr">
        <is>
          <t>FINSPÅNG</t>
        </is>
      </c>
      <c r="I60" t="n">
        <v>5.3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Kungsörn</t>
        </is>
      </c>
      <c r="W60">
        <f>HYPERLINK("https://klasma.github.io/Logging_0562/artfynd/A 4644-2024 artfynd.xlsx", "A 4644-2024")</f>
        <v/>
      </c>
      <c r="X60">
        <f>HYPERLINK("https://klasma.github.io/Logging_0562/kartor/A 4644-2024 karta.png", "A 4644-2024")</f>
        <v/>
      </c>
      <c r="Y60">
        <f>HYPERLINK("https://klasma.github.io/Logging_0562/kartor_geotiff/A 4644-2024 georefererad karta.tif", "A 4644-2024")</f>
        <v/>
      </c>
      <c r="AA60">
        <f>HYPERLINK("https://klasma.github.io/Logging_0562/klagomål/A 4644-2024 FSC-klagomål.docx", "A 4644-2024")</f>
        <v/>
      </c>
      <c r="AB60">
        <f>HYPERLINK("https://klasma.github.io/Logging_0562/klagomålsmail/A 4644-2024 FSC-klagomål mail.docx", "A 4644-2024")</f>
        <v/>
      </c>
      <c r="AC60">
        <f>HYPERLINK("https://klasma.github.io/Logging_0562/tillsyn/A 4644-2024 tillsynsbegäran.docx", "A 4644-2024")</f>
        <v/>
      </c>
      <c r="AD60">
        <f>HYPERLINK("https://klasma.github.io/Logging_0562/tillsynsmail/A 4644-2024 tillsynsbegäran mail.docx", "A 4644-2024")</f>
        <v/>
      </c>
      <c r="AE60">
        <f>HYPERLINK("https://klasma.github.io/Logging_0562/fåglar/A 4644-2024 prioriterade fågelarter.docx", "A 4644-2024")</f>
        <v/>
      </c>
    </row>
    <row r="61" ht="15" customHeight="1">
      <c r="A61" t="inlineStr">
        <is>
          <t>A 37748-2025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45880</v>
      </c>
      <c r="E61" s="1" t="n">
        <v>46230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HYPERLINK("https://klasma.github.io/Logging_0562/artfynd/A 37748-2025 artfynd.xlsx", "A 37748-2025")</f>
        <v/>
      </c>
      <c r="X61">
        <f>HYPERLINK("https://klasma.github.io/Logging_0562/kartor/A 37748-2025 karta.png", "A 37748-2025")</f>
        <v/>
      </c>
      <c r="Y61">
        <f>HYPERLINK("https://klasma.github.io/Logging_0562/kartor_geotiff/A 37748-2025 georefererad karta.tif", "A 37748-2025")</f>
        <v/>
      </c>
      <c r="AA61">
        <f>HYPERLINK("https://klasma.github.io/Logging_0562/klagomål/A 37748-2025 FSC-klagomål.docx", "A 37748-2025")</f>
        <v/>
      </c>
      <c r="AB61">
        <f>HYPERLINK("https://klasma.github.io/Logging_0562/klagomålsmail/A 37748-2025 FSC-klagomål mail.docx", "A 37748-2025")</f>
        <v/>
      </c>
      <c r="AC61">
        <f>HYPERLINK("https://klasma.github.io/Logging_0562/tillsyn/A 37748-2025 tillsynsbegäran.docx", "A 37748-2025")</f>
        <v/>
      </c>
      <c r="AD61">
        <f>HYPERLINK("https://klasma.github.io/Logging_0562/tillsynsmail/A 37748-2025 tillsynsbegäran mail.docx", "A 37748-2025")</f>
        <v/>
      </c>
    </row>
    <row r="62" ht="15" customHeight="1">
      <c r="A62" t="inlineStr">
        <is>
          <t>A 6035-2022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46230</v>
      </c>
      <c r="F62" t="inlineStr">
        <is>
          <t>ÖSTERGÖTLANDS LÄN</t>
        </is>
      </c>
      <c r="G62" t="inlineStr">
        <is>
          <t>FINSPÅNG</t>
        </is>
      </c>
      <c r="H62" t="inlineStr">
        <is>
          <t>Naturvårdsverket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Bred kärrtrollslända</t>
        </is>
      </c>
      <c r="W62">
        <f>HYPERLINK("https://klasma.github.io/Logging_0562/artfynd/A 6035-2022 artfynd.xlsx", "A 6035-2022")</f>
        <v/>
      </c>
      <c r="X62">
        <f>HYPERLINK("https://klasma.github.io/Logging_0562/kartor/A 6035-2022 karta.png", "A 6035-2022")</f>
        <v/>
      </c>
      <c r="Y62">
        <f>HYPERLINK("https://klasma.github.io/Logging_0562/kartor_geotiff/A 6035-2022 georefererad karta.tif", "A 6035-2022")</f>
        <v/>
      </c>
      <c r="AA62">
        <f>HYPERLINK("https://klasma.github.io/Logging_0562/klagomål/A 6035-2022 FSC-klagomål.docx", "A 6035-2022")</f>
        <v/>
      </c>
      <c r="AB62">
        <f>HYPERLINK("https://klasma.github.io/Logging_0562/klagomålsmail/A 6035-2022 FSC-klagomål mail.docx", "A 6035-2022")</f>
        <v/>
      </c>
      <c r="AC62">
        <f>HYPERLINK("https://klasma.github.io/Logging_0562/tillsyn/A 6035-2022 tillsynsbegäran.docx", "A 6035-2022")</f>
        <v/>
      </c>
      <c r="AD62">
        <f>HYPERLINK("https://klasma.github.io/Logging_0562/tillsynsmail/A 6035-2022 tillsynsbegäran mail.docx", "A 6035-2022")</f>
        <v/>
      </c>
    </row>
    <row r="63" ht="15" customHeight="1">
      <c r="A63" t="inlineStr">
        <is>
          <t>A 40385-2024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45555</v>
      </c>
      <c r="E63" s="1" t="n">
        <v>46230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1.7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Talltita</t>
        </is>
      </c>
      <c r="W63">
        <f>HYPERLINK("https://klasma.github.io/Logging_0562/artfynd/A 40385-2024 artfynd.xlsx", "A 40385-2024")</f>
        <v/>
      </c>
      <c r="X63">
        <f>HYPERLINK("https://klasma.github.io/Logging_0562/kartor/A 40385-2024 karta.png", "A 40385-2024")</f>
        <v/>
      </c>
      <c r="Y63">
        <f>HYPERLINK("https://klasma.github.io/Logging_0562/kartor_geotiff/A 40385-2024 georefererad karta.tif", "A 40385-2024")</f>
        <v/>
      </c>
      <c r="AA63">
        <f>HYPERLINK("https://klasma.github.io/Logging_0562/klagomål/A 40385-2024 FSC-klagomål.docx", "A 40385-2024")</f>
        <v/>
      </c>
      <c r="AB63">
        <f>HYPERLINK("https://klasma.github.io/Logging_0562/klagomålsmail/A 40385-2024 FSC-klagomål mail.docx", "A 40385-2024")</f>
        <v/>
      </c>
      <c r="AC63">
        <f>HYPERLINK("https://klasma.github.io/Logging_0562/tillsyn/A 40385-2024 tillsynsbegäran.docx", "A 40385-2024")</f>
        <v/>
      </c>
      <c r="AD63">
        <f>HYPERLINK("https://klasma.github.io/Logging_0562/tillsynsmail/A 40385-2024 tillsynsbegäran mail.docx", "A 40385-2024")</f>
        <v/>
      </c>
      <c r="AE63">
        <f>HYPERLINK("https://klasma.github.io/Logging_0562/fåglar/A 40385-2024 prioriterade fågelarter.docx", "A 40385-2024")</f>
        <v/>
      </c>
    </row>
    <row r="64" ht="15" customHeight="1">
      <c r="A64" t="inlineStr">
        <is>
          <t>A 22555-2024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45447</v>
      </c>
      <c r="E64" s="1" t="n">
        <v>46230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26.7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Hasselsnok</t>
        </is>
      </c>
      <c r="W64">
        <f>HYPERLINK("https://klasma.github.io/Logging_0562/artfynd/A 22555-2024 artfynd.xlsx", "A 22555-2024")</f>
        <v/>
      </c>
      <c r="X64">
        <f>HYPERLINK("https://klasma.github.io/Logging_0562/kartor/A 22555-2024 karta.png", "A 22555-2024")</f>
        <v/>
      </c>
      <c r="Y64">
        <f>HYPERLINK("https://klasma.github.io/Logging_0562/kartor_geotiff/A 22555-2024 georefererad karta.tif", "A 22555-2024")</f>
        <v/>
      </c>
      <c r="AA64">
        <f>HYPERLINK("https://klasma.github.io/Logging_0562/klagomål/A 22555-2024 FSC-klagomål.docx", "A 22555-2024")</f>
        <v/>
      </c>
      <c r="AB64">
        <f>HYPERLINK("https://klasma.github.io/Logging_0562/klagomålsmail/A 22555-2024 FSC-klagomål mail.docx", "A 22555-2024")</f>
        <v/>
      </c>
      <c r="AC64">
        <f>HYPERLINK("https://klasma.github.io/Logging_0562/tillsyn/A 22555-2024 tillsynsbegäran.docx", "A 22555-2024")</f>
        <v/>
      </c>
      <c r="AD64">
        <f>HYPERLINK("https://klasma.github.io/Logging_0562/tillsynsmail/A 22555-2024 tillsynsbegäran mail.docx", "A 22555-2024")</f>
        <v/>
      </c>
    </row>
    <row r="65" ht="15" customHeight="1">
      <c r="A65" t="inlineStr">
        <is>
          <t>A 42366-2025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45905</v>
      </c>
      <c r="E65" s="1" t="n">
        <v>46230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Vit vedfingersvamp</t>
        </is>
      </c>
      <c r="W65">
        <f>HYPERLINK("https://klasma.github.io/Logging_0562/artfynd/A 42366-2025 artfynd.xlsx", "A 42366-2025")</f>
        <v/>
      </c>
      <c r="X65">
        <f>HYPERLINK("https://klasma.github.io/Logging_0562/kartor/A 42366-2025 karta.png", "A 42366-2025")</f>
        <v/>
      </c>
      <c r="Y65">
        <f>HYPERLINK("https://klasma.github.io/Logging_0562/kartor_geotiff/A 42366-2025 georefererad karta.tif", "A 42366-2025")</f>
        <v/>
      </c>
      <c r="AA65">
        <f>HYPERLINK("https://klasma.github.io/Logging_0562/klagomål/A 42366-2025 FSC-klagomål.docx", "A 42366-2025")</f>
        <v/>
      </c>
      <c r="AB65">
        <f>HYPERLINK("https://klasma.github.io/Logging_0562/klagomålsmail/A 42366-2025 FSC-klagomål mail.docx", "A 42366-2025")</f>
        <v/>
      </c>
      <c r="AC65">
        <f>HYPERLINK("https://klasma.github.io/Logging_0562/tillsyn/A 42366-2025 tillsynsbegäran.docx", "A 42366-2025")</f>
        <v/>
      </c>
      <c r="AD65">
        <f>HYPERLINK("https://klasma.github.io/Logging_0562/tillsynsmail/A 42366-2025 tillsynsbegäran mail.docx", "A 42366-2025")</f>
        <v/>
      </c>
    </row>
    <row r="66" ht="15" customHeight="1">
      <c r="A66" t="inlineStr">
        <is>
          <t>A 38229-2025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46230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5.5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Lake</t>
        </is>
      </c>
      <c r="W66">
        <f>HYPERLINK("https://klasma.github.io/Logging_0562/artfynd/A 38229-2025 artfynd.xlsx", "A 38229-2025")</f>
        <v/>
      </c>
      <c r="X66">
        <f>HYPERLINK("https://klasma.github.io/Logging_0562/kartor/A 38229-2025 karta.png", "A 38229-2025")</f>
        <v/>
      </c>
      <c r="Y66">
        <f>HYPERLINK("https://klasma.github.io/Logging_0562/kartor_geotiff/A 38229-2025 georefererad karta.tif", "A 38229-2025")</f>
        <v/>
      </c>
      <c r="AA66">
        <f>HYPERLINK("https://klasma.github.io/Logging_0562/klagomål/A 38229-2025 FSC-klagomål.docx", "A 38229-2025")</f>
        <v/>
      </c>
      <c r="AB66">
        <f>HYPERLINK("https://klasma.github.io/Logging_0562/klagomålsmail/A 38229-2025 FSC-klagomål mail.docx", "A 38229-2025")</f>
        <v/>
      </c>
      <c r="AC66">
        <f>HYPERLINK("https://klasma.github.io/Logging_0562/tillsyn/A 38229-2025 tillsynsbegäran.docx", "A 38229-2025")</f>
        <v/>
      </c>
      <c r="AD66">
        <f>HYPERLINK("https://klasma.github.io/Logging_0562/tillsynsmail/A 38229-2025 tillsynsbegäran mail.docx", "A 38229-2025")</f>
        <v/>
      </c>
    </row>
    <row r="67" ht="15" customHeight="1">
      <c r="A67" t="inlineStr">
        <is>
          <t>A 3941-2026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46043</v>
      </c>
      <c r="E67" s="1" t="n">
        <v>46230</v>
      </c>
      <c r="F67" t="inlineStr">
        <is>
          <t>ÖSTERGÖTLANDS LÄN</t>
        </is>
      </c>
      <c r="G67" t="inlineStr">
        <is>
          <t>FINSPÅNG</t>
        </is>
      </c>
      <c r="H67" t="inlineStr">
        <is>
          <t>Övriga Aktiebolag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Trana</t>
        </is>
      </c>
      <c r="W67">
        <f>HYPERLINK("https://klasma.github.io/Logging_0562/artfynd/A 3941-2026 artfynd.xlsx", "A 3941-2026")</f>
        <v/>
      </c>
      <c r="X67">
        <f>HYPERLINK("https://klasma.github.io/Logging_0562/kartor/A 3941-2026 karta.png", "A 3941-2026")</f>
        <v/>
      </c>
      <c r="Y67">
        <f>HYPERLINK("https://klasma.github.io/Logging_0562/kartor_geotiff/A 3941-2026 georefererad karta.tif", "A 3941-2026")</f>
        <v/>
      </c>
      <c r="AA67">
        <f>HYPERLINK("https://klasma.github.io/Logging_0562/klagomål/A 3941-2026 FSC-klagomål.docx", "A 3941-2026")</f>
        <v/>
      </c>
      <c r="AB67">
        <f>HYPERLINK("https://klasma.github.io/Logging_0562/klagomålsmail/A 3941-2026 FSC-klagomål mail.docx", "A 3941-2026")</f>
        <v/>
      </c>
      <c r="AC67">
        <f>HYPERLINK("https://klasma.github.io/Logging_0562/tillsyn/A 3941-2026 tillsynsbegäran.docx", "A 3941-2026")</f>
        <v/>
      </c>
      <c r="AD67">
        <f>HYPERLINK("https://klasma.github.io/Logging_0562/tillsynsmail/A 3941-2026 tillsynsbegäran mail.docx", "A 3941-2026")</f>
        <v/>
      </c>
      <c r="AE67">
        <f>HYPERLINK("https://klasma.github.io/Logging_0562/fåglar/A 3941-2026 prioriterade fågelarter.docx", "A 3941-2026")</f>
        <v/>
      </c>
    </row>
    <row r="68" ht="15" customHeight="1">
      <c r="A68" t="inlineStr">
        <is>
          <t>A 22259-2024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45446</v>
      </c>
      <c r="E68" s="1" t="n">
        <v>46230</v>
      </c>
      <c r="F68" t="inlineStr">
        <is>
          <t>ÖSTERGÖTLANDS LÄN</t>
        </is>
      </c>
      <c r="G68" t="inlineStr">
        <is>
          <t>FINSPÅNG</t>
        </is>
      </c>
      <c r="I68" t="n">
        <v>2.7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Gullklöver</t>
        </is>
      </c>
      <c r="W68">
        <f>HYPERLINK("https://klasma.github.io/Logging_0562/artfynd/A 22259-2024 artfynd.xlsx", "A 22259-2024")</f>
        <v/>
      </c>
      <c r="X68">
        <f>HYPERLINK("https://klasma.github.io/Logging_0562/kartor/A 22259-2024 karta.png", "A 22259-2024")</f>
        <v/>
      </c>
      <c r="Y68">
        <f>HYPERLINK("https://klasma.github.io/Logging_0562/kartor_geotiff/A 22259-2024 georefererad karta.tif", "A 22259-2024")</f>
        <v/>
      </c>
      <c r="AA68">
        <f>HYPERLINK("https://klasma.github.io/Logging_0562/klagomål/A 22259-2024 FSC-klagomål.docx", "A 22259-2024")</f>
        <v/>
      </c>
      <c r="AB68">
        <f>HYPERLINK("https://klasma.github.io/Logging_0562/klagomålsmail/A 22259-2024 FSC-klagomål mail.docx", "A 22259-2024")</f>
        <v/>
      </c>
      <c r="AC68">
        <f>HYPERLINK("https://klasma.github.io/Logging_0562/tillsyn/A 22259-2024 tillsynsbegäran.docx", "A 22259-2024")</f>
        <v/>
      </c>
      <c r="AD68">
        <f>HYPERLINK("https://klasma.github.io/Logging_0562/tillsynsmail/A 22259-2024 tillsynsbegäran mail.docx", "A 22259-2024")</f>
        <v/>
      </c>
    </row>
    <row r="69" ht="15" customHeight="1">
      <c r="A69" t="inlineStr">
        <is>
          <t>A 43858-2021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44434</v>
      </c>
      <c r="E69" s="1" t="n">
        <v>46230</v>
      </c>
      <c r="F69" t="inlineStr">
        <is>
          <t>ÖSTERGÖTLANDS LÄN</t>
        </is>
      </c>
      <c r="G69" t="inlineStr">
        <is>
          <t>FINSPÅNG</t>
        </is>
      </c>
      <c r="H69" t="inlineStr">
        <is>
          <t>Övriga Aktiebolag</t>
        </is>
      </c>
      <c r="I69" t="n">
        <v>12.2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Kavelhirs</t>
        </is>
      </c>
      <c r="W69">
        <f>HYPERLINK("https://klasma.github.io/Logging_0562/artfynd/A 43858-2021 artfynd.xlsx", "A 43858-2021")</f>
        <v/>
      </c>
      <c r="X69">
        <f>HYPERLINK("https://klasma.github.io/Logging_0562/kartor/A 43858-2021 karta.png", "A 43858-2021")</f>
        <v/>
      </c>
      <c r="Y69">
        <f>HYPERLINK("https://klasma.github.io/Logging_0562/kartor_geotiff/A 43858-2021 georefererad karta.tif", "A 43858-2021")</f>
        <v/>
      </c>
      <c r="AA69">
        <f>HYPERLINK("https://klasma.github.io/Logging_0562/klagomål/A 43858-2021 FSC-klagomål.docx", "A 43858-2021")</f>
        <v/>
      </c>
      <c r="AB69">
        <f>HYPERLINK("https://klasma.github.io/Logging_0562/klagomålsmail/A 43858-2021 FSC-klagomål mail.docx", "A 43858-2021")</f>
        <v/>
      </c>
      <c r="AC69">
        <f>HYPERLINK("https://klasma.github.io/Logging_0562/tillsyn/A 43858-2021 tillsynsbegäran.docx", "A 43858-2021")</f>
        <v/>
      </c>
      <c r="AD69">
        <f>HYPERLINK("https://klasma.github.io/Logging_0562/tillsynsmail/A 43858-2021 tillsynsbegäran mail.docx", "A 43858-2021")</f>
        <v/>
      </c>
    </row>
    <row r="70" ht="15" customHeight="1">
      <c r="A70" t="inlineStr">
        <is>
          <t>A 6407-2023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44965</v>
      </c>
      <c r="E70" s="1" t="n">
        <v>46230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Tjäder</t>
        </is>
      </c>
      <c r="W70">
        <f>HYPERLINK("https://klasma.github.io/Logging_0562/artfynd/A 6407-2023 artfynd.xlsx", "A 6407-2023")</f>
        <v/>
      </c>
      <c r="X70">
        <f>HYPERLINK("https://klasma.github.io/Logging_0562/kartor/A 6407-2023 karta.png", "A 6407-2023")</f>
        <v/>
      </c>
      <c r="Y70">
        <f>HYPERLINK("https://klasma.github.io/Logging_0562/kartor_geotiff/A 6407-2023 georefererad karta.tif", "A 6407-2023")</f>
        <v/>
      </c>
      <c r="AA70">
        <f>HYPERLINK("https://klasma.github.io/Logging_0562/klagomål/A 6407-2023 FSC-klagomål.docx", "A 6407-2023")</f>
        <v/>
      </c>
      <c r="AB70">
        <f>HYPERLINK("https://klasma.github.io/Logging_0562/klagomålsmail/A 6407-2023 FSC-klagomål mail.docx", "A 6407-2023")</f>
        <v/>
      </c>
      <c r="AC70">
        <f>HYPERLINK("https://klasma.github.io/Logging_0562/tillsyn/A 6407-2023 tillsynsbegäran.docx", "A 6407-2023")</f>
        <v/>
      </c>
      <c r="AD70">
        <f>HYPERLINK("https://klasma.github.io/Logging_0562/tillsynsmail/A 6407-2023 tillsynsbegäran mail.docx", "A 6407-2023")</f>
        <v/>
      </c>
      <c r="AE70">
        <f>HYPERLINK("https://klasma.github.io/Logging_0562/fåglar/A 6407-2023 prioriterade fågelarter.docx", "A 6407-2023")</f>
        <v/>
      </c>
    </row>
    <row r="71" ht="15" customHeight="1">
      <c r="A71" t="inlineStr">
        <is>
          <t>A 42837-2024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45566</v>
      </c>
      <c r="E71" s="1" t="n">
        <v>46230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2</v>
      </c>
      <c r="V71" s="2" t="inlineStr">
        <is>
          <t>Knärot</t>
        </is>
      </c>
      <c r="W71">
        <f>HYPERLINK("https://klasma.github.io/Logging_0562/artfynd/A 42837-2024 artfynd.xlsx", "A 42837-2024")</f>
        <v/>
      </c>
      <c r="X71">
        <f>HYPERLINK("https://klasma.github.io/Logging_0562/kartor/A 42837-2024 karta.png", "A 42837-2024")</f>
        <v/>
      </c>
      <c r="Y71">
        <f>HYPERLINK("https://klasma.github.io/Logging_0562/kartor_geotiff/A 42837-2024 georefererad karta.tif", "A 42837-2024")</f>
        <v/>
      </c>
      <c r="Z71">
        <f>HYPERLINK("https://klasma.github.io/Logging_0562/knärot/A 42837-2024 karta knärot.png", "A 42837-2024")</f>
        <v/>
      </c>
      <c r="AA71">
        <f>HYPERLINK("https://klasma.github.io/Logging_0562/klagomål/A 42837-2024 FSC-klagomål.docx", "A 42837-2024")</f>
        <v/>
      </c>
      <c r="AB71">
        <f>HYPERLINK("https://klasma.github.io/Logging_0562/klagomålsmail/A 42837-2024 FSC-klagomål mail.docx", "A 42837-2024")</f>
        <v/>
      </c>
      <c r="AC71">
        <f>HYPERLINK("https://klasma.github.io/Logging_0562/tillsyn/A 42837-2024 tillsynsbegäran.docx", "A 42837-2024")</f>
        <v/>
      </c>
      <c r="AD71">
        <f>HYPERLINK("https://klasma.github.io/Logging_0562/tillsynsmail/A 42837-2024 tillsynsbegäran mail.docx", "A 42837-2024")</f>
        <v/>
      </c>
    </row>
    <row r="72" ht="15" customHeight="1">
      <c r="A72" t="inlineStr">
        <is>
          <t>A 663-2023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44930</v>
      </c>
      <c r="E72" s="1" t="n">
        <v>46230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HYPERLINK("https://klasma.github.io/Logging_0562/artfynd/A 663-2023 artfynd.xlsx", "A 663-2023")</f>
        <v/>
      </c>
      <c r="X72">
        <f>HYPERLINK("https://klasma.github.io/Logging_0562/kartor/A 663-2023 karta.png", "A 663-2023")</f>
        <v/>
      </c>
      <c r="Y72">
        <f>HYPERLINK("https://klasma.github.io/Logging_0562/kartor_geotiff/A 663-2023 georefererad karta.tif", "A 663-2023")</f>
        <v/>
      </c>
      <c r="AA72">
        <f>HYPERLINK("https://klasma.github.io/Logging_0562/klagomål/A 663-2023 FSC-klagomål.docx", "A 663-2023")</f>
        <v/>
      </c>
      <c r="AB72">
        <f>HYPERLINK("https://klasma.github.io/Logging_0562/klagomålsmail/A 663-2023 FSC-klagomål mail.docx", "A 663-2023")</f>
        <v/>
      </c>
      <c r="AC72">
        <f>HYPERLINK("https://klasma.github.io/Logging_0562/tillsyn/A 663-2023 tillsynsbegäran.docx", "A 663-2023")</f>
        <v/>
      </c>
      <c r="AD72">
        <f>HYPERLINK("https://klasma.github.io/Logging_0562/tillsynsmail/A 663-2023 tillsynsbegäran mail.docx", "A 663-2023")</f>
        <v/>
      </c>
    </row>
    <row r="73" ht="15" customHeight="1">
      <c r="A73" t="inlineStr">
        <is>
          <t>A 61254-2022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44915</v>
      </c>
      <c r="E73" s="1" t="n">
        <v>46230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0.9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HYPERLINK("https://klasma.github.io/Logging_0562/artfynd/A 61254-2022 artfynd.xlsx", "A 61254-2022")</f>
        <v/>
      </c>
      <c r="X73">
        <f>HYPERLINK("https://klasma.github.io/Logging_0562/kartor/A 61254-2022 karta.png", "A 61254-2022")</f>
        <v/>
      </c>
      <c r="Y73">
        <f>HYPERLINK("https://klasma.github.io/Logging_0562/kartor_geotiff/A 61254-2022 georefererad karta.tif", "A 61254-2022")</f>
        <v/>
      </c>
      <c r="AA73">
        <f>HYPERLINK("https://klasma.github.io/Logging_0562/klagomål/A 61254-2022 FSC-klagomål.docx", "A 61254-2022")</f>
        <v/>
      </c>
      <c r="AB73">
        <f>HYPERLINK("https://klasma.github.io/Logging_0562/klagomålsmail/A 61254-2022 FSC-klagomål mail.docx", "A 61254-2022")</f>
        <v/>
      </c>
      <c r="AC73">
        <f>HYPERLINK("https://klasma.github.io/Logging_0562/tillsyn/A 61254-2022 tillsynsbegäran.docx", "A 61254-2022")</f>
        <v/>
      </c>
      <c r="AD73">
        <f>HYPERLINK("https://klasma.github.io/Logging_0562/tillsynsmail/A 61254-2022 tillsynsbegäran mail.docx", "A 61254-2022")</f>
        <v/>
      </c>
    </row>
    <row r="74" ht="15" customHeight="1">
      <c r="A74" t="inlineStr">
        <is>
          <t>A 22587-2026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46155</v>
      </c>
      <c r="E74" s="1" t="n">
        <v>46230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HYPERLINK("https://klasma.github.io/Logging_0562/artfynd/A 22587-2026 artfynd.xlsx", "A 22587-2026")</f>
        <v/>
      </c>
      <c r="X74">
        <f>HYPERLINK("https://klasma.github.io/Logging_0562/kartor/A 22587-2026 karta.png", "A 22587-2026")</f>
        <v/>
      </c>
      <c r="Y74">
        <f>HYPERLINK("https://klasma.github.io/Logging_0562/kartor_geotiff/A 22587-2026 georefererad karta.tif", "A 22587-2026")</f>
        <v/>
      </c>
      <c r="AA74">
        <f>HYPERLINK("https://klasma.github.io/Logging_0562/klagomål/A 22587-2026 FSC-klagomål.docx", "A 22587-2026")</f>
        <v/>
      </c>
      <c r="AB74">
        <f>HYPERLINK("https://klasma.github.io/Logging_0562/klagomålsmail/A 22587-2026 FSC-klagomål mail.docx", "A 22587-2026")</f>
        <v/>
      </c>
      <c r="AC74">
        <f>HYPERLINK("https://klasma.github.io/Logging_0562/tillsyn/A 22587-2026 tillsynsbegäran.docx", "A 22587-2026")</f>
        <v/>
      </c>
      <c r="AD74">
        <f>HYPERLINK("https://klasma.github.io/Logging_0562/tillsynsmail/A 22587-2026 tillsynsbegäran mail.docx", "A 22587-2026")</f>
        <v/>
      </c>
      <c r="AE74">
        <f>HYPERLINK("https://klasma.github.io/Logging_0562/fåglar/A 22587-2026 prioriterade fågelarter.docx", "A 22587-2026")</f>
        <v/>
      </c>
    </row>
    <row r="75" ht="15" customHeight="1">
      <c r="A75" t="inlineStr">
        <is>
          <t>A 27456-2026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46189</v>
      </c>
      <c r="E75" s="1" t="n">
        <v>46230</v>
      </c>
      <c r="F75" t="inlineStr">
        <is>
          <t>ÖSTERGÖTLANDS LÄN</t>
        </is>
      </c>
      <c r="G75" t="inlineStr">
        <is>
          <t>FINSPÅNG</t>
        </is>
      </c>
      <c r="I75" t="n">
        <v>0.6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Tibast</t>
        </is>
      </c>
      <c r="W75">
        <f>HYPERLINK("https://klasma.github.io/Logging_0562/artfynd/A 27456-2026 artfynd.xlsx", "A 27456-2026")</f>
        <v/>
      </c>
      <c r="X75">
        <f>HYPERLINK("https://klasma.github.io/Logging_0562/kartor/A 27456-2026 karta.png", "A 27456-2026")</f>
        <v/>
      </c>
      <c r="Y75">
        <f>HYPERLINK("https://klasma.github.io/Logging_0562/kartor_geotiff/A 27456-2026 georefererad karta.tif", "A 27456-2026")</f>
        <v/>
      </c>
      <c r="AA75">
        <f>HYPERLINK("https://klasma.github.io/Logging_0562/klagomål/A 27456-2026 FSC-klagomål.docx", "A 27456-2026")</f>
        <v/>
      </c>
      <c r="AB75">
        <f>HYPERLINK("https://klasma.github.io/Logging_0562/klagomålsmail/A 27456-2026 FSC-klagomål mail.docx", "A 27456-2026")</f>
        <v/>
      </c>
      <c r="AC75">
        <f>HYPERLINK("https://klasma.github.io/Logging_0562/tillsyn/A 27456-2026 tillsynsbegäran.docx", "A 27456-2026")</f>
        <v/>
      </c>
      <c r="AD75">
        <f>HYPERLINK("https://klasma.github.io/Logging_0562/tillsynsmail/A 27456-2026 tillsynsbegäran mail.docx", "A 27456-2026")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46230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54302-2023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46230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Lopplummer (aggregat)</t>
        </is>
      </c>
      <c r="W77">
        <f>HYPERLINK("https://klasma.github.io/Logging_0562/artfynd/A 54302-2023 artfynd.xlsx", "A 54302-2023")</f>
        <v/>
      </c>
      <c r="X77">
        <f>HYPERLINK("https://klasma.github.io/Logging_0562/kartor/A 54302-2023 karta.png", "A 54302-2023")</f>
        <v/>
      </c>
      <c r="Y77">
        <f>HYPERLINK("https://klasma.github.io/Logging_0562/kartor_geotiff/A 54302-2023 georefererad karta.tif", "A 54302-2023")</f>
        <v/>
      </c>
      <c r="AA77">
        <f>HYPERLINK("https://klasma.github.io/Logging_0562/klagomål/A 54302-2023 FSC-klagomål.docx", "A 54302-2023")</f>
        <v/>
      </c>
      <c r="AB77">
        <f>HYPERLINK("https://klasma.github.io/Logging_0562/klagomålsmail/A 54302-2023 FSC-klagomål mail.docx", "A 54302-2023")</f>
        <v/>
      </c>
      <c r="AC77">
        <f>HYPERLINK("https://klasma.github.io/Logging_0562/tillsyn/A 54302-2023 tillsynsbegäran.docx", "A 54302-2023")</f>
        <v/>
      </c>
      <c r="AD77">
        <f>HYPERLINK("https://klasma.github.io/Logging_0562/tillsynsmail/A 54302-2023 tillsynsbegäran mail.docx", "A 54302-2023")</f>
        <v/>
      </c>
    </row>
    <row r="78" ht="15" customHeight="1">
      <c r="A78" t="inlineStr">
        <is>
          <t>A 10203-2022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46230</v>
      </c>
      <c r="F78" t="inlineStr">
        <is>
          <t>ÖSTERGÖTLANDS LÄN</t>
        </is>
      </c>
      <c r="G78" t="inlineStr">
        <is>
          <t>FINSPÅNG</t>
        </is>
      </c>
      <c r="I78" t="n">
        <v>0.6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backsmörblomma</t>
        </is>
      </c>
      <c r="W78">
        <f>HYPERLINK("https://klasma.github.io/Logging_0562/artfynd/A 10203-2022 artfynd.xlsx", "A 10203-2022")</f>
        <v/>
      </c>
      <c r="X78">
        <f>HYPERLINK("https://klasma.github.io/Logging_0562/kartor/A 10203-2022 karta.png", "A 10203-2022")</f>
        <v/>
      </c>
      <c r="Y78">
        <f>HYPERLINK("https://klasma.github.io/Logging_0562/kartor_geotiff/A 10203-2022 georefererad karta.tif", "A 10203-2022")</f>
        <v/>
      </c>
      <c r="AA78">
        <f>HYPERLINK("https://klasma.github.io/Logging_0562/klagomål/A 10203-2022 FSC-klagomål.docx", "A 10203-2022")</f>
        <v/>
      </c>
      <c r="AB78">
        <f>HYPERLINK("https://klasma.github.io/Logging_0562/klagomålsmail/A 10203-2022 FSC-klagomål mail.docx", "A 10203-2022")</f>
        <v/>
      </c>
      <c r="AC78">
        <f>HYPERLINK("https://klasma.github.io/Logging_0562/tillsyn/A 10203-2022 tillsynsbegäran.docx", "A 10203-2022")</f>
        <v/>
      </c>
      <c r="AD78">
        <f>HYPERLINK("https://klasma.github.io/Logging_0562/tillsynsmail/A 10203-2022 tillsynsbegäran mail.docx", "A 10203-2022")</f>
        <v/>
      </c>
    </row>
    <row r="79" ht="15" customHeight="1">
      <c r="A79" t="inlineStr">
        <is>
          <t>A 5427-2026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46050</v>
      </c>
      <c r="E79" s="1" t="n">
        <v>46230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Skogsklocka</t>
        </is>
      </c>
      <c r="W79">
        <f>HYPERLINK("https://klasma.github.io/Logging_0562/artfynd/A 5427-2026 artfynd.xlsx", "A 5427-2026")</f>
        <v/>
      </c>
      <c r="X79">
        <f>HYPERLINK("https://klasma.github.io/Logging_0562/kartor/A 5427-2026 karta.png", "A 5427-2026")</f>
        <v/>
      </c>
      <c r="Y79">
        <f>HYPERLINK("https://klasma.github.io/Logging_0562/kartor_geotiff/A 5427-2026 georefererad karta.tif", "A 5427-2026")</f>
        <v/>
      </c>
      <c r="AA79">
        <f>HYPERLINK("https://klasma.github.io/Logging_0562/klagomål/A 5427-2026 FSC-klagomål.docx", "A 5427-2026")</f>
        <v/>
      </c>
      <c r="AB79">
        <f>HYPERLINK("https://klasma.github.io/Logging_0562/klagomålsmail/A 5427-2026 FSC-klagomål mail.docx", "A 5427-2026")</f>
        <v/>
      </c>
      <c r="AC79">
        <f>HYPERLINK("https://klasma.github.io/Logging_0562/tillsyn/A 5427-2026 tillsynsbegäran.docx", "A 5427-2026")</f>
        <v/>
      </c>
      <c r="AD79">
        <f>HYPERLINK("https://klasma.github.io/Logging_0562/tillsynsmail/A 5427-2026 tillsynsbegäran mail.docx", "A 5427-2026")</f>
        <v/>
      </c>
    </row>
    <row r="80" ht="15" customHeight="1">
      <c r="A80" t="inlineStr">
        <is>
          <t>A 7265-2026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46058</v>
      </c>
      <c r="E80" s="1" t="n">
        <v>46230</v>
      </c>
      <c r="F80" t="inlineStr">
        <is>
          <t>ÖSTERGÖTLANDS LÄN</t>
        </is>
      </c>
      <c r="G80" t="inlineStr">
        <is>
          <t>FINSPÅNG</t>
        </is>
      </c>
      <c r="H80" t="inlineStr">
        <is>
          <t>Övriga Aktiebolag</t>
        </is>
      </c>
      <c r="I80" t="n">
        <v>2.2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Havsörn</t>
        </is>
      </c>
      <c r="W80">
        <f>HYPERLINK("https://klasma.github.io/Logging_0562/artfynd/A 7265-2026 artfynd.xlsx", "A 7265-2026")</f>
        <v/>
      </c>
      <c r="X80">
        <f>HYPERLINK("https://klasma.github.io/Logging_0562/kartor/A 7265-2026 karta.png", "A 7265-2026")</f>
        <v/>
      </c>
      <c r="Y80">
        <f>HYPERLINK("https://klasma.github.io/Logging_0562/kartor_geotiff/A 7265-2026 georefererad karta.tif", "A 7265-2026")</f>
        <v/>
      </c>
      <c r="AA80">
        <f>HYPERLINK("https://klasma.github.io/Logging_0562/klagomål/A 7265-2026 FSC-klagomål.docx", "A 7265-2026")</f>
        <v/>
      </c>
      <c r="AB80">
        <f>HYPERLINK("https://klasma.github.io/Logging_0562/klagomålsmail/A 7265-2026 FSC-klagomål mail.docx", "A 7265-2026")</f>
        <v/>
      </c>
      <c r="AC80">
        <f>HYPERLINK("https://klasma.github.io/Logging_0562/tillsyn/A 7265-2026 tillsynsbegäran.docx", "A 7265-2026")</f>
        <v/>
      </c>
      <c r="AD80">
        <f>HYPERLINK("https://klasma.github.io/Logging_0562/tillsynsmail/A 7265-2026 tillsynsbegäran mail.docx", "A 7265-2026")</f>
        <v/>
      </c>
      <c r="AE80">
        <f>HYPERLINK("https://klasma.github.io/Logging_0562/fåglar/A 7265-2026 prioriterade fågelarter.docx", "A 7265-2026")</f>
        <v/>
      </c>
    </row>
    <row r="81" ht="15" customHeight="1">
      <c r="A81" t="inlineStr">
        <is>
          <t>A 39078-2022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46230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Skogsklocka</t>
        </is>
      </c>
      <c r="W81">
        <f>HYPERLINK("https://klasma.github.io/Logging_0562/artfynd/A 39078-2022 artfynd.xlsx", "A 39078-2022")</f>
        <v/>
      </c>
      <c r="X81">
        <f>HYPERLINK("https://klasma.github.io/Logging_0562/kartor/A 39078-2022 karta.png", "A 39078-2022")</f>
        <v/>
      </c>
      <c r="Y81">
        <f>HYPERLINK("https://klasma.github.io/Logging_0562/kartor_geotiff/A 39078-2022 georefererad karta.tif", "A 39078-2022")</f>
        <v/>
      </c>
      <c r="AA81">
        <f>HYPERLINK("https://klasma.github.io/Logging_0562/klagomål/A 39078-2022 FSC-klagomål.docx", "A 39078-2022")</f>
        <v/>
      </c>
      <c r="AB81">
        <f>HYPERLINK("https://klasma.github.io/Logging_0562/klagomålsmail/A 39078-2022 FSC-klagomål mail.docx", "A 39078-2022")</f>
        <v/>
      </c>
      <c r="AC81">
        <f>HYPERLINK("https://klasma.github.io/Logging_0562/tillsyn/A 39078-2022 tillsynsbegäran.docx", "A 39078-2022")</f>
        <v/>
      </c>
      <c r="AD81">
        <f>HYPERLINK("https://klasma.github.io/Logging_0562/tillsynsmail/A 39078-2022 tillsynsbegäran mail.docx", "A 39078-2022")</f>
        <v/>
      </c>
    </row>
    <row r="82" ht="15" customHeight="1">
      <c r="A82" t="inlineStr">
        <is>
          <t>A 18915-2026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46129</v>
      </c>
      <c r="E82" s="1" t="n">
        <v>46230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6.1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Havsörn</t>
        </is>
      </c>
      <c r="W82">
        <f>HYPERLINK("https://klasma.github.io/Logging_0562/artfynd/A 18915-2026 artfynd.xlsx", "A 18915-2026")</f>
        <v/>
      </c>
      <c r="X82">
        <f>HYPERLINK("https://klasma.github.io/Logging_0562/kartor/A 18915-2026 karta.png", "A 18915-2026")</f>
        <v/>
      </c>
      <c r="Y82">
        <f>HYPERLINK("https://klasma.github.io/Logging_0562/kartor_geotiff/A 18915-2026 georefererad karta.tif", "A 18915-2026")</f>
        <v/>
      </c>
      <c r="AA82">
        <f>HYPERLINK("https://klasma.github.io/Logging_0562/klagomål/A 18915-2026 FSC-klagomål.docx", "A 18915-2026")</f>
        <v/>
      </c>
      <c r="AB82">
        <f>HYPERLINK("https://klasma.github.io/Logging_0562/klagomålsmail/A 18915-2026 FSC-klagomål mail.docx", "A 18915-2026")</f>
        <v/>
      </c>
      <c r="AC82">
        <f>HYPERLINK("https://klasma.github.io/Logging_0562/tillsyn/A 18915-2026 tillsynsbegäran.docx", "A 18915-2026")</f>
        <v/>
      </c>
      <c r="AD82">
        <f>HYPERLINK("https://klasma.github.io/Logging_0562/tillsynsmail/A 18915-2026 tillsynsbegäran mail.docx", "A 18915-2026")</f>
        <v/>
      </c>
      <c r="AE82">
        <f>HYPERLINK("https://klasma.github.io/Logging_0562/fåglar/A 18915-2026 prioriterade fågelarter.docx", "A 18915-2026")</f>
        <v/>
      </c>
    </row>
    <row r="83" ht="15" customHeight="1">
      <c r="A83" t="inlineStr">
        <is>
          <t>A 25942-2026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46230</v>
      </c>
      <c r="F83" t="inlineStr">
        <is>
          <t>ÖSTERGÖTLANDS LÄN</t>
        </is>
      </c>
      <c r="G83" t="inlineStr">
        <is>
          <t>FINSPÅNG</t>
        </is>
      </c>
      <c r="H83" t="inlineStr">
        <is>
          <t>Sveaskog</t>
        </is>
      </c>
      <c r="I83" t="n">
        <v>1.7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Motaggsvamp</t>
        </is>
      </c>
      <c r="W83">
        <f>HYPERLINK("https://klasma.github.io/Logging_0562/artfynd/A 25942-2026 artfynd.xlsx", "A 25942-2026")</f>
        <v/>
      </c>
      <c r="X83">
        <f>HYPERLINK("https://klasma.github.io/Logging_0562/kartor/A 25942-2026 karta.png", "A 25942-2026")</f>
        <v/>
      </c>
      <c r="Y83">
        <f>HYPERLINK("https://klasma.github.io/Logging_0562/kartor_geotiff/A 25942-2026 georefererad karta.tif", "A 25942-2026")</f>
        <v/>
      </c>
      <c r="AA83">
        <f>HYPERLINK("https://klasma.github.io/Logging_0562/klagomål/A 25942-2026 FSC-klagomål.docx", "A 25942-2026")</f>
        <v/>
      </c>
      <c r="AB83">
        <f>HYPERLINK("https://klasma.github.io/Logging_0562/klagomålsmail/A 25942-2026 FSC-klagomål mail.docx", "A 25942-2026")</f>
        <v/>
      </c>
      <c r="AC83">
        <f>HYPERLINK("https://klasma.github.io/Logging_0562/tillsyn/A 25942-2026 tillsynsbegäran.docx", "A 25942-2026")</f>
        <v/>
      </c>
      <c r="AD83">
        <f>HYPERLINK("https://klasma.github.io/Logging_0562/tillsynsmail/A 25942-2026 tillsynsbegäran mail.docx", "A 25942-2026")</f>
        <v/>
      </c>
    </row>
    <row r="84" ht="15" customHeight="1">
      <c r="A84" t="inlineStr">
        <is>
          <t>A 61104-2022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44915</v>
      </c>
      <c r="E84" s="1" t="n">
        <v>46230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3.4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Tallticka</t>
        </is>
      </c>
      <c r="W84">
        <f>HYPERLINK("https://klasma.github.io/Logging_0562/artfynd/A 61104-2022 artfynd.xlsx", "A 61104-2022")</f>
        <v/>
      </c>
      <c r="X84">
        <f>HYPERLINK("https://klasma.github.io/Logging_0562/kartor/A 61104-2022 karta.png", "A 61104-2022")</f>
        <v/>
      </c>
      <c r="Y84">
        <f>HYPERLINK("https://klasma.github.io/Logging_0562/kartor_geotiff/A 61104-2022 georefererad karta.tif", "A 61104-2022")</f>
        <v/>
      </c>
      <c r="AA84">
        <f>HYPERLINK("https://klasma.github.io/Logging_0562/klagomål/A 61104-2022 FSC-klagomål.docx", "A 61104-2022")</f>
        <v/>
      </c>
      <c r="AB84">
        <f>HYPERLINK("https://klasma.github.io/Logging_0562/klagomålsmail/A 61104-2022 FSC-klagomål mail.docx", "A 61104-2022")</f>
        <v/>
      </c>
      <c r="AC84">
        <f>HYPERLINK("https://klasma.github.io/Logging_0562/tillsyn/A 61104-2022 tillsynsbegäran.docx", "A 61104-2022")</f>
        <v/>
      </c>
      <c r="AD84">
        <f>HYPERLINK("https://klasma.github.io/Logging_0562/tillsynsmail/A 61104-2022 tillsynsbegäran mail.docx", "A 61104-2022")</f>
        <v/>
      </c>
    </row>
    <row r="85" ht="15" customHeight="1">
      <c r="A85" t="inlineStr">
        <is>
          <t>A 22439-2023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45070</v>
      </c>
      <c r="E85" s="1" t="n">
        <v>46230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1.3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Hasselsnok</t>
        </is>
      </c>
      <c r="W85">
        <f>HYPERLINK("https://klasma.github.io/Logging_0562/artfynd/A 22439-2023 artfynd.xlsx", "A 22439-2023")</f>
        <v/>
      </c>
      <c r="X85">
        <f>HYPERLINK("https://klasma.github.io/Logging_0562/kartor/A 22439-2023 karta.png", "A 22439-2023")</f>
        <v/>
      </c>
      <c r="Y85">
        <f>HYPERLINK("https://klasma.github.io/Logging_0562/kartor_geotiff/A 22439-2023 georefererad karta.tif", "A 22439-2023")</f>
        <v/>
      </c>
      <c r="AA85">
        <f>HYPERLINK("https://klasma.github.io/Logging_0562/klagomål/A 22439-2023 FSC-klagomål.docx", "A 22439-2023")</f>
        <v/>
      </c>
      <c r="AB85">
        <f>HYPERLINK("https://klasma.github.io/Logging_0562/klagomålsmail/A 22439-2023 FSC-klagomål mail.docx", "A 22439-2023")</f>
        <v/>
      </c>
      <c r="AC85">
        <f>HYPERLINK("https://klasma.github.io/Logging_0562/tillsyn/A 22439-2023 tillsynsbegäran.docx", "A 22439-2023")</f>
        <v/>
      </c>
      <c r="AD85">
        <f>HYPERLINK("https://klasma.github.io/Logging_0562/tillsynsmail/A 22439-2023 tillsynsbegäran mail.docx", "A 22439-2023")</f>
        <v/>
      </c>
    </row>
    <row r="86" ht="15" customHeight="1">
      <c r="A86" t="inlineStr">
        <is>
          <t>A 43166-2021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44431</v>
      </c>
      <c r="E86" s="1" t="n">
        <v>46230</v>
      </c>
      <c r="F86" t="inlineStr">
        <is>
          <t>ÖSTERGÖTLANDS LÄN</t>
        </is>
      </c>
      <c r="G86" t="inlineStr">
        <is>
          <t>FINSPÅNG</t>
        </is>
      </c>
      <c r="I86" t="n">
        <v>6.3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Plattlummer</t>
        </is>
      </c>
      <c r="W86">
        <f>HYPERLINK("https://klasma.github.io/Logging_0562/artfynd/A 43166-2021 artfynd.xlsx", "A 43166-2021")</f>
        <v/>
      </c>
      <c r="X86">
        <f>HYPERLINK("https://klasma.github.io/Logging_0562/kartor/A 43166-2021 karta.png", "A 43166-2021")</f>
        <v/>
      </c>
      <c r="Y86">
        <f>HYPERLINK("https://klasma.github.io/Logging_0562/kartor_geotiff/A 43166-2021 georefererad karta.tif", "A 43166-2021")</f>
        <v/>
      </c>
      <c r="AA86">
        <f>HYPERLINK("https://klasma.github.io/Logging_0562/klagomål/A 43166-2021 FSC-klagomål.docx", "A 43166-2021")</f>
        <v/>
      </c>
      <c r="AB86">
        <f>HYPERLINK("https://klasma.github.io/Logging_0562/klagomålsmail/A 43166-2021 FSC-klagomål mail.docx", "A 43166-2021")</f>
        <v/>
      </c>
      <c r="AC86">
        <f>HYPERLINK("https://klasma.github.io/Logging_0562/tillsyn/A 43166-2021 tillsynsbegäran.docx", "A 43166-2021")</f>
        <v/>
      </c>
      <c r="AD86">
        <f>HYPERLINK("https://klasma.github.io/Logging_0562/tillsynsmail/A 43166-2021 tillsynsbegäran mail.docx", "A 43166-2021")</f>
        <v/>
      </c>
    </row>
    <row r="87" ht="15" customHeight="1">
      <c r="A87" t="inlineStr">
        <is>
          <t>A 11140-2023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46230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Grönvit nattviol</t>
        </is>
      </c>
      <c r="W87">
        <f>HYPERLINK("https://klasma.github.io/Logging_0562/artfynd/A 11140-2023 artfynd.xlsx", "A 11140-2023")</f>
        <v/>
      </c>
      <c r="X87">
        <f>HYPERLINK("https://klasma.github.io/Logging_0562/kartor/A 11140-2023 karta.png", "A 11140-2023")</f>
        <v/>
      </c>
      <c r="Y87">
        <f>HYPERLINK("https://klasma.github.io/Logging_0562/kartor_geotiff/A 11140-2023 georefererad karta.tif", "A 11140-2023")</f>
        <v/>
      </c>
      <c r="AA87">
        <f>HYPERLINK("https://klasma.github.io/Logging_0562/klagomål/A 11140-2023 FSC-klagomål.docx", "A 11140-2023")</f>
        <v/>
      </c>
      <c r="AB87">
        <f>HYPERLINK("https://klasma.github.io/Logging_0562/klagomålsmail/A 11140-2023 FSC-klagomål mail.docx", "A 11140-2023")</f>
        <v/>
      </c>
      <c r="AC87">
        <f>HYPERLINK("https://klasma.github.io/Logging_0562/tillsyn/A 11140-2023 tillsynsbegäran.docx", "A 11140-2023")</f>
        <v/>
      </c>
      <c r="AD87">
        <f>HYPERLINK("https://klasma.github.io/Logging_0562/tillsynsmail/A 11140-2023 tillsynsbegäran mail.docx", "A 11140-2023")</f>
        <v/>
      </c>
    </row>
    <row r="88" ht="15" customHeight="1">
      <c r="A88" t="inlineStr">
        <is>
          <t>A 53673-2024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45615</v>
      </c>
      <c r="E88" s="1" t="n">
        <v>46230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HYPERLINK("https://klasma.github.io/Logging_0562/artfynd/A 53673-2024 artfynd.xlsx", "A 53673-2024")</f>
        <v/>
      </c>
      <c r="X88">
        <f>HYPERLINK("https://klasma.github.io/Logging_0562/kartor/A 53673-2024 karta.png", "A 53673-2024")</f>
        <v/>
      </c>
      <c r="Y88">
        <f>HYPERLINK("https://klasma.github.io/Logging_0562/kartor_geotiff/A 53673-2024 georefererad karta.tif", "A 53673-2024")</f>
        <v/>
      </c>
      <c r="Z88">
        <f>HYPERLINK("https://klasma.github.io/Logging_0562/knärot/A 53673-2024 karta knärot.png", "A 53673-2024")</f>
        <v/>
      </c>
      <c r="AA88">
        <f>HYPERLINK("https://klasma.github.io/Logging_0562/klagomål/A 53673-2024 FSC-klagomål.docx", "A 53673-2024")</f>
        <v/>
      </c>
      <c r="AB88">
        <f>HYPERLINK("https://klasma.github.io/Logging_0562/klagomålsmail/A 53673-2024 FSC-klagomål mail.docx", "A 53673-2024")</f>
        <v/>
      </c>
      <c r="AC88">
        <f>HYPERLINK("https://klasma.github.io/Logging_0562/tillsyn/A 53673-2024 tillsynsbegäran.docx", "A 53673-2024")</f>
        <v/>
      </c>
      <c r="AD88">
        <f>HYPERLINK("https://klasma.github.io/Logging_0562/tillsynsmail/A 53673-2024 tillsynsbegäran mail.docx", "A 53673-2024")</f>
        <v/>
      </c>
    </row>
    <row r="89" ht="15" customHeight="1">
      <c r="A89" t="inlineStr">
        <is>
          <t>A 43167-2021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44431</v>
      </c>
      <c r="E89" s="1" t="n">
        <v>46230</v>
      </c>
      <c r="F89" t="inlineStr">
        <is>
          <t>ÖSTERGÖTLANDS LÄN</t>
        </is>
      </c>
      <c r="G89" t="inlineStr">
        <is>
          <t>FINSPÅNG</t>
        </is>
      </c>
      <c r="I89" t="n">
        <v>6.9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Lopplummer (aggregat)</t>
        </is>
      </c>
      <c r="W89">
        <f>HYPERLINK("https://klasma.github.io/Logging_0562/artfynd/A 43167-2021 artfynd.xlsx", "A 43167-2021")</f>
        <v/>
      </c>
      <c r="X89">
        <f>HYPERLINK("https://klasma.github.io/Logging_0562/kartor/A 43167-2021 karta.png", "A 43167-2021")</f>
        <v/>
      </c>
      <c r="Y89">
        <f>HYPERLINK("https://klasma.github.io/Logging_0562/kartor_geotiff/A 43167-2021 georefererad karta.tif", "A 43167-2021")</f>
        <v/>
      </c>
      <c r="AA89">
        <f>HYPERLINK("https://klasma.github.io/Logging_0562/klagomål/A 43167-2021 FSC-klagomål.docx", "A 43167-2021")</f>
        <v/>
      </c>
      <c r="AB89">
        <f>HYPERLINK("https://klasma.github.io/Logging_0562/klagomålsmail/A 43167-2021 FSC-klagomål mail.docx", "A 43167-2021")</f>
        <v/>
      </c>
      <c r="AC89">
        <f>HYPERLINK("https://klasma.github.io/Logging_0562/tillsyn/A 43167-2021 tillsynsbegäran.docx", "A 43167-2021")</f>
        <v/>
      </c>
      <c r="AD89">
        <f>HYPERLINK("https://klasma.github.io/Logging_0562/tillsynsmail/A 43167-2021 tillsynsbegäran mail.docx", "A 43167-2021")</f>
        <v/>
      </c>
    </row>
    <row r="90" ht="15" customHeight="1">
      <c r="A90" t="inlineStr">
        <is>
          <t>A 27861-2025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46230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3.1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Plattlummer</t>
        </is>
      </c>
      <c r="W90">
        <f>HYPERLINK("https://klasma.github.io/Logging_0562/artfynd/A 27861-2025 artfynd.xlsx", "A 27861-2025")</f>
        <v/>
      </c>
      <c r="X90">
        <f>HYPERLINK("https://klasma.github.io/Logging_0562/kartor/A 27861-2025 karta.png", "A 27861-2025")</f>
        <v/>
      </c>
      <c r="Y90">
        <f>HYPERLINK("https://klasma.github.io/Logging_0562/kartor_geotiff/A 27861-2025 georefererad karta.tif", "A 27861-2025")</f>
        <v/>
      </c>
      <c r="AA90">
        <f>HYPERLINK("https://klasma.github.io/Logging_0562/klagomål/A 27861-2025 FSC-klagomål.docx", "A 27861-2025")</f>
        <v/>
      </c>
      <c r="AB90">
        <f>HYPERLINK("https://klasma.github.io/Logging_0562/klagomålsmail/A 27861-2025 FSC-klagomål mail.docx", "A 27861-2025")</f>
        <v/>
      </c>
      <c r="AC90">
        <f>HYPERLINK("https://klasma.github.io/Logging_0562/tillsyn/A 27861-2025 tillsynsbegäran.docx", "A 27861-2025")</f>
        <v/>
      </c>
      <c r="AD90">
        <f>HYPERLINK("https://klasma.github.io/Logging_0562/tillsynsmail/A 27861-2025 tillsynsbegäran mail.docx", "A 27861-2025")</f>
        <v/>
      </c>
    </row>
    <row r="91" ht="15" customHeight="1">
      <c r="A91" t="inlineStr">
        <is>
          <t>A 34220-2025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46230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Tibast</t>
        </is>
      </c>
      <c r="W91">
        <f>HYPERLINK("https://klasma.github.io/Logging_0562/artfynd/A 34220-2025 artfynd.xlsx", "A 34220-2025")</f>
        <v/>
      </c>
      <c r="X91">
        <f>HYPERLINK("https://klasma.github.io/Logging_0562/kartor/A 34220-2025 karta.png", "A 34220-2025")</f>
        <v/>
      </c>
      <c r="Y91">
        <f>HYPERLINK("https://klasma.github.io/Logging_0562/kartor_geotiff/A 34220-2025 georefererad karta.tif", "A 34220-2025")</f>
        <v/>
      </c>
      <c r="AA91">
        <f>HYPERLINK("https://klasma.github.io/Logging_0562/klagomål/A 34220-2025 FSC-klagomål.docx", "A 34220-2025")</f>
        <v/>
      </c>
      <c r="AB91">
        <f>HYPERLINK("https://klasma.github.io/Logging_0562/klagomålsmail/A 34220-2025 FSC-klagomål mail.docx", "A 34220-2025")</f>
        <v/>
      </c>
      <c r="AC91">
        <f>HYPERLINK("https://klasma.github.io/Logging_0562/tillsyn/A 34220-2025 tillsynsbegäran.docx", "A 34220-2025")</f>
        <v/>
      </c>
      <c r="AD91">
        <f>HYPERLINK("https://klasma.github.io/Logging_0562/tillsynsmail/A 34220-2025 tillsynsbegäran mail.docx", "A 34220-2025")</f>
        <v/>
      </c>
    </row>
    <row r="92" ht="15" customHeight="1">
      <c r="A92" t="inlineStr">
        <is>
          <t>A 34310-2025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45846</v>
      </c>
      <c r="E92" s="1" t="n">
        <v>46230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HYPERLINK("https://klasma.github.io/Logging_0562/artfynd/A 34310-2025 artfynd.xlsx", "A 34310-2025")</f>
        <v/>
      </c>
      <c r="X92">
        <f>HYPERLINK("https://klasma.github.io/Logging_0562/kartor/A 34310-2025 karta.png", "A 34310-2025")</f>
        <v/>
      </c>
      <c r="Y92">
        <f>HYPERLINK("https://klasma.github.io/Logging_0562/kartor_geotiff/A 34310-2025 georefererad karta.tif", "A 34310-2025")</f>
        <v/>
      </c>
      <c r="AA92">
        <f>HYPERLINK("https://klasma.github.io/Logging_0562/klagomål/A 34310-2025 FSC-klagomål.docx", "A 34310-2025")</f>
        <v/>
      </c>
      <c r="AB92">
        <f>HYPERLINK("https://klasma.github.io/Logging_0562/klagomålsmail/A 34310-2025 FSC-klagomål mail.docx", "A 34310-2025")</f>
        <v/>
      </c>
      <c r="AC92">
        <f>HYPERLINK("https://klasma.github.io/Logging_0562/tillsyn/A 34310-2025 tillsynsbegäran.docx", "A 34310-2025")</f>
        <v/>
      </c>
      <c r="AD92">
        <f>HYPERLINK("https://klasma.github.io/Logging_0562/tillsynsmail/A 34310-2025 tillsynsbegäran mail.docx", "A 34310-2025")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46230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46230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46230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46230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46230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44406</v>
      </c>
      <c r="E98" s="1" t="n">
        <v>46230</v>
      </c>
      <c r="F98" t="inlineStr">
        <is>
          <t>ÖSTERGÖTLANDS LÄN</t>
        </is>
      </c>
      <c r="G98" t="inlineStr">
        <is>
          <t>FINSPÅNG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46230</v>
      </c>
      <c r="F99" t="inlineStr">
        <is>
          <t>ÖSTERGÖTLANDS LÄN</t>
        </is>
      </c>
      <c r="G99" t="inlineStr">
        <is>
          <t>FINSPÅNG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46230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46230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46230</v>
      </c>
      <c r="F102" t="inlineStr">
        <is>
          <t>ÖSTERGÖTLANDS LÄN</t>
        </is>
      </c>
      <c r="G102" t="inlineStr">
        <is>
          <t>FINSPÅNG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49877-2022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44864</v>
      </c>
      <c r="E103" s="1" t="n">
        <v>46230</v>
      </c>
      <c r="F103" t="inlineStr">
        <is>
          <t>ÖSTERGÖTLANDS LÄN</t>
        </is>
      </c>
      <c r="G103" t="inlineStr">
        <is>
          <t>FINSPÅNG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70407-2021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46230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46230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44799</v>
      </c>
      <c r="E106" s="1" t="n">
        <v>46230</v>
      </c>
      <c r="F106" t="inlineStr">
        <is>
          <t>ÖSTERGÖTLANDS LÄN</t>
        </is>
      </c>
      <c r="G106" t="inlineStr">
        <is>
          <t>FINSPÅNG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40550-2021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44420</v>
      </c>
      <c r="E107" s="1" t="n">
        <v>46230</v>
      </c>
      <c r="F107" t="inlineStr">
        <is>
          <t>ÖSTERGÖTLANDS LÄN</t>
        </is>
      </c>
      <c r="G107" t="inlineStr">
        <is>
          <t>FINSPÅNG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44856</v>
      </c>
      <c r="E108" s="1" t="n">
        <v>46230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34776-2022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44795</v>
      </c>
      <c r="E109" s="1" t="n">
        <v>46230</v>
      </c>
      <c r="F109" t="inlineStr">
        <is>
          <t>ÖSTERGÖTLANDS LÄN</t>
        </is>
      </c>
      <c r="G109" t="inlineStr">
        <is>
          <t>FINSPÅNG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44665-2021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46230</v>
      </c>
      <c r="F110" t="inlineStr">
        <is>
          <t>ÖSTERGÖTLANDS LÄN</t>
        </is>
      </c>
      <c r="G110" t="inlineStr">
        <is>
          <t>FINSPÅNG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46230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44675</v>
      </c>
      <c r="E112" s="1" t="n">
        <v>46230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46230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Naturvårdsverket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46230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47114-2022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44852</v>
      </c>
      <c r="E115" s="1" t="n">
        <v>46230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73657-2021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46230</v>
      </c>
      <c r="F116" t="inlineStr">
        <is>
          <t>ÖSTERGÖTLANDS LÄN</t>
        </is>
      </c>
      <c r="G116" t="inlineStr">
        <is>
          <t>FINSPÅNG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42116-2021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44426</v>
      </c>
      <c r="E117" s="1" t="n">
        <v>46230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68009-2021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46230</v>
      </c>
      <c r="F118" t="inlineStr">
        <is>
          <t>ÖSTERGÖTLANDS LÄN</t>
        </is>
      </c>
      <c r="G118" t="inlineStr">
        <is>
          <t>FINSPÅNG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46230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51613-2021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46230</v>
      </c>
      <c r="F120" t="inlineStr">
        <is>
          <t>ÖSTERGÖTLANDS LÄN</t>
        </is>
      </c>
      <c r="G120" t="inlineStr">
        <is>
          <t>FINSPÅNG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46230</v>
      </c>
      <c r="F121" t="inlineStr">
        <is>
          <t>ÖSTERGÖTLANDS LÄN</t>
        </is>
      </c>
      <c r="G121" t="inlineStr">
        <is>
          <t>FINSPÅNG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44455</v>
      </c>
      <c r="E122" s="1" t="n">
        <v>46230</v>
      </c>
      <c r="F122" t="inlineStr">
        <is>
          <t>ÖSTERGÖTLANDS LÄN</t>
        </is>
      </c>
      <c r="G122" t="inlineStr">
        <is>
          <t>FINSPÅNG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46230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46230</v>
      </c>
      <c r="F124" t="inlineStr">
        <is>
          <t>ÖSTERGÖTLANDS LÄN</t>
        </is>
      </c>
      <c r="G124" t="inlineStr">
        <is>
          <t>FINSPÅNG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44574</v>
      </c>
      <c r="E125" s="1" t="n">
        <v>46230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46230</v>
      </c>
      <c r="F126" t="inlineStr">
        <is>
          <t>ÖSTERGÖTLANDS LÄN</t>
        </is>
      </c>
      <c r="G126" t="inlineStr">
        <is>
          <t>FINSPÅNG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67767-2021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46230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62597-2021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44503</v>
      </c>
      <c r="E128" s="1" t="n">
        <v>46230</v>
      </c>
      <c r="F128" t="inlineStr">
        <is>
          <t>ÖSTERGÖTLANDS LÄN</t>
        </is>
      </c>
      <c r="G128" t="inlineStr">
        <is>
          <t>FINSPÅNG</t>
        </is>
      </c>
      <c r="H128" t="inlineStr">
        <is>
          <t>Holmen skog AB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44874</v>
      </c>
      <c r="E129" s="1" t="n">
        <v>46230</v>
      </c>
      <c r="F129" t="inlineStr">
        <is>
          <t>ÖSTERGÖTLANDS LÄN</t>
        </is>
      </c>
      <c r="G129" t="inlineStr">
        <is>
          <t>FINSPÅNG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62445-2021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44503</v>
      </c>
      <c r="E130" s="1" t="n">
        <v>46230</v>
      </c>
      <c r="F130" t="inlineStr">
        <is>
          <t>ÖSTERGÖTLANDS LÄN</t>
        </is>
      </c>
      <c r="G130" t="inlineStr">
        <is>
          <t>FINSPÅNG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62196-2021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46230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Övriga Aktiebolag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73659-2021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46230</v>
      </c>
      <c r="F132" t="inlineStr">
        <is>
          <t>ÖSTERGÖTLANDS LÄN</t>
        </is>
      </c>
      <c r="G132" t="inlineStr">
        <is>
          <t>FINSPÅNG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46230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44833</v>
      </c>
      <c r="E134" s="1" t="n">
        <v>46230</v>
      </c>
      <c r="F134" t="inlineStr">
        <is>
          <t>ÖSTERGÖTLANDS LÄN</t>
        </is>
      </c>
      <c r="G134" t="inlineStr">
        <is>
          <t>FINSPÅNG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44601</v>
      </c>
      <c r="E135" s="1" t="n">
        <v>46230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46230</v>
      </c>
      <c r="F136" t="inlineStr">
        <is>
          <t>ÖSTERGÖTLANDS LÄN</t>
        </is>
      </c>
      <c r="G136" t="inlineStr">
        <is>
          <t>FINSPÅNG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46230</v>
      </c>
      <c r="F137" t="inlineStr">
        <is>
          <t>ÖSTERGÖTLANDS LÄN</t>
        </is>
      </c>
      <c r="G137" t="inlineStr">
        <is>
          <t>FINSPÅNG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46230</v>
      </c>
      <c r="F138" t="inlineStr">
        <is>
          <t>ÖSTERGÖTLANDS LÄN</t>
        </is>
      </c>
      <c r="G138" t="inlineStr">
        <is>
          <t>FINSPÅNG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44735</v>
      </c>
      <c r="E139" s="1" t="n">
        <v>46230</v>
      </c>
      <c r="F139" t="inlineStr">
        <is>
          <t>ÖSTERGÖTLANDS LÄN</t>
        </is>
      </c>
      <c r="G139" t="inlineStr">
        <is>
          <t>FINSPÅNG</t>
        </is>
      </c>
      <c r="I139" t="n">
        <v>11.9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49831-2021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46230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51808-2021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44462</v>
      </c>
      <c r="E141" s="1" t="n">
        <v>46230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46230</v>
      </c>
      <c r="F142" t="inlineStr">
        <is>
          <t>ÖSTERGÖTLANDS LÄN</t>
        </is>
      </c>
      <c r="G142" t="inlineStr">
        <is>
          <t>FINSPÅNG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46230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46230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44741</v>
      </c>
      <c r="E145" s="1" t="n">
        <v>46230</v>
      </c>
      <c r="F145" t="inlineStr">
        <is>
          <t>ÖSTERGÖTLANDS LÄN</t>
        </is>
      </c>
      <c r="G145" t="inlineStr">
        <is>
          <t>FINSPÅNG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46230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46230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17412-2022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44678</v>
      </c>
      <c r="E148" s="1" t="n">
        <v>46230</v>
      </c>
      <c r="F148" t="inlineStr">
        <is>
          <t>ÖSTERGÖTLANDS LÄN</t>
        </is>
      </c>
      <c r="G148" t="inlineStr">
        <is>
          <t>FINSPÅNG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46230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46230</v>
      </c>
      <c r="F150" t="inlineStr">
        <is>
          <t>ÖSTERGÖTLANDS LÄN</t>
        </is>
      </c>
      <c r="G150" t="inlineStr">
        <is>
          <t>FINSPÅNG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46230</v>
      </c>
      <c r="F151" t="inlineStr">
        <is>
          <t>ÖSTERGÖTLANDS LÄN</t>
        </is>
      </c>
      <c r="G151" t="inlineStr">
        <is>
          <t>FINSPÅNG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39007-2021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44412</v>
      </c>
      <c r="E152" s="1" t="n">
        <v>46230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46230</v>
      </c>
      <c r="F153" t="inlineStr">
        <is>
          <t>ÖSTERGÖTLANDS LÄN</t>
        </is>
      </c>
      <c r="G153" t="inlineStr">
        <is>
          <t>FINSPÅNG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36075-2022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44802</v>
      </c>
      <c r="E154" s="1" t="n">
        <v>46230</v>
      </c>
      <c r="F154" t="inlineStr">
        <is>
          <t>ÖSTERGÖTLANDS LÄN</t>
        </is>
      </c>
      <c r="G154" t="inlineStr">
        <is>
          <t>FINSPÅNG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46230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43908-2021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46230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  <c r="Z156">
        <f>HYPERLINK("https://klasma.github.io/Logging_0562/knärot/A 43908-2021 karta knärot.png", "A 43908-2021")</f>
        <v/>
      </c>
      <c r="AA156">
        <f>HYPERLINK("https://klasma.github.io/Logging_0562/klagomål/A 43908-2021 FSC-klagomål.docx", "A 43908-2021")</f>
        <v/>
      </c>
      <c r="AB156">
        <f>HYPERLINK("https://klasma.github.io/Logging_0562/klagomålsmail/A 43908-2021 FSC-klagomål mail.docx", "A 43908-2021")</f>
        <v/>
      </c>
      <c r="AC156">
        <f>HYPERLINK("https://klasma.github.io/Logging_0562/tillsyn/A 43908-2021 tillsynsbegäran.docx", "A 43908-2021")</f>
        <v/>
      </c>
      <c r="AD156">
        <f>HYPERLINK("https://klasma.github.io/Logging_0562/tillsynsmail/A 43908-2021 tillsynsbegäran mail.docx", "A 43908-2021")</f>
        <v/>
      </c>
    </row>
    <row r="157" ht="15" customHeight="1">
      <c r="A157" t="inlineStr">
        <is>
          <t>A 71597-2021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44541</v>
      </c>
      <c r="E157" s="1" t="n">
        <v>46230</v>
      </c>
      <c r="F157" t="inlineStr">
        <is>
          <t>ÖSTERGÖTLANDS LÄN</t>
        </is>
      </c>
      <c r="G157" t="inlineStr">
        <is>
          <t>FINSPÅNG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32324-2022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44781</v>
      </c>
      <c r="E158" s="1" t="n">
        <v>46230</v>
      </c>
      <c r="F158" t="inlineStr">
        <is>
          <t>ÖSTERGÖTLANDS LÄN</t>
        </is>
      </c>
      <c r="G158" t="inlineStr">
        <is>
          <t>FINSPÅNG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44564</v>
      </c>
      <c r="E159" s="1" t="n">
        <v>46230</v>
      </c>
      <c r="F159" t="inlineStr">
        <is>
          <t>ÖSTERGÖTLANDS LÄN</t>
        </is>
      </c>
      <c r="G159" t="inlineStr">
        <is>
          <t>FINSPÅNG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51448-2021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46230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44859</v>
      </c>
      <c r="E161" s="1" t="n">
        <v>46230</v>
      </c>
      <c r="F161" t="inlineStr">
        <is>
          <t>ÖSTERGÖTLANDS LÄN</t>
        </is>
      </c>
      <c r="G161" t="inlineStr">
        <is>
          <t>FINSPÅNG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53741-2021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44469</v>
      </c>
      <c r="E162" s="1" t="n">
        <v>46230</v>
      </c>
      <c r="F162" t="inlineStr">
        <is>
          <t>ÖSTERGÖTLANDS LÄN</t>
        </is>
      </c>
      <c r="G162" t="inlineStr">
        <is>
          <t>FINSPÅNG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44595</v>
      </c>
      <c r="E163" s="1" t="n">
        <v>46230</v>
      </c>
      <c r="F163" t="inlineStr">
        <is>
          <t>ÖSTERGÖTLANDS LÄN</t>
        </is>
      </c>
      <c r="G163" t="inlineStr">
        <is>
          <t>FINSPÅNG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44582</v>
      </c>
      <c r="E164" s="1" t="n">
        <v>46230</v>
      </c>
      <c r="F164" t="inlineStr">
        <is>
          <t>ÖSTERGÖTLANDS LÄN</t>
        </is>
      </c>
      <c r="G164" t="inlineStr">
        <is>
          <t>FINSPÅNG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43165-2021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44431</v>
      </c>
      <c r="E165" s="1" t="n">
        <v>46230</v>
      </c>
      <c r="F165" t="inlineStr">
        <is>
          <t>ÖSTERGÖTLANDS LÄN</t>
        </is>
      </c>
      <c r="G165" t="inlineStr">
        <is>
          <t>FINSPÅNG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44816</v>
      </c>
      <c r="E166" s="1" t="n">
        <v>46230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63321-2021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44508</v>
      </c>
      <c r="E167" s="1" t="n">
        <v>46230</v>
      </c>
      <c r="F167" t="inlineStr">
        <is>
          <t>ÖSTERGÖTLANDS LÄN</t>
        </is>
      </c>
      <c r="G167" t="inlineStr">
        <is>
          <t>FINSPÅNG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46230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46230</v>
      </c>
      <c r="F169" t="inlineStr">
        <is>
          <t>ÖSTERGÖTLANDS LÄN</t>
        </is>
      </c>
      <c r="G169" t="inlineStr">
        <is>
          <t>FINSPÅNG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46230</v>
      </c>
      <c r="F170" t="inlineStr">
        <is>
          <t>ÖSTERGÖTLANDS LÄN</t>
        </is>
      </c>
      <c r="G170" t="inlineStr">
        <is>
          <t>FINSPÅNG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46230</v>
      </c>
      <c r="F171" t="inlineStr">
        <is>
          <t>ÖSTERGÖTLANDS LÄN</t>
        </is>
      </c>
      <c r="G171" t="inlineStr">
        <is>
          <t>FINSPÅNG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44425</v>
      </c>
      <c r="E172" s="1" t="n">
        <v>46230</v>
      </c>
      <c r="F172" t="inlineStr">
        <is>
          <t>ÖSTERGÖTLANDS LÄN</t>
        </is>
      </c>
      <c r="G172" t="inlineStr">
        <is>
          <t>FINSPÅNG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46230</v>
      </c>
      <c r="F173" t="inlineStr">
        <is>
          <t>ÖSTERGÖTLANDS LÄN</t>
        </is>
      </c>
      <c r="G173" t="inlineStr">
        <is>
          <t>FINSPÅNG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69717-2021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46230</v>
      </c>
      <c r="F174" t="inlineStr">
        <is>
          <t>ÖSTERGÖTLANDS LÄN</t>
        </is>
      </c>
      <c r="G174" t="inlineStr">
        <is>
          <t>FINSPÅNG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53609-2022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44879</v>
      </c>
      <c r="E175" s="1" t="n">
        <v>46230</v>
      </c>
      <c r="F175" t="inlineStr">
        <is>
          <t>ÖSTERGÖTLANDS LÄN</t>
        </is>
      </c>
      <c r="G175" t="inlineStr">
        <is>
          <t>FINSPÅNG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73831-2021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44552</v>
      </c>
      <c r="E176" s="1" t="n">
        <v>46230</v>
      </c>
      <c r="F176" t="inlineStr">
        <is>
          <t>ÖSTERGÖTLANDS LÄN</t>
        </is>
      </c>
      <c r="G176" t="inlineStr">
        <is>
          <t>FINSPÅNG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46230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46230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46230</v>
      </c>
      <c r="F179" t="inlineStr">
        <is>
          <t>ÖSTERGÖTLANDS LÄN</t>
        </is>
      </c>
      <c r="G179" t="inlineStr">
        <is>
          <t>FINSPÅNG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46230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46230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42515-2022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46230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46230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46230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44630</v>
      </c>
      <c r="E185" s="1" t="n">
        <v>46230</v>
      </c>
      <c r="F185" t="inlineStr">
        <is>
          <t>ÖSTERGÖTLANDS LÄN</t>
        </is>
      </c>
      <c r="G185" t="inlineStr">
        <is>
          <t>FINSPÅNG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46230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36573-2022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44804</v>
      </c>
      <c r="E187" s="1" t="n">
        <v>46230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55744-2021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44476</v>
      </c>
      <c r="E188" s="1" t="n">
        <v>46230</v>
      </c>
      <c r="F188" t="inlineStr">
        <is>
          <t>ÖSTERGÖTLANDS LÄN</t>
        </is>
      </c>
      <c r="G188" t="inlineStr">
        <is>
          <t>FINSPÅNG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46230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44438</v>
      </c>
      <c r="E190" s="1" t="n">
        <v>46230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44663-2021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44438</v>
      </c>
      <c r="E191" s="1" t="n">
        <v>46230</v>
      </c>
      <c r="F191" t="inlineStr">
        <is>
          <t>ÖSTERGÖTLANDS LÄN</t>
        </is>
      </c>
      <c r="G191" t="inlineStr">
        <is>
          <t>FINSPÅNG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46230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44444</v>
      </c>
      <c r="E193" s="1" t="n">
        <v>46230</v>
      </c>
      <c r="F193" t="inlineStr">
        <is>
          <t>ÖSTERGÖTLANDS LÄN</t>
        </is>
      </c>
      <c r="G193" t="inlineStr">
        <is>
          <t>FINSPÅNG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46230</v>
      </c>
      <c r="F194" t="inlineStr">
        <is>
          <t>ÖSTERGÖTLANDS LÄN</t>
        </is>
      </c>
      <c r="G194" t="inlineStr">
        <is>
          <t>FINSPÅNG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46230</v>
      </c>
      <c r="F195" t="inlineStr">
        <is>
          <t>ÖSTERGÖTLANDS LÄN</t>
        </is>
      </c>
      <c r="G195" t="inlineStr">
        <is>
          <t>FINSPÅNG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55620-2021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46230</v>
      </c>
      <c r="F196" t="inlineStr">
        <is>
          <t>ÖSTERGÖTLANDS LÄN</t>
        </is>
      </c>
      <c r="G196" t="inlineStr">
        <is>
          <t>FINSPÅNG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46230</v>
      </c>
      <c r="F197" t="inlineStr">
        <is>
          <t>ÖSTERGÖTLANDS LÄN</t>
        </is>
      </c>
      <c r="G197" t="inlineStr">
        <is>
          <t>FINSPÅNG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56727-2021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44481</v>
      </c>
      <c r="E198" s="1" t="n">
        <v>46230</v>
      </c>
      <c r="F198" t="inlineStr">
        <is>
          <t>ÖSTERGÖTLANDS LÄN</t>
        </is>
      </c>
      <c r="G198" t="inlineStr">
        <is>
          <t>FINSPÅNG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39043-2021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44412</v>
      </c>
      <c r="E199" s="1" t="n">
        <v>46230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11992-2022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44635</v>
      </c>
      <c r="E200" s="1" t="n">
        <v>46230</v>
      </c>
      <c r="F200" t="inlineStr">
        <is>
          <t>ÖSTERGÖTLANDS LÄN</t>
        </is>
      </c>
      <c r="G200" t="inlineStr">
        <is>
          <t>FINSPÅNG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31811-2022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44776</v>
      </c>
      <c r="E201" s="1" t="n">
        <v>46230</v>
      </c>
      <c r="F201" t="inlineStr">
        <is>
          <t>ÖSTERGÖTLANDS LÄN</t>
        </is>
      </c>
      <c r="G201" t="inlineStr">
        <is>
          <t>FINSPÅNG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41805-2021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44425</v>
      </c>
      <c r="E202" s="1" t="n">
        <v>46230</v>
      </c>
      <c r="F202" t="inlineStr">
        <is>
          <t>ÖSTERGÖTLANDS LÄN</t>
        </is>
      </c>
      <c r="G202" t="inlineStr">
        <is>
          <t>FINSPÅNG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44713</v>
      </c>
      <c r="E203" s="1" t="n">
        <v>46230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46230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44468</v>
      </c>
      <c r="E205" s="1" t="n">
        <v>46230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46230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46230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46230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44678</v>
      </c>
      <c r="E209" s="1" t="n">
        <v>46230</v>
      </c>
      <c r="F209" t="inlineStr">
        <is>
          <t>ÖSTERGÖTLANDS LÄN</t>
        </is>
      </c>
      <c r="G209" t="inlineStr">
        <is>
          <t>FINSPÅNG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44704</v>
      </c>
      <c r="E210" s="1" t="n">
        <v>46230</v>
      </c>
      <c r="F210" t="inlineStr">
        <is>
          <t>ÖSTERGÖTLANDS LÄN</t>
        </is>
      </c>
      <c r="G210" t="inlineStr">
        <is>
          <t>FINSPÅNG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44564</v>
      </c>
      <c r="E211" s="1" t="n">
        <v>46230</v>
      </c>
      <c r="F211" t="inlineStr">
        <is>
          <t>ÖSTERGÖTLANDS LÄN</t>
        </is>
      </c>
      <c r="G211" t="inlineStr">
        <is>
          <t>FINSPÅNG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15356-2022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44659</v>
      </c>
      <c r="E212" s="1" t="n">
        <v>46230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44642</v>
      </c>
      <c r="E213" s="1" t="n">
        <v>46230</v>
      </c>
      <c r="F213" t="inlineStr">
        <is>
          <t>ÖSTERGÖTLANDS LÄN</t>
        </is>
      </c>
      <c r="G213" t="inlineStr">
        <is>
          <t>FINSPÅNG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22603-2024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45447</v>
      </c>
      <c r="E214" s="1" t="n">
        <v>46230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44966</v>
      </c>
      <c r="E215" s="1" t="n">
        <v>46230</v>
      </c>
      <c r="F215" t="inlineStr">
        <is>
          <t>ÖSTERGÖTLANDS LÄN</t>
        </is>
      </c>
      <c r="G215" t="inlineStr">
        <is>
          <t>FINSPÅNG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60173-2023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45258</v>
      </c>
      <c r="E216" s="1" t="n">
        <v>46230</v>
      </c>
      <c r="F216" t="inlineStr">
        <is>
          <t>ÖSTERGÖTLANDS LÄN</t>
        </is>
      </c>
      <c r="G216" t="inlineStr">
        <is>
          <t>FINSPÅNG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28722-2023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45103</v>
      </c>
      <c r="E217" s="1" t="n">
        <v>46230</v>
      </c>
      <c r="F217" t="inlineStr">
        <is>
          <t>ÖSTERGÖTLANDS LÄN</t>
        </is>
      </c>
      <c r="G217" t="inlineStr">
        <is>
          <t>FINSPÅNG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16975-2023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45033</v>
      </c>
      <c r="E218" s="1" t="n">
        <v>46230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Naturvårdsverket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45293</v>
      </c>
      <c r="E219" s="1" t="n">
        <v>46230</v>
      </c>
      <c r="F219" t="inlineStr">
        <is>
          <t>ÖSTERGÖTLANDS LÄN</t>
        </is>
      </c>
      <c r="G219" t="inlineStr">
        <is>
          <t>FINSPÅNG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45009</v>
      </c>
      <c r="E220" s="1" t="n">
        <v>46230</v>
      </c>
      <c r="F220" t="inlineStr">
        <is>
          <t>ÖSTERGÖTLANDS LÄN</t>
        </is>
      </c>
      <c r="G220" t="inlineStr">
        <is>
          <t>FINSPÅNG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53123-2021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44467</v>
      </c>
      <c r="E221" s="1" t="n">
        <v>46230</v>
      </c>
      <c r="F221" t="inlineStr">
        <is>
          <t>ÖSTERGÖTLANDS LÄN</t>
        </is>
      </c>
      <c r="G221" t="inlineStr">
        <is>
          <t>FINSPÅNG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17104-2022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44677</v>
      </c>
      <c r="E222" s="1" t="n">
        <v>46230</v>
      </c>
      <c r="F222" t="inlineStr">
        <is>
          <t>ÖSTERGÖTLANDS LÄN</t>
        </is>
      </c>
      <c r="G222" t="inlineStr">
        <is>
          <t>FINSPÅNG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36100-2022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44802</v>
      </c>
      <c r="E223" s="1" t="n">
        <v>46230</v>
      </c>
      <c r="F223" t="inlineStr">
        <is>
          <t>ÖSTERGÖTLANDS LÄN</t>
        </is>
      </c>
      <c r="G223" t="inlineStr">
        <is>
          <t>FINSPÅNG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57854-2022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44898</v>
      </c>
      <c r="E224" s="1" t="n">
        <v>46230</v>
      </c>
      <c r="F224" t="inlineStr">
        <is>
          <t>ÖSTERGÖTLANDS LÄN</t>
        </is>
      </c>
      <c r="G224" t="inlineStr">
        <is>
          <t>FINSPÅNG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14866-2022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44656</v>
      </c>
      <c r="E225" s="1" t="n">
        <v>46230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55812-2021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44476</v>
      </c>
      <c r="E226" s="1" t="n">
        <v>46230</v>
      </c>
      <c r="F226" t="inlineStr">
        <is>
          <t>ÖSTERGÖTLANDS LÄN</t>
        </is>
      </c>
      <c r="G226" t="inlineStr">
        <is>
          <t>FINSPÅNG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44897</v>
      </c>
      <c r="E227" s="1" t="n">
        <v>46230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16680-2022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44672</v>
      </c>
      <c r="E228" s="1" t="n">
        <v>46230</v>
      </c>
      <c r="F228" t="inlineStr">
        <is>
          <t>ÖSTERGÖTLANDS LÄN</t>
        </is>
      </c>
      <c r="G228" t="inlineStr">
        <is>
          <t>FINSPÅNG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61998-2022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44918</v>
      </c>
      <c r="E229" s="1" t="n">
        <v>46230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44595</v>
      </c>
      <c r="E230" s="1" t="n">
        <v>46230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Övriga Aktiebolag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27607-2023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45097</v>
      </c>
      <c r="E231" s="1" t="n">
        <v>46230</v>
      </c>
      <c r="F231" t="inlineStr">
        <is>
          <t>ÖSTERGÖTLANDS LÄN</t>
        </is>
      </c>
      <c r="G231" t="inlineStr">
        <is>
          <t>FINSPÅNG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45260</v>
      </c>
      <c r="E232" s="1" t="n">
        <v>46230</v>
      </c>
      <c r="F232" t="inlineStr">
        <is>
          <t>ÖSTERGÖTLANDS LÄN</t>
        </is>
      </c>
      <c r="G232" t="inlineStr">
        <is>
          <t>FINSPÅNG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45063</v>
      </c>
      <c r="E233" s="1" t="n">
        <v>46230</v>
      </c>
      <c r="F233" t="inlineStr">
        <is>
          <t>ÖSTERGÖTLANDS LÄN</t>
        </is>
      </c>
      <c r="G233" t="inlineStr">
        <is>
          <t>FINSPÅNG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45086</v>
      </c>
      <c r="E234" s="1" t="n">
        <v>46230</v>
      </c>
      <c r="F234" t="inlineStr">
        <is>
          <t>ÖSTERGÖTLANDS LÄN</t>
        </is>
      </c>
      <c r="G234" t="inlineStr">
        <is>
          <t>FINSPÅNG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50542-2022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44866</v>
      </c>
      <c r="E235" s="1" t="n">
        <v>46230</v>
      </c>
      <c r="F235" t="inlineStr">
        <is>
          <t>ÖSTERGÖTLANDS LÄN</t>
        </is>
      </c>
      <c r="G235" t="inlineStr">
        <is>
          <t>FINSPÅNG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45021</v>
      </c>
      <c r="E236" s="1" t="n">
        <v>46230</v>
      </c>
      <c r="F236" t="inlineStr">
        <is>
          <t>ÖSTERGÖTLANDS LÄN</t>
        </is>
      </c>
      <c r="G236" t="inlineStr">
        <is>
          <t>FINSPÅNG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46230</v>
      </c>
      <c r="F237" t="inlineStr">
        <is>
          <t>ÖSTERGÖTLANDS LÄN</t>
        </is>
      </c>
      <c r="G237" t="inlineStr">
        <is>
          <t>FINSPÅNG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44973</v>
      </c>
      <c r="E238" s="1" t="n">
        <v>46230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29923-2023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45107</v>
      </c>
      <c r="E239" s="1" t="n">
        <v>46230</v>
      </c>
      <c r="F239" t="inlineStr">
        <is>
          <t>ÖSTERGÖTLANDS LÄN</t>
        </is>
      </c>
      <c r="G239" t="inlineStr">
        <is>
          <t>FINSPÅNG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45555</v>
      </c>
      <c r="E240" s="1" t="n">
        <v>46230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45623</v>
      </c>
      <c r="E241" s="1" t="n">
        <v>46230</v>
      </c>
      <c r="F241" t="inlineStr">
        <is>
          <t>ÖSTERGÖTLANDS LÄN</t>
        </is>
      </c>
      <c r="G241" t="inlineStr">
        <is>
          <t>FINSPÅNG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30922-2022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44767</v>
      </c>
      <c r="E242" s="1" t="n">
        <v>46230</v>
      </c>
      <c r="F242" t="inlineStr">
        <is>
          <t>ÖSTERGÖTLANDS LÄN</t>
        </is>
      </c>
      <c r="G242" t="inlineStr">
        <is>
          <t>FINSPÅNG</t>
        </is>
      </c>
      <c r="I242" t="n">
        <v>10.6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19170-2024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45428</v>
      </c>
      <c r="E243" s="1" t="n">
        <v>46230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45293</v>
      </c>
      <c r="E244" s="1" t="n">
        <v>46230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48443-2023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45206</v>
      </c>
      <c r="E245" s="1" t="n">
        <v>46230</v>
      </c>
      <c r="F245" t="inlineStr">
        <is>
          <t>ÖSTERGÖTLANDS LÄN</t>
        </is>
      </c>
      <c r="G245" t="inlineStr">
        <is>
          <t>FINSPÅNG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7484-2025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45705</v>
      </c>
      <c r="E246" s="1" t="n">
        <v>46230</v>
      </c>
      <c r="F246" t="inlineStr">
        <is>
          <t>ÖSTERGÖTLANDS LÄN</t>
        </is>
      </c>
      <c r="G246" t="inlineStr">
        <is>
          <t>FINSPÅNG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15900-2025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45749</v>
      </c>
      <c r="E247" s="1" t="n">
        <v>46230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60749-2022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46230</v>
      </c>
      <c r="F248" t="inlineStr">
        <is>
          <t>ÖSTERGÖTLANDS LÄN</t>
        </is>
      </c>
      <c r="G248" t="inlineStr">
        <is>
          <t>FINSPÅNG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45407-2022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44844</v>
      </c>
      <c r="E249" s="1" t="n">
        <v>46230</v>
      </c>
      <c r="F249" t="inlineStr">
        <is>
          <t>ÖSTERGÖTLANDS LÄN</t>
        </is>
      </c>
      <c r="G249" t="inlineStr">
        <is>
          <t>FINSPÅNG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45411-2022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44844</v>
      </c>
      <c r="E250" s="1" t="n">
        <v>46230</v>
      </c>
      <c r="F250" t="inlineStr">
        <is>
          <t>ÖSTERGÖTLANDS LÄN</t>
        </is>
      </c>
      <c r="G250" t="inlineStr">
        <is>
          <t>FINSPÅNG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11867-2025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45728</v>
      </c>
      <c r="E251" s="1" t="n">
        <v>46230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40063-2024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45554</v>
      </c>
      <c r="E252" s="1" t="n">
        <v>46230</v>
      </c>
      <c r="F252" t="inlineStr">
        <is>
          <t>ÖSTERGÖTLANDS LÄN</t>
        </is>
      </c>
      <c r="G252" t="inlineStr">
        <is>
          <t>FINSPÅNG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44960</v>
      </c>
      <c r="E253" s="1" t="n">
        <v>46230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9009-2024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45357</v>
      </c>
      <c r="E254" s="1" t="n">
        <v>46230</v>
      </c>
      <c r="F254" t="inlineStr">
        <is>
          <t>ÖSTERGÖTLANDS LÄN</t>
        </is>
      </c>
      <c r="G254" t="inlineStr">
        <is>
          <t>FINSPÅNG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14031-2025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45740</v>
      </c>
      <c r="E255" s="1" t="n">
        <v>46230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45688</v>
      </c>
      <c r="E256" s="1" t="n">
        <v>46230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10.3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59971-2024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45642</v>
      </c>
      <c r="E257" s="1" t="n">
        <v>46230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45084</v>
      </c>
      <c r="E258" s="1" t="n">
        <v>46230</v>
      </c>
      <c r="F258" t="inlineStr">
        <is>
          <t>ÖSTERGÖTLANDS LÄN</t>
        </is>
      </c>
      <c r="G258" t="inlineStr">
        <is>
          <t>FINSPÅNG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21532-2024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45441</v>
      </c>
      <c r="E259" s="1" t="n">
        <v>46230</v>
      </c>
      <c r="F259" t="inlineStr">
        <is>
          <t>ÖSTERGÖTLANDS LÄN</t>
        </is>
      </c>
      <c r="G259" t="inlineStr">
        <is>
          <t>FINSPÅNG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45233</v>
      </c>
      <c r="E260" s="1" t="n">
        <v>46230</v>
      </c>
      <c r="F260" t="inlineStr">
        <is>
          <t>ÖSTERGÖTLANDS LÄN</t>
        </is>
      </c>
      <c r="G260" t="inlineStr">
        <is>
          <t>FINSPÅNG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44778</v>
      </c>
      <c r="E261" s="1" t="n">
        <v>46230</v>
      </c>
      <c r="F261" t="inlineStr">
        <is>
          <t>ÖSTERGÖTLANDS LÄN</t>
        </is>
      </c>
      <c r="G261" t="inlineStr">
        <is>
          <t>FINSPÅNG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45720</v>
      </c>
      <c r="E262" s="1" t="n">
        <v>46230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45253</v>
      </c>
      <c r="E263" s="1" t="n">
        <v>46230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49494-2022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44861</v>
      </c>
      <c r="E264" s="1" t="n">
        <v>46230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Naturvårdsverket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36192-2023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45149</v>
      </c>
      <c r="E265" s="1" t="n">
        <v>46230</v>
      </c>
      <c r="F265" t="inlineStr">
        <is>
          <t>ÖSTERGÖTLANDS LÄN</t>
        </is>
      </c>
      <c r="G265" t="inlineStr">
        <is>
          <t>FINSPÅNG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58141-2022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46230</v>
      </c>
      <c r="F266" t="inlineStr">
        <is>
          <t>ÖSTERGÖTLANDS LÄN</t>
        </is>
      </c>
      <c r="G266" t="inlineStr">
        <is>
          <t>FINSPÅNG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45095</v>
      </c>
      <c r="E267" s="1" t="n">
        <v>46230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Övriga Aktiebolag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27699-2023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45095</v>
      </c>
      <c r="E268" s="1" t="n">
        <v>46230</v>
      </c>
      <c r="F268" t="inlineStr">
        <is>
          <t>ÖSTERGÖTLANDS LÄN</t>
        </is>
      </c>
      <c r="G268" t="inlineStr">
        <is>
          <t>FINSPÅNG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27487-2023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45095</v>
      </c>
      <c r="E269" s="1" t="n">
        <v>46230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Övriga Aktiebolag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45677</v>
      </c>
      <c r="E270" s="1" t="n">
        <v>46230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44993</v>
      </c>
      <c r="E271" s="1" t="n">
        <v>46230</v>
      </c>
      <c r="F271" t="inlineStr">
        <is>
          <t>ÖSTERGÖTLANDS LÄN</t>
        </is>
      </c>
      <c r="G271" t="inlineStr">
        <is>
          <t>FINSPÅNG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44942</v>
      </c>
      <c r="E272" s="1" t="n">
        <v>46230</v>
      </c>
      <c r="F272" t="inlineStr">
        <is>
          <t>ÖSTERGÖTLANDS LÄN</t>
        </is>
      </c>
      <c r="G272" t="inlineStr">
        <is>
          <t>FINSPÅNG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46230</v>
      </c>
      <c r="F273" t="inlineStr">
        <is>
          <t>ÖSTERGÖTLANDS LÄN</t>
        </is>
      </c>
      <c r="G273" t="inlineStr">
        <is>
          <t>FINSPÅNG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60547-2023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45259</v>
      </c>
      <c r="E274" s="1" t="n">
        <v>46230</v>
      </c>
      <c r="F274" t="inlineStr">
        <is>
          <t>ÖSTERGÖTLANDS LÄN</t>
        </is>
      </c>
      <c r="G274" t="inlineStr">
        <is>
          <t>FINSPÅNG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39205-2022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44817</v>
      </c>
      <c r="E275" s="1" t="n">
        <v>46230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55956-2024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45623</v>
      </c>
      <c r="E276" s="1" t="n">
        <v>46230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8317-2023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44974</v>
      </c>
      <c r="E277" s="1" t="n">
        <v>46230</v>
      </c>
      <c r="F277" t="inlineStr">
        <is>
          <t>ÖSTERGÖTLANDS LÄN</t>
        </is>
      </c>
      <c r="G277" t="inlineStr">
        <is>
          <t>FINSPÅNG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53821-2022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44880</v>
      </c>
      <c r="E278" s="1" t="n">
        <v>46230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61359-2023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45264</v>
      </c>
      <c r="E279" s="1" t="n">
        <v>46230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61994-2022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44918</v>
      </c>
      <c r="E280" s="1" t="n">
        <v>46230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48652-2024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45593</v>
      </c>
      <c r="E281" s="1" t="n">
        <v>46230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Övriga Aktiebolag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18134-2023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45040</v>
      </c>
      <c r="E282" s="1" t="n">
        <v>46230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45710</v>
      </c>
      <c r="E283" s="1" t="n">
        <v>46230</v>
      </c>
      <c r="F283" t="inlineStr">
        <is>
          <t>ÖSTERGÖTLANDS LÄN</t>
        </is>
      </c>
      <c r="G283" t="inlineStr">
        <is>
          <t>FINSPÅNG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35570-2023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45147</v>
      </c>
      <c r="E284" s="1" t="n">
        <v>46230</v>
      </c>
      <c r="F284" t="inlineStr">
        <is>
          <t>ÖSTERGÖTLANDS LÄN</t>
        </is>
      </c>
      <c r="G284" t="inlineStr">
        <is>
          <t>FINSPÅNG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40069-2024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45554</v>
      </c>
      <c r="E285" s="1" t="n">
        <v>46230</v>
      </c>
      <c r="F285" t="inlineStr">
        <is>
          <t>ÖSTERGÖTLANDS LÄN</t>
        </is>
      </c>
      <c r="G285" t="inlineStr">
        <is>
          <t>FINSPÅNG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45337</v>
      </c>
      <c r="E286" s="1" t="n">
        <v>46230</v>
      </c>
      <c r="F286" t="inlineStr">
        <is>
          <t>ÖSTERGÖTLANDS LÄN</t>
        </is>
      </c>
      <c r="G286" t="inlineStr">
        <is>
          <t>FINSPÅNG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45008</v>
      </c>
      <c r="E287" s="1" t="n">
        <v>46230</v>
      </c>
      <c r="F287" t="inlineStr">
        <is>
          <t>ÖSTERGÖTLANDS LÄN</t>
        </is>
      </c>
      <c r="G287" t="inlineStr">
        <is>
          <t>FINSPÅNG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45720</v>
      </c>
      <c r="E288" s="1" t="n">
        <v>46230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44958</v>
      </c>
      <c r="E289" s="1" t="n">
        <v>46230</v>
      </c>
      <c r="F289" t="inlineStr">
        <is>
          <t>ÖSTERGÖTLANDS LÄN</t>
        </is>
      </c>
      <c r="G289" t="inlineStr">
        <is>
          <t>FINSPÅNG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63482-2023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45274</v>
      </c>
      <c r="E290" s="1" t="n">
        <v>46230</v>
      </c>
      <c r="F290" t="inlineStr">
        <is>
          <t>ÖSTERGÖTLANDS LÄN</t>
        </is>
      </c>
      <c r="G290" t="inlineStr">
        <is>
          <t>FINSPÅNG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58991-2021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44490</v>
      </c>
      <c r="E291" s="1" t="n">
        <v>46230</v>
      </c>
      <c r="F291" t="inlineStr">
        <is>
          <t>ÖSTERGÖTLANDS LÄN</t>
        </is>
      </c>
      <c r="G291" t="inlineStr">
        <is>
          <t>FINSPÅNG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41397-2021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44424</v>
      </c>
      <c r="E292" s="1" t="n">
        <v>46230</v>
      </c>
      <c r="F292" t="inlineStr">
        <is>
          <t>ÖSTERGÖTLANDS LÄN</t>
        </is>
      </c>
      <c r="G292" t="inlineStr">
        <is>
          <t>FINSPÅNG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17578-2024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45415</v>
      </c>
      <c r="E293" s="1" t="n">
        <v>46230</v>
      </c>
      <c r="F293" t="inlineStr">
        <is>
          <t>ÖSTERGÖTLANDS LÄN</t>
        </is>
      </c>
      <c r="G293" t="inlineStr">
        <is>
          <t>FINSPÅNG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4647-2024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45328</v>
      </c>
      <c r="E294" s="1" t="n">
        <v>46230</v>
      </c>
      <c r="F294" t="inlineStr">
        <is>
          <t>ÖSTERGÖTLANDS LÄN</t>
        </is>
      </c>
      <c r="G294" t="inlineStr">
        <is>
          <t>FINSPÅNG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28024-2023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45095</v>
      </c>
      <c r="E295" s="1" t="n">
        <v>46230</v>
      </c>
      <c r="F295" t="inlineStr">
        <is>
          <t>ÖSTERGÖTLANDS LÄN</t>
        </is>
      </c>
      <c r="G295" t="inlineStr">
        <is>
          <t>FINSPÅNG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44950</v>
      </c>
      <c r="E296" s="1" t="n">
        <v>46230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45744</v>
      </c>
      <c r="E297" s="1" t="n">
        <v>46230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Naturvårdsverket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59795-2023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45257</v>
      </c>
      <c r="E298" s="1" t="n">
        <v>46230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45257</v>
      </c>
      <c r="E299" s="1" t="n">
        <v>46230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50063-2022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44860</v>
      </c>
      <c r="E300" s="1" t="n">
        <v>46230</v>
      </c>
      <c r="F300" t="inlineStr">
        <is>
          <t>ÖSTERGÖTLANDS LÄN</t>
        </is>
      </c>
      <c r="G300" t="inlineStr">
        <is>
          <t>FINSPÅNG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24015-2024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45456</v>
      </c>
      <c r="E301" s="1" t="n">
        <v>46230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44949</v>
      </c>
      <c r="E302" s="1" t="n">
        <v>46230</v>
      </c>
      <c r="F302" t="inlineStr">
        <is>
          <t>ÖSTERGÖTLANDS LÄN</t>
        </is>
      </c>
      <c r="G302" t="inlineStr">
        <is>
          <t>FINSPÅNG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14028-2025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45740</v>
      </c>
      <c r="E303" s="1" t="n">
        <v>46230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13084-2023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45002</v>
      </c>
      <c r="E304" s="1" t="n">
        <v>46230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42176-2023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45178</v>
      </c>
      <c r="E305" s="1" t="n">
        <v>46230</v>
      </c>
      <c r="F305" t="inlineStr">
        <is>
          <t>ÖSTERGÖTLANDS LÄN</t>
        </is>
      </c>
      <c r="G305" t="inlineStr">
        <is>
          <t>FINSPÅNG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18258-2024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45421</v>
      </c>
      <c r="E306" s="1" t="n">
        <v>46230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37647-2024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45541</v>
      </c>
      <c r="E307" s="1" t="n">
        <v>46230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45257</v>
      </c>
      <c r="E308" s="1" t="n">
        <v>46230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48466-2023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45206</v>
      </c>
      <c r="E309" s="1" t="n">
        <v>46230</v>
      </c>
      <c r="F309" t="inlineStr">
        <is>
          <t>ÖSTERGÖTLANDS LÄN</t>
        </is>
      </c>
      <c r="G309" t="inlineStr">
        <is>
          <t>FINSPÅNG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62421-2021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44503</v>
      </c>
      <c r="E310" s="1" t="n">
        <v>46230</v>
      </c>
      <c r="F310" t="inlineStr">
        <is>
          <t>ÖSTERGÖTLANDS LÄN</t>
        </is>
      </c>
      <c r="G310" t="inlineStr">
        <is>
          <t>FINSPÅNG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32973-2023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45125</v>
      </c>
      <c r="E311" s="1" t="n">
        <v>46230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Övriga Aktiebolag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45463</v>
      </c>
      <c r="E312" s="1" t="n">
        <v>46230</v>
      </c>
      <c r="F312" t="inlineStr">
        <is>
          <t>ÖSTERGÖTLANDS LÄN</t>
        </is>
      </c>
      <c r="G312" t="inlineStr">
        <is>
          <t>FINSPÅNG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15614-2023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45020</v>
      </c>
      <c r="E313" s="1" t="n">
        <v>46230</v>
      </c>
      <c r="F313" t="inlineStr">
        <is>
          <t>ÖSTERGÖTLANDS LÄN</t>
        </is>
      </c>
      <c r="G313" t="inlineStr">
        <is>
          <t>FINSPÅNG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45243-2022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44840</v>
      </c>
      <c r="E314" s="1" t="n">
        <v>46230</v>
      </c>
      <c r="F314" t="inlineStr">
        <is>
          <t>ÖSTERGÖTLANDS LÄN</t>
        </is>
      </c>
      <c r="G314" t="inlineStr">
        <is>
          <t>FINSPÅNG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18295-2023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45041</v>
      </c>
      <c r="E315" s="1" t="n">
        <v>46230</v>
      </c>
      <c r="F315" t="inlineStr">
        <is>
          <t>ÖSTERGÖTLANDS LÄN</t>
        </is>
      </c>
      <c r="G315" t="inlineStr">
        <is>
          <t>FINSPÅNG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39655-2023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45167</v>
      </c>
      <c r="E316" s="1" t="n">
        <v>46230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Kyrkan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30920-2022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44767</v>
      </c>
      <c r="E317" s="1" t="n">
        <v>46230</v>
      </c>
      <c r="F317" t="inlineStr">
        <is>
          <t>ÖSTERGÖTLANDS LÄN</t>
        </is>
      </c>
      <c r="G317" t="inlineStr">
        <is>
          <t>FINSPÅNG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11540-2023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44993</v>
      </c>
      <c r="E318" s="1" t="n">
        <v>46230</v>
      </c>
      <c r="F318" t="inlineStr">
        <is>
          <t>ÖSTERGÖTLANDS LÄN</t>
        </is>
      </c>
      <c r="G318" t="inlineStr">
        <is>
          <t>FINSPÅNG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65742-2021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44516</v>
      </c>
      <c r="E319" s="1" t="n">
        <v>46230</v>
      </c>
      <c r="F319" t="inlineStr">
        <is>
          <t>ÖSTERGÖTLANDS LÄN</t>
        </is>
      </c>
      <c r="G319" t="inlineStr">
        <is>
          <t>FINSPÅNG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44964</v>
      </c>
      <c r="E320" s="1" t="n">
        <v>46230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7445-2022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44607</v>
      </c>
      <c r="E321" s="1" t="n">
        <v>46230</v>
      </c>
      <c r="F321" t="inlineStr">
        <is>
          <t>ÖSTERGÖTLANDS LÄN</t>
        </is>
      </c>
      <c r="G321" t="inlineStr">
        <is>
          <t>FINSPÅNG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44930</v>
      </c>
      <c r="E322" s="1" t="n">
        <v>46230</v>
      </c>
      <c r="F322" t="inlineStr">
        <is>
          <t>ÖSTERGÖTLANDS LÄN</t>
        </is>
      </c>
      <c r="G322" t="inlineStr">
        <is>
          <t>FINSPÅNG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4860-2023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44957</v>
      </c>
      <c r="E323" s="1" t="n">
        <v>46230</v>
      </c>
      <c r="F323" t="inlineStr">
        <is>
          <t>ÖSTERGÖTLANDS LÄN</t>
        </is>
      </c>
      <c r="G323" t="inlineStr">
        <is>
          <t>FINSPÅNG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28732-2023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45103</v>
      </c>
      <c r="E324" s="1" t="n">
        <v>46230</v>
      </c>
      <c r="F324" t="inlineStr">
        <is>
          <t>ÖSTERGÖTLANDS LÄN</t>
        </is>
      </c>
      <c r="G324" t="inlineStr">
        <is>
          <t>FINSPÅNG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15473-2022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44662</v>
      </c>
      <c r="E325" s="1" t="n">
        <v>46230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45820</v>
      </c>
      <c r="E326" s="1" t="n">
        <v>46230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25678-2024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45463</v>
      </c>
      <c r="E327" s="1" t="n">
        <v>46230</v>
      </c>
      <c r="F327" t="inlineStr">
        <is>
          <t>ÖSTERGÖTLANDS LÄN</t>
        </is>
      </c>
      <c r="G327" t="inlineStr">
        <is>
          <t>FINSPÅNG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36593-2025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45870</v>
      </c>
      <c r="E328" s="1" t="n">
        <v>46230</v>
      </c>
      <c r="F328" t="inlineStr">
        <is>
          <t>ÖSTERGÖTLANDS LÄN</t>
        </is>
      </c>
      <c r="G328" t="inlineStr">
        <is>
          <t>FINSPÅNG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24804-2023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45084</v>
      </c>
      <c r="E329" s="1" t="n">
        <v>46230</v>
      </c>
      <c r="F329" t="inlineStr">
        <is>
          <t>ÖSTERGÖTLANDS LÄN</t>
        </is>
      </c>
      <c r="G329" t="inlineStr">
        <is>
          <t>FINSPÅNG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25356-2022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44732</v>
      </c>
      <c r="E330" s="1" t="n">
        <v>46230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45709</v>
      </c>
      <c r="E331" s="1" t="n">
        <v>46230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50670-2024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45601</v>
      </c>
      <c r="E332" s="1" t="n">
        <v>46230</v>
      </c>
      <c r="F332" t="inlineStr">
        <is>
          <t>ÖSTERGÖTLANDS LÄN</t>
        </is>
      </c>
      <c r="G332" t="inlineStr">
        <is>
          <t>FINSPÅNG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61012-2022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44914</v>
      </c>
      <c r="E333" s="1" t="n">
        <v>46230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70505-2021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44536</v>
      </c>
      <c r="E334" s="1" t="n">
        <v>46230</v>
      </c>
      <c r="F334" t="inlineStr">
        <is>
          <t>ÖSTERGÖTLANDS LÄN</t>
        </is>
      </c>
      <c r="G334" t="inlineStr">
        <is>
          <t>FINSPÅNG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19710-2026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46134</v>
      </c>
      <c r="E335" s="1" t="n">
        <v>46230</v>
      </c>
      <c r="F335" t="inlineStr">
        <is>
          <t>ÖSTERGÖTLANDS LÄN</t>
        </is>
      </c>
      <c r="G335" t="inlineStr">
        <is>
          <t>FINSPÅNG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37679-2025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45880</v>
      </c>
      <c r="E336" s="1" t="n">
        <v>46230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25188-2023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45086</v>
      </c>
      <c r="E337" s="1" t="n">
        <v>46230</v>
      </c>
      <c r="F337" t="inlineStr">
        <is>
          <t>ÖSTERGÖTLANDS LÄN</t>
        </is>
      </c>
      <c r="G337" t="inlineStr">
        <is>
          <t>FINSPÅNG</t>
        </is>
      </c>
      <c r="I337" t="n">
        <v>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37742-2025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45880</v>
      </c>
      <c r="E338" s="1" t="n">
        <v>46230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26087-2022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44734</v>
      </c>
      <c r="E339" s="1" t="n">
        <v>46230</v>
      </c>
      <c r="F339" t="inlineStr">
        <is>
          <t>ÖSTERGÖTLANDS LÄN</t>
        </is>
      </c>
      <c r="G339" t="inlineStr">
        <is>
          <t>FINSPÅNG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37936-2025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45881</v>
      </c>
      <c r="E340" s="1" t="n">
        <v>46230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Naturvårdsverket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45442</v>
      </c>
      <c r="E341" s="1" t="n">
        <v>46230</v>
      </c>
      <c r="F341" t="inlineStr">
        <is>
          <t>ÖSTERGÖTLANDS LÄN</t>
        </is>
      </c>
      <c r="G341" t="inlineStr">
        <is>
          <t>FINSPÅNG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63321-2021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44508</v>
      </c>
      <c r="E342" s="1" t="n">
        <v>46230</v>
      </c>
      <c r="F342" t="inlineStr">
        <is>
          <t>ÖSTERGÖTLANDS LÄN</t>
        </is>
      </c>
      <c r="G342" t="inlineStr">
        <is>
          <t>FINSPÅNG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38231-2025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45883</v>
      </c>
      <c r="E343" s="1" t="n">
        <v>46230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45883</v>
      </c>
      <c r="E344" s="1" t="n">
        <v>46230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56246-2022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44887</v>
      </c>
      <c r="E345" s="1" t="n">
        <v>46230</v>
      </c>
      <c r="F345" t="inlineStr">
        <is>
          <t>ÖSTERGÖTLANDS LÄN</t>
        </is>
      </c>
      <c r="G345" t="inlineStr">
        <is>
          <t>FINSPÅNG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53675-2024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45615</v>
      </c>
      <c r="E346" s="1" t="n">
        <v>46230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14142-2025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45740</v>
      </c>
      <c r="E347" s="1" t="n">
        <v>46230</v>
      </c>
      <c r="F347" t="inlineStr">
        <is>
          <t>ÖSTERGÖTLANDS LÄN</t>
        </is>
      </c>
      <c r="G347" t="inlineStr">
        <is>
          <t>FINSPÅNG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21722-2025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45783</v>
      </c>
      <c r="E348" s="1" t="n">
        <v>46230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10083-2025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45719</v>
      </c>
      <c r="E349" s="1" t="n">
        <v>46230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55231-2024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45621</v>
      </c>
      <c r="E350" s="1" t="n">
        <v>46230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39137-2025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45888</v>
      </c>
      <c r="E351" s="1" t="n">
        <v>46230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8937-2022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44614</v>
      </c>
      <c r="E352" s="1" t="n">
        <v>46230</v>
      </c>
      <c r="F352" t="inlineStr">
        <is>
          <t>ÖSTERGÖTLANDS LÄN</t>
        </is>
      </c>
      <c r="G352" t="inlineStr">
        <is>
          <t>FINSPÅNG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39826-2025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45891</v>
      </c>
      <c r="E353" s="1" t="n">
        <v>46230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8193-2025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45707</v>
      </c>
      <c r="E354" s="1" t="n">
        <v>46230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Allmännings- och besparingsskogar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26195-2024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45468</v>
      </c>
      <c r="E355" s="1" t="n">
        <v>46230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73260-2021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44550</v>
      </c>
      <c r="E356" s="1" t="n">
        <v>46230</v>
      </c>
      <c r="F356" t="inlineStr">
        <is>
          <t>ÖSTERGÖTLANDS LÄN</t>
        </is>
      </c>
      <c r="G356" t="inlineStr">
        <is>
          <t>FINSPÅNG</t>
        </is>
      </c>
      <c r="I356" t="n">
        <v>10.3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43221-2022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44833</v>
      </c>
      <c r="E357" s="1" t="n">
        <v>46230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Övriga Aktiebolag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45761-2021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44441</v>
      </c>
      <c r="E358" s="1" t="n">
        <v>46230</v>
      </c>
      <c r="F358" t="inlineStr">
        <is>
          <t>ÖSTERGÖTLANDS LÄN</t>
        </is>
      </c>
      <c r="G358" t="inlineStr">
        <is>
          <t>FINSPÅNG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45894</v>
      </c>
      <c r="E359" s="1" t="n">
        <v>46230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40472-2025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45895</v>
      </c>
      <c r="E360" s="1" t="n">
        <v>46230</v>
      </c>
      <c r="F360" t="inlineStr">
        <is>
          <t>ÖSTERGÖTLANDS LÄN</t>
        </is>
      </c>
      <c r="G360" t="inlineStr">
        <is>
          <t>FINSPÅNG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10148-2025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45719</v>
      </c>
      <c r="E361" s="1" t="n">
        <v>46230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7.3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51435-2024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45604</v>
      </c>
      <c r="E362" s="1" t="n">
        <v>46230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39356-2022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44817</v>
      </c>
      <c r="E363" s="1" t="n">
        <v>46230</v>
      </c>
      <c r="F363" t="inlineStr">
        <is>
          <t>ÖSTERGÖTLANDS LÄN</t>
        </is>
      </c>
      <c r="G363" t="inlineStr">
        <is>
          <t>FINSPÅNG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40557-2025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45896</v>
      </c>
      <c r="E364" s="1" t="n">
        <v>46230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41204-2025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45898</v>
      </c>
      <c r="E365" s="1" t="n">
        <v>46230</v>
      </c>
      <c r="F365" t="inlineStr">
        <is>
          <t>ÖSTERGÖTLANDS LÄN</t>
        </is>
      </c>
      <c r="G365" t="inlineStr">
        <is>
          <t>FINSPÅNG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50189-2022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44865</v>
      </c>
      <c r="E366" s="1" t="n">
        <v>46230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9130-2023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44980</v>
      </c>
      <c r="E367" s="1" t="n">
        <v>46230</v>
      </c>
      <c r="F367" t="inlineStr">
        <is>
          <t>ÖSTERGÖTLANDS LÄN</t>
        </is>
      </c>
      <c r="G367" t="inlineStr">
        <is>
          <t>FINSPÅNG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31180-2025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45832</v>
      </c>
      <c r="E368" s="1" t="n">
        <v>46230</v>
      </c>
      <c r="F368" t="inlineStr">
        <is>
          <t>ÖSTERGÖTLANDS LÄN</t>
        </is>
      </c>
      <c r="G368" t="inlineStr">
        <is>
          <t>FINSPÅNG</t>
        </is>
      </c>
      <c r="I368" t="n">
        <v>8.300000000000001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31801-2023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45118</v>
      </c>
      <c r="E369" s="1" t="n">
        <v>46230</v>
      </c>
      <c r="F369" t="inlineStr">
        <is>
          <t>ÖSTERGÖTLANDS LÄN</t>
        </is>
      </c>
      <c r="G369" t="inlineStr">
        <is>
          <t>FINSPÅNG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42045-2025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45903</v>
      </c>
      <c r="E370" s="1" t="n">
        <v>46230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42033-2025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45903</v>
      </c>
      <c r="E371" s="1" t="n">
        <v>46230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42027-2025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45903</v>
      </c>
      <c r="E372" s="1" t="n">
        <v>46230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42030-2025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45903</v>
      </c>
      <c r="E373" s="1" t="n">
        <v>46230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41802-2025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45902</v>
      </c>
      <c r="E374" s="1" t="n">
        <v>46230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42025-2025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45903</v>
      </c>
      <c r="E375" s="1" t="n">
        <v>46230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39896-2023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45166</v>
      </c>
      <c r="E376" s="1" t="n">
        <v>46230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Övriga Aktiebolag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42368-2025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46230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42479-2025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45905</v>
      </c>
      <c r="E378" s="1" t="n">
        <v>46230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11.1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42459-2025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45905</v>
      </c>
      <c r="E379" s="1" t="n">
        <v>46230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42289-2025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45904</v>
      </c>
      <c r="E380" s="1" t="n">
        <v>46230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42452-2025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45905</v>
      </c>
      <c r="E381" s="1" t="n">
        <v>46230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7.6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42373-2025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45905</v>
      </c>
      <c r="E382" s="1" t="n">
        <v>46230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25877-2024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45467</v>
      </c>
      <c r="E383" s="1" t="n">
        <v>46230</v>
      </c>
      <c r="F383" t="inlineStr">
        <is>
          <t>ÖSTERGÖTLANDS LÄN</t>
        </is>
      </c>
      <c r="G383" t="inlineStr">
        <is>
          <t>FINSPÅNG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42432-2025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45905</v>
      </c>
      <c r="E384" s="1" t="n">
        <v>46230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32789-2024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45516</v>
      </c>
      <c r="E385" s="1" t="n">
        <v>46230</v>
      </c>
      <c r="F385" t="inlineStr">
        <is>
          <t>ÖSTERGÖTLANDS LÄN</t>
        </is>
      </c>
      <c r="G385" t="inlineStr">
        <is>
          <t>FINSPÅNG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42255-2025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45904</v>
      </c>
      <c r="E386" s="1" t="n">
        <v>46230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26247-2022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44735</v>
      </c>
      <c r="E387" s="1" t="n">
        <v>46230</v>
      </c>
      <c r="F387" t="inlineStr">
        <is>
          <t>ÖSTERGÖTLANDS LÄN</t>
        </is>
      </c>
      <c r="G387" t="inlineStr">
        <is>
          <t>FINSPÅNG</t>
        </is>
      </c>
      <c r="I387" t="n">
        <v>10.1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43950-2025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45915</v>
      </c>
      <c r="E388" s="1" t="n">
        <v>46230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42817-2025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45908</v>
      </c>
      <c r="E389" s="1" t="n">
        <v>46230</v>
      </c>
      <c r="F389" t="inlineStr">
        <is>
          <t>ÖSTERGÖTLANDS LÄN</t>
        </is>
      </c>
      <c r="G389" t="inlineStr">
        <is>
          <t>FINSPÅNG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50356-2024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45600</v>
      </c>
      <c r="E390" s="1" t="n">
        <v>46230</v>
      </c>
      <c r="F390" t="inlineStr">
        <is>
          <t>ÖSTERGÖTLANDS LÄN</t>
        </is>
      </c>
      <c r="G390" t="inlineStr">
        <is>
          <t>FINSPÅNG</t>
        </is>
      </c>
      <c r="I390" t="n">
        <v>6.9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6635-2025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45700</v>
      </c>
      <c r="E391" s="1" t="n">
        <v>46230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53323-2023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45229</v>
      </c>
      <c r="E392" s="1" t="n">
        <v>46230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58142-2022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44900</v>
      </c>
      <c r="E393" s="1" t="n">
        <v>46230</v>
      </c>
      <c r="F393" t="inlineStr">
        <is>
          <t>ÖSTERGÖTLANDS LÄN</t>
        </is>
      </c>
      <c r="G393" t="inlineStr">
        <is>
          <t>FINSPÅNG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28559-2023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45103</v>
      </c>
      <c r="E394" s="1" t="n">
        <v>46230</v>
      </c>
      <c r="F394" t="inlineStr">
        <is>
          <t>ÖSTERGÖTLANDS LÄN</t>
        </is>
      </c>
      <c r="G394" t="inlineStr">
        <is>
          <t>FINSPÅNG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45343</v>
      </c>
      <c r="E395" s="1" t="n">
        <v>46230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41513-2024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45560</v>
      </c>
      <c r="E396" s="1" t="n">
        <v>46230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24458-2023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45082</v>
      </c>
      <c r="E397" s="1" t="n">
        <v>46230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45299</v>
      </c>
      <c r="E398" s="1" t="n">
        <v>46230</v>
      </c>
      <c r="F398" t="inlineStr">
        <is>
          <t>ÖSTERGÖTLANDS LÄN</t>
        </is>
      </c>
      <c r="G398" t="inlineStr">
        <is>
          <t>FINSPÅNG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13671-2023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45006</v>
      </c>
      <c r="E399" s="1" t="n">
        <v>46230</v>
      </c>
      <c r="F399" t="inlineStr">
        <is>
          <t>ÖSTERGÖTLANDS LÄN</t>
        </is>
      </c>
      <c r="G399" t="inlineStr">
        <is>
          <t>FINSPÅNG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12472-2024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45379</v>
      </c>
      <c r="E400" s="1" t="n">
        <v>46230</v>
      </c>
      <c r="F400" t="inlineStr">
        <is>
          <t>ÖSTERGÖTLANDS LÄN</t>
        </is>
      </c>
      <c r="G400" t="inlineStr">
        <is>
          <t>FINSPÅNG</t>
        </is>
      </c>
      <c r="I400" t="n">
        <v>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45692</v>
      </c>
      <c r="E401" s="1" t="n">
        <v>46230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44571-2022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44840</v>
      </c>
      <c r="E402" s="1" t="n">
        <v>46230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17992-2023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45040</v>
      </c>
      <c r="E403" s="1" t="n">
        <v>46230</v>
      </c>
      <c r="F403" t="inlineStr">
        <is>
          <t>ÖSTERGÖTLANDS LÄN</t>
        </is>
      </c>
      <c r="G403" t="inlineStr">
        <is>
          <t>FINSPÅNG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23249-2023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45075</v>
      </c>
      <c r="E404" s="1" t="n">
        <v>46230</v>
      </c>
      <c r="F404" t="inlineStr">
        <is>
          <t>ÖSTERGÖTLANDS LÄN</t>
        </is>
      </c>
      <c r="G404" t="inlineStr">
        <is>
          <t>FINSPÅNG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54581-2024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45617</v>
      </c>
      <c r="E405" s="1" t="n">
        <v>46230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46149-2025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45924</v>
      </c>
      <c r="E406" s="1" t="n">
        <v>46230</v>
      </c>
      <c r="F406" t="inlineStr">
        <is>
          <t>ÖSTERGÖTLANDS LÄN</t>
        </is>
      </c>
      <c r="G406" t="inlineStr">
        <is>
          <t>FINSPÅNG</t>
        </is>
      </c>
      <c r="I406" t="n">
        <v>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24192-2022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44725</v>
      </c>
      <c r="E407" s="1" t="n">
        <v>46230</v>
      </c>
      <c r="F407" t="inlineStr">
        <is>
          <t>ÖSTERGÖTLANDS LÄN</t>
        </is>
      </c>
      <c r="G407" t="inlineStr">
        <is>
          <t>FINSPÅNG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24510-2023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45082</v>
      </c>
      <c r="E408" s="1" t="n">
        <v>46230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35278-2025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45853</v>
      </c>
      <c r="E409" s="1" t="n">
        <v>46230</v>
      </c>
      <c r="F409" t="inlineStr">
        <is>
          <t>ÖSTERGÖTLANDS LÄN</t>
        </is>
      </c>
      <c r="G409" t="inlineStr">
        <is>
          <t>FINSPÅNG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20157-2023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45055</v>
      </c>
      <c r="E410" s="1" t="n">
        <v>46230</v>
      </c>
      <c r="F410" t="inlineStr">
        <is>
          <t>ÖSTERGÖTLANDS LÄN</t>
        </is>
      </c>
      <c r="G410" t="inlineStr">
        <is>
          <t>FINSPÅNG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45688</v>
      </c>
      <c r="E411" s="1" t="n">
        <v>46230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58313-2023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45250</v>
      </c>
      <c r="E412" s="1" t="n">
        <v>46230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58333-2023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45250</v>
      </c>
      <c r="E413" s="1" t="n">
        <v>46230</v>
      </c>
      <c r="F413" t="inlineStr">
        <is>
          <t>ÖSTERGÖTLANDS LÄN</t>
        </is>
      </c>
      <c r="G413" t="inlineStr">
        <is>
          <t>FINSPÅNG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46064</v>
      </c>
      <c r="E414" s="1" t="n">
        <v>46230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Sveaskog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33804-2023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45133</v>
      </c>
      <c r="E415" s="1" t="n">
        <v>46230</v>
      </c>
      <c r="F415" t="inlineStr">
        <is>
          <t>ÖSTERGÖTLANDS LÄN</t>
        </is>
      </c>
      <c r="G415" t="inlineStr">
        <is>
          <t>FINSPÅNG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58984-2022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44903</v>
      </c>
      <c r="E416" s="1" t="n">
        <v>46230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39114-2024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45548</v>
      </c>
      <c r="E417" s="1" t="n">
        <v>46230</v>
      </c>
      <c r="F417" t="inlineStr">
        <is>
          <t>ÖSTERGÖTLANDS LÄN</t>
        </is>
      </c>
      <c r="G417" t="inlineStr">
        <is>
          <t>FINSPÅNG</t>
        </is>
      </c>
      <c r="I417" t="n">
        <v>9.699999999999999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47567-2025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45931</v>
      </c>
      <c r="E418" s="1" t="n">
        <v>46230</v>
      </c>
      <c r="F418" t="inlineStr">
        <is>
          <t>ÖSTERGÖTLANDS LÄN</t>
        </is>
      </c>
      <c r="G418" t="inlineStr">
        <is>
          <t>FINSPÅNG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45267</v>
      </c>
      <c r="E419" s="1" t="n">
        <v>46230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14022-2023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45008</v>
      </c>
      <c r="E420" s="1" t="n">
        <v>46230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54609-2021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44473</v>
      </c>
      <c r="E421" s="1" t="n">
        <v>46230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Sveaskog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7269-2024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45344</v>
      </c>
      <c r="E422" s="1" t="n">
        <v>46230</v>
      </c>
      <c r="F422" t="inlineStr">
        <is>
          <t>ÖSTERGÖTLANDS LÄN</t>
        </is>
      </c>
      <c r="G422" t="inlineStr">
        <is>
          <t>FINSPÅNG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9809-2024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45362</v>
      </c>
      <c r="E423" s="1" t="n">
        <v>46230</v>
      </c>
      <c r="F423" t="inlineStr">
        <is>
          <t>ÖSTERGÖTLANDS LÄN</t>
        </is>
      </c>
      <c r="G423" t="inlineStr">
        <is>
          <t>FINSPÅNG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11730-2022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44634</v>
      </c>
      <c r="E424" s="1" t="n">
        <v>46230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58905-2023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45252</v>
      </c>
      <c r="E425" s="1" t="n">
        <v>46230</v>
      </c>
      <c r="F425" t="inlineStr">
        <is>
          <t>ÖSTERGÖTLANDS LÄN</t>
        </is>
      </c>
      <c r="G425" t="inlineStr">
        <is>
          <t>FINSPÅNG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48790-2023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45209</v>
      </c>
      <c r="E426" s="1" t="n">
        <v>46230</v>
      </c>
      <c r="F426" t="inlineStr">
        <is>
          <t>ÖSTERGÖTLANDS LÄN</t>
        </is>
      </c>
      <c r="G426" t="inlineStr">
        <is>
          <t>FINSPÅNG</t>
        </is>
      </c>
      <c r="I426" t="n">
        <v>14.6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48793-2023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45209</v>
      </c>
      <c r="E427" s="1" t="n">
        <v>46230</v>
      </c>
      <c r="F427" t="inlineStr">
        <is>
          <t>ÖSTERGÖTLANDS LÄN</t>
        </is>
      </c>
      <c r="G427" t="inlineStr">
        <is>
          <t>FINSPÅNG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34417-2025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45846</v>
      </c>
      <c r="E428" s="1" t="n">
        <v>46230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48455-2025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45935</v>
      </c>
      <c r="E429" s="1" t="n">
        <v>46230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Övriga Aktiebolag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43744-2021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44433</v>
      </c>
      <c r="E430" s="1" t="n">
        <v>46230</v>
      </c>
      <c r="F430" t="inlineStr">
        <is>
          <t>ÖSTERGÖTLANDS LÄN</t>
        </is>
      </c>
      <c r="G430" t="inlineStr">
        <is>
          <t>FINSPÅNG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42782-2024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45566</v>
      </c>
      <c r="E431" s="1" t="n">
        <v>46230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20821-2026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46141</v>
      </c>
      <c r="E432" s="1" t="n">
        <v>46230</v>
      </c>
      <c r="F432" t="inlineStr">
        <is>
          <t>ÖSTERGÖTLANDS LÄN</t>
        </is>
      </c>
      <c r="G432" t="inlineStr">
        <is>
          <t>FINSPÅNG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15824-2022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44664</v>
      </c>
      <c r="E433" s="1" t="n">
        <v>46230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3096-2023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44946</v>
      </c>
      <c r="E434" s="1" t="n">
        <v>46230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44946</v>
      </c>
      <c r="E435" s="1" t="n">
        <v>46230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49142-2023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45210</v>
      </c>
      <c r="E436" s="1" t="n">
        <v>46230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Övriga Aktiebolag</t>
        </is>
      </c>
      <c r="I436" t="n">
        <v>12.3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50395-2025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45944</v>
      </c>
      <c r="E437" s="1" t="n">
        <v>46230</v>
      </c>
      <c r="F437" t="inlineStr">
        <is>
          <t>ÖSTERGÖTLANDS LÄN</t>
        </is>
      </c>
      <c r="G437" t="inlineStr">
        <is>
          <t>FINSPÅNG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2650-2023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44944</v>
      </c>
      <c r="E438" s="1" t="n">
        <v>46230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14241-2023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45009</v>
      </c>
      <c r="E439" s="1" t="n">
        <v>46230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58011-2023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45247</v>
      </c>
      <c r="E440" s="1" t="n">
        <v>46230</v>
      </c>
      <c r="F440" t="inlineStr">
        <is>
          <t>ÖSTERGÖTLANDS LÄN</t>
        </is>
      </c>
      <c r="G440" t="inlineStr">
        <is>
          <t>FINSPÅNG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28020-2023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45095</v>
      </c>
      <c r="E441" s="1" t="n">
        <v>46230</v>
      </c>
      <c r="F441" t="inlineStr">
        <is>
          <t>ÖSTERGÖTLANDS LÄN</t>
        </is>
      </c>
      <c r="G441" t="inlineStr">
        <is>
          <t>FINSPÅNG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40306-2021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44419</v>
      </c>
      <c r="E442" s="1" t="n">
        <v>46230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20819-2026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46141</v>
      </c>
      <c r="E443" s="1" t="n">
        <v>46230</v>
      </c>
      <c r="F443" t="inlineStr">
        <is>
          <t>ÖSTERGÖTLANDS LÄN</t>
        </is>
      </c>
      <c r="G443" t="inlineStr">
        <is>
          <t>FINSPÅNG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34001-2024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45523</v>
      </c>
      <c r="E444" s="1" t="n">
        <v>46230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51508-2025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45950</v>
      </c>
      <c r="E445" s="1" t="n">
        <v>46230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30921-2022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44767</v>
      </c>
      <c r="E446" s="1" t="n">
        <v>46230</v>
      </c>
      <c r="F446" t="inlineStr">
        <is>
          <t>ÖSTERGÖTLANDS LÄN</t>
        </is>
      </c>
      <c r="G446" t="inlineStr">
        <is>
          <t>FINSPÅNG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6021-2023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46230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30271-2022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44759</v>
      </c>
      <c r="E448" s="1" t="n">
        <v>46230</v>
      </c>
      <c r="F448" t="inlineStr">
        <is>
          <t>ÖSTERGÖTLANDS LÄN</t>
        </is>
      </c>
      <c r="G448" t="inlineStr">
        <is>
          <t>FINSPÅNG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60169-2023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45258</v>
      </c>
      <c r="E449" s="1" t="n">
        <v>46230</v>
      </c>
      <c r="F449" t="inlineStr">
        <is>
          <t>ÖSTERGÖTLANDS LÄN</t>
        </is>
      </c>
      <c r="G449" t="inlineStr">
        <is>
          <t>FINSPÅNG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27369-2026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46188</v>
      </c>
      <c r="E450" s="1" t="n">
        <v>46230</v>
      </c>
      <c r="F450" t="inlineStr">
        <is>
          <t>ÖSTERGÖTLANDS LÄN</t>
        </is>
      </c>
      <c r="G450" t="inlineStr">
        <is>
          <t>FINSPÅNG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52659-2025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45955</v>
      </c>
      <c r="E451" s="1" t="n">
        <v>46230</v>
      </c>
      <c r="F451" t="inlineStr">
        <is>
          <t>ÖSTERGÖTLANDS LÄN</t>
        </is>
      </c>
      <c r="G451" t="inlineStr">
        <is>
          <t>FINSPÅNG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9554-2022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44617</v>
      </c>
      <c r="E452" s="1" t="n">
        <v>46230</v>
      </c>
      <c r="F452" t="inlineStr">
        <is>
          <t>ÖSTERGÖTLANDS LÄN</t>
        </is>
      </c>
      <c r="G452" t="inlineStr">
        <is>
          <t>FINSPÅNG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18445-2023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45042</v>
      </c>
      <c r="E453" s="1" t="n">
        <v>46230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44937</v>
      </c>
      <c r="E454" s="1" t="n">
        <v>46230</v>
      </c>
      <c r="F454" t="inlineStr">
        <is>
          <t>ÖSTERGÖTLANDS LÄN</t>
        </is>
      </c>
      <c r="G454" t="inlineStr">
        <is>
          <t>FINSPÅNG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8438-2025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45709</v>
      </c>
      <c r="E455" s="1" t="n">
        <v>46230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11541-2023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44993</v>
      </c>
      <c r="E456" s="1" t="n">
        <v>46230</v>
      </c>
      <c r="F456" t="inlineStr">
        <is>
          <t>ÖSTERGÖTLANDS LÄN</t>
        </is>
      </c>
      <c r="G456" t="inlineStr">
        <is>
          <t>FINSPÅNG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27699-2023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45095</v>
      </c>
      <c r="E457" s="1" t="n">
        <v>46230</v>
      </c>
      <c r="F457" t="inlineStr">
        <is>
          <t>ÖSTERGÖTLANDS LÄN</t>
        </is>
      </c>
      <c r="G457" t="inlineStr">
        <is>
          <t>FINSPÅNG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45960</v>
      </c>
      <c r="E458" s="1" t="n">
        <v>46230</v>
      </c>
      <c r="F458" t="inlineStr">
        <is>
          <t>ÖSTERGÖTLANDS LÄN</t>
        </is>
      </c>
      <c r="G458" t="inlineStr">
        <is>
          <t>FINSPÅNG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44564</v>
      </c>
      <c r="E459" s="1" t="n">
        <v>46230</v>
      </c>
      <c r="F459" t="inlineStr">
        <is>
          <t>ÖSTERGÖTLANDS LÄN</t>
        </is>
      </c>
      <c r="G459" t="inlineStr">
        <is>
          <t>FINSPÅNG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52007-2024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45607</v>
      </c>
      <c r="E460" s="1" t="n">
        <v>46230</v>
      </c>
      <c r="F460" t="inlineStr">
        <is>
          <t>ÖSTERGÖTLANDS LÄN</t>
        </is>
      </c>
      <c r="G460" t="inlineStr">
        <is>
          <t>FINSPÅNG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52008-2024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45607</v>
      </c>
      <c r="E461" s="1" t="n">
        <v>46230</v>
      </c>
      <c r="F461" t="inlineStr">
        <is>
          <t>ÖSTERGÖTLANDS LÄN</t>
        </is>
      </c>
      <c r="G461" t="inlineStr">
        <is>
          <t>FINSPÅNG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52557-2024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45609</v>
      </c>
      <c r="E462" s="1" t="n">
        <v>46230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45665</v>
      </c>
      <c r="E463" s="1" t="n">
        <v>46230</v>
      </c>
      <c r="F463" t="inlineStr">
        <is>
          <t>ÖSTERGÖTLANDS LÄN</t>
        </is>
      </c>
      <c r="G463" t="inlineStr">
        <is>
          <t>FINSPÅNG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39415-2024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45551</v>
      </c>
      <c r="E464" s="1" t="n">
        <v>46230</v>
      </c>
      <c r="F464" t="inlineStr">
        <is>
          <t>ÖSTERGÖTLANDS LÄN</t>
        </is>
      </c>
      <c r="G464" t="inlineStr">
        <is>
          <t>FINSPÅNG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31323-2022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44774</v>
      </c>
      <c r="E465" s="1" t="n">
        <v>46230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15140-2025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45744</v>
      </c>
      <c r="E466" s="1" t="n">
        <v>46230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Naturvårdsverket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14560-2023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45013</v>
      </c>
      <c r="E467" s="1" t="n">
        <v>46230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55292-2025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45969</v>
      </c>
      <c r="E468" s="1" t="n">
        <v>46230</v>
      </c>
      <c r="F468" t="inlineStr">
        <is>
          <t>ÖSTERGÖTLANDS LÄN</t>
        </is>
      </c>
      <c r="G468" t="inlineStr">
        <is>
          <t>FINSPÅNG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55431-2025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45971</v>
      </c>
      <c r="E469" s="1" t="n">
        <v>46230</v>
      </c>
      <c r="F469" t="inlineStr">
        <is>
          <t>ÖSTERGÖTLANDS LÄN</t>
        </is>
      </c>
      <c r="G469" t="inlineStr">
        <is>
          <t>FINSPÅNG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56404-2025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45975</v>
      </c>
      <c r="E470" s="1" t="n">
        <v>46230</v>
      </c>
      <c r="F470" t="inlineStr">
        <is>
          <t>ÖSTERGÖTLANDS LÄN</t>
        </is>
      </c>
      <c r="G470" t="inlineStr">
        <is>
          <t>FINSPÅNG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43534-2023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45184</v>
      </c>
      <c r="E471" s="1" t="n">
        <v>46230</v>
      </c>
      <c r="F471" t="inlineStr">
        <is>
          <t>ÖSTERGÖTLANDS LÄN</t>
        </is>
      </c>
      <c r="G471" t="inlineStr">
        <is>
          <t>FINSPÅNG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45688</v>
      </c>
      <c r="E472" s="1" t="n">
        <v>46230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19263-2024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45428</v>
      </c>
      <c r="E473" s="1" t="n">
        <v>46230</v>
      </c>
      <c r="F473" t="inlineStr">
        <is>
          <t>ÖSTERGÖTLANDS LÄN</t>
        </is>
      </c>
      <c r="G473" t="inlineStr">
        <is>
          <t>FINSPÅNG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56117-2025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45973</v>
      </c>
      <c r="E474" s="1" t="n">
        <v>46230</v>
      </c>
      <c r="F474" t="inlineStr">
        <is>
          <t>ÖSTERGÖTLANDS LÄN</t>
        </is>
      </c>
      <c r="G474" t="inlineStr">
        <is>
          <t>FINSPÅNG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15097-2025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45744</v>
      </c>
      <c r="E475" s="1" t="n">
        <v>46230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57678-2025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45980</v>
      </c>
      <c r="E476" s="1" t="n">
        <v>46230</v>
      </c>
      <c r="F476" t="inlineStr">
        <is>
          <t>ÖSTERGÖTLANDS LÄN</t>
        </is>
      </c>
      <c r="G476" t="inlineStr">
        <is>
          <t>FINSPÅNG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40544-2021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44420</v>
      </c>
      <c r="E477" s="1" t="n">
        <v>46230</v>
      </c>
      <c r="F477" t="inlineStr">
        <is>
          <t>ÖSTERGÖTLANDS LÄN</t>
        </is>
      </c>
      <c r="G477" t="inlineStr">
        <is>
          <t>FINSPÅNG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23724-2023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45077</v>
      </c>
      <c r="E478" s="1" t="n">
        <v>46230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57290-2025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45979</v>
      </c>
      <c r="E479" s="1" t="n">
        <v>46230</v>
      </c>
      <c r="F479" t="inlineStr">
        <is>
          <t>ÖSTERGÖTLANDS LÄN</t>
        </is>
      </c>
      <c r="G479" t="inlineStr">
        <is>
          <t>FINSPÅNG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13229-2023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45002</v>
      </c>
      <c r="E480" s="1" t="n">
        <v>46230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Kyrkan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21907-2023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45068</v>
      </c>
      <c r="E481" s="1" t="n">
        <v>46230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50811-2022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44867</v>
      </c>
      <c r="E482" s="1" t="n">
        <v>46230</v>
      </c>
      <c r="F482" t="inlineStr">
        <is>
          <t>ÖSTERGÖTLANDS LÄN</t>
        </is>
      </c>
      <c r="G482" t="inlineStr">
        <is>
          <t>FINSPÅNG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57666-2025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45980</v>
      </c>
      <c r="E483" s="1" t="n">
        <v>46230</v>
      </c>
      <c r="F483" t="inlineStr">
        <is>
          <t>ÖSTERGÖTLANDS LÄN</t>
        </is>
      </c>
      <c r="G483" t="inlineStr">
        <is>
          <t>FINSPÅNG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58187-2025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45983</v>
      </c>
      <c r="E484" s="1" t="n">
        <v>46230</v>
      </c>
      <c r="F484" t="inlineStr">
        <is>
          <t>ÖSTERGÖTLANDS LÄN</t>
        </is>
      </c>
      <c r="G484" t="inlineStr">
        <is>
          <t>FINSPÅNG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58188-2025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45983</v>
      </c>
      <c r="E485" s="1" t="n">
        <v>46230</v>
      </c>
      <c r="F485" t="inlineStr">
        <is>
          <t>ÖSTERGÖTLANDS LÄN</t>
        </is>
      </c>
      <c r="G485" t="inlineStr">
        <is>
          <t>FINSPÅNG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58190-2025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45983</v>
      </c>
      <c r="E486" s="1" t="n">
        <v>46230</v>
      </c>
      <c r="F486" t="inlineStr">
        <is>
          <t>ÖSTERGÖTLANDS LÄN</t>
        </is>
      </c>
      <c r="G486" t="inlineStr">
        <is>
          <t>FINSPÅNG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54923-2022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44886</v>
      </c>
      <c r="E487" s="1" t="n">
        <v>46230</v>
      </c>
      <c r="F487" t="inlineStr">
        <is>
          <t>ÖSTERGÖTLANDS LÄN</t>
        </is>
      </c>
      <c r="G487" t="inlineStr">
        <is>
          <t>FINSPÅNG</t>
        </is>
      </c>
      <c r="I487" t="n">
        <v>6.9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59062-2024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45636</v>
      </c>
      <c r="E488" s="1" t="n">
        <v>46230</v>
      </c>
      <c r="F488" t="inlineStr">
        <is>
          <t>ÖSTERGÖTLANDS LÄN</t>
        </is>
      </c>
      <c r="G488" t="inlineStr">
        <is>
          <t>FINSPÅNG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58189-2025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45983</v>
      </c>
      <c r="E489" s="1" t="n">
        <v>46230</v>
      </c>
      <c r="F489" t="inlineStr">
        <is>
          <t>ÖSTERGÖTLANDS LÄN</t>
        </is>
      </c>
      <c r="G489" t="inlineStr">
        <is>
          <t>FINSPÅNG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58698-2025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46230</v>
      </c>
      <c r="F490" t="inlineStr">
        <is>
          <t>ÖSTERGÖTLANDS LÄN</t>
        </is>
      </c>
      <c r="G490" t="inlineStr">
        <is>
          <t>FINSPÅNG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11839-2025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45728</v>
      </c>
      <c r="E491" s="1" t="n">
        <v>46230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64408-2023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45280</v>
      </c>
      <c r="E492" s="1" t="n">
        <v>46230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Övriga Aktiebolag</t>
        </is>
      </c>
      <c r="I492" t="n">
        <v>13.6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58796-2025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45986</v>
      </c>
      <c r="E493" s="1" t="n">
        <v>46230</v>
      </c>
      <c r="F493" t="inlineStr">
        <is>
          <t>ÖSTERGÖTLANDS LÄN</t>
        </is>
      </c>
      <c r="G493" t="inlineStr">
        <is>
          <t>FINSPÅNG</t>
        </is>
      </c>
      <c r="I493" t="n">
        <v>9.300000000000001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58709-2025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45986</v>
      </c>
      <c r="E494" s="1" t="n">
        <v>46230</v>
      </c>
      <c r="F494" t="inlineStr">
        <is>
          <t>ÖSTERGÖTLANDS LÄN</t>
        </is>
      </c>
      <c r="G494" t="inlineStr">
        <is>
          <t>FINSPÅNG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52730-2023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45225</v>
      </c>
      <c r="E495" s="1" t="n">
        <v>46230</v>
      </c>
      <c r="F495" t="inlineStr">
        <is>
          <t>ÖSTERGÖTLANDS LÄN</t>
        </is>
      </c>
      <c r="G495" t="inlineStr">
        <is>
          <t>FINSPÅNG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10412-2023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44987</v>
      </c>
      <c r="E496" s="1" t="n">
        <v>46230</v>
      </c>
      <c r="F496" t="inlineStr">
        <is>
          <t>ÖSTERGÖTLANDS LÄN</t>
        </is>
      </c>
      <c r="G496" t="inlineStr">
        <is>
          <t>FINSPÅNG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24500-2023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45082</v>
      </c>
      <c r="E497" s="1" t="n">
        <v>46230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42651-2024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45566</v>
      </c>
      <c r="E498" s="1" t="n">
        <v>46230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42106-2023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45177</v>
      </c>
      <c r="E499" s="1" t="n">
        <v>46230</v>
      </c>
      <c r="F499" t="inlineStr">
        <is>
          <t>ÖSTERGÖTLANDS LÄN</t>
        </is>
      </c>
      <c r="G499" t="inlineStr">
        <is>
          <t>FINSPÅNG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11950-2023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44995</v>
      </c>
      <c r="E500" s="1" t="n">
        <v>46230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35598-2023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45147</v>
      </c>
      <c r="E501" s="1" t="n">
        <v>46230</v>
      </c>
      <c r="F501" t="inlineStr">
        <is>
          <t>ÖSTERGÖTLANDS LÄN</t>
        </is>
      </c>
      <c r="G501" t="inlineStr">
        <is>
          <t>FINSPÅNG</t>
        </is>
      </c>
      <c r="I501" t="n">
        <v>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6733-2023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44966</v>
      </c>
      <c r="E502" s="1" t="n">
        <v>46230</v>
      </c>
      <c r="F502" t="inlineStr">
        <is>
          <t>ÖSTERGÖTLANDS LÄN</t>
        </is>
      </c>
      <c r="G502" t="inlineStr">
        <is>
          <t>FINSPÅNG</t>
        </is>
      </c>
      <c r="I502" t="n">
        <v>8.5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53572-2023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45230</v>
      </c>
      <c r="E503" s="1" t="n">
        <v>46230</v>
      </c>
      <c r="F503" t="inlineStr">
        <is>
          <t>ÖSTERGÖTLANDS LÄN</t>
        </is>
      </c>
      <c r="G503" t="inlineStr">
        <is>
          <t>FINSPÅNG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17994-2023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45040</v>
      </c>
      <c r="E504" s="1" t="n">
        <v>46230</v>
      </c>
      <c r="F504" t="inlineStr">
        <is>
          <t>ÖSTERGÖTLANDS LÄN</t>
        </is>
      </c>
      <c r="G504" t="inlineStr">
        <is>
          <t>FINSPÅNG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28386-2026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46196</v>
      </c>
      <c r="E505" s="1" t="n">
        <v>46230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Kommuner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34119-2025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45845</v>
      </c>
      <c r="E506" s="1" t="n">
        <v>46230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46230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56405-2025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45975</v>
      </c>
      <c r="E508" s="1" t="n">
        <v>46230</v>
      </c>
      <c r="F508" t="inlineStr">
        <is>
          <t>ÖSTERGÖTLANDS LÄN</t>
        </is>
      </c>
      <c r="G508" t="inlineStr">
        <is>
          <t>FINSPÅNG</t>
        </is>
      </c>
      <c r="I508" t="n">
        <v>11.2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53246-2022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44876</v>
      </c>
      <c r="E509" s="1" t="n">
        <v>46230</v>
      </c>
      <c r="F509" t="inlineStr">
        <is>
          <t>ÖSTERGÖTLANDS LÄN</t>
        </is>
      </c>
      <c r="G509" t="inlineStr">
        <is>
          <t>FINSPÅNG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61595-2025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46002</v>
      </c>
      <c r="E510" s="1" t="n">
        <v>46230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42202-2023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45179</v>
      </c>
      <c r="E511" s="1" t="n">
        <v>46230</v>
      </c>
      <c r="F511" t="inlineStr">
        <is>
          <t>ÖSTERGÖTLANDS LÄN</t>
        </is>
      </c>
      <c r="G511" t="inlineStr">
        <is>
          <t>FINSPÅNG</t>
        </is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42205-2023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45179</v>
      </c>
      <c r="E512" s="1" t="n">
        <v>46230</v>
      </c>
      <c r="F512" t="inlineStr">
        <is>
          <t>ÖSTERGÖTLANDS LÄN</t>
        </is>
      </c>
      <c r="G512" t="inlineStr">
        <is>
          <t>FINSPÅNG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8403-2025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45709</v>
      </c>
      <c r="E513" s="1" t="n">
        <v>46230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62235-2025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46003</v>
      </c>
      <c r="E514" s="1" t="n">
        <v>46230</v>
      </c>
      <c r="F514" t="inlineStr">
        <is>
          <t>ÖSTERGÖTLANDS LÄN</t>
        </is>
      </c>
      <c r="G514" t="inlineStr">
        <is>
          <t>FINSPÅNG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2145-2024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45309</v>
      </c>
      <c r="E515" s="1" t="n">
        <v>46230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2152-2024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45309</v>
      </c>
      <c r="E516" s="1" t="n">
        <v>46230</v>
      </c>
      <c r="F516" t="inlineStr">
        <is>
          <t>ÖSTERGÖTLANDS LÄN</t>
        </is>
      </c>
      <c r="G516" t="inlineStr">
        <is>
          <t>FINSPÅNG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2164-2024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45309</v>
      </c>
      <c r="E517" s="1" t="n">
        <v>46230</v>
      </c>
      <c r="F517" t="inlineStr">
        <is>
          <t>ÖSTERGÖTLANDS LÄN</t>
        </is>
      </c>
      <c r="G517" t="inlineStr">
        <is>
          <t>FINSPÅNG</t>
        </is>
      </c>
      <c r="I517" t="n">
        <v>15.1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61683-2025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46002</v>
      </c>
      <c r="E518" s="1" t="n">
        <v>46230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61605-2025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46002</v>
      </c>
      <c r="E519" s="1" t="n">
        <v>46230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61712-2025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46002</v>
      </c>
      <c r="E520" s="1" t="n">
        <v>46230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3436-2023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44949</v>
      </c>
      <c r="E521" s="1" t="n">
        <v>46230</v>
      </c>
      <c r="F521" t="inlineStr">
        <is>
          <t>ÖSTERGÖTLANDS LÄN</t>
        </is>
      </c>
      <c r="G521" t="inlineStr">
        <is>
          <t>FINSPÅNG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62242-2025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46006</v>
      </c>
      <c r="E522" s="1" t="n">
        <v>46230</v>
      </c>
      <c r="F522" t="inlineStr">
        <is>
          <t>ÖSTERGÖTLANDS LÄN</t>
        </is>
      </c>
      <c r="G522" t="inlineStr">
        <is>
          <t>FINSPÅNG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62221-2025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46006</v>
      </c>
      <c r="E523" s="1" t="n">
        <v>46230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4083-2024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45323</v>
      </c>
      <c r="E524" s="1" t="n">
        <v>46230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62139-2025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46006</v>
      </c>
      <c r="E525" s="1" t="n">
        <v>46230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14565-2023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45013</v>
      </c>
      <c r="E526" s="1" t="n">
        <v>46230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9378-2023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44981</v>
      </c>
      <c r="E527" s="1" t="n">
        <v>46230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611-2023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44930</v>
      </c>
      <c r="E528" s="1" t="n">
        <v>46230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25184-2023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45086</v>
      </c>
      <c r="E529" s="1" t="n">
        <v>46230</v>
      </c>
      <c r="F529" t="inlineStr">
        <is>
          <t>ÖSTERGÖTLANDS LÄN</t>
        </is>
      </c>
      <c r="G529" t="inlineStr">
        <is>
          <t>FINSPÅNG</t>
        </is>
      </c>
      <c r="I529" t="n">
        <v>10.1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18439-2023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45042</v>
      </c>
      <c r="E530" s="1" t="n">
        <v>46230</v>
      </c>
      <c r="F530" t="inlineStr">
        <is>
          <t>ÖSTERGÖTLANDS LÄN</t>
        </is>
      </c>
      <c r="G530" t="inlineStr">
        <is>
          <t>FINSPÅNG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18494-2023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45042</v>
      </c>
      <c r="E531" s="1" t="n">
        <v>46230</v>
      </c>
      <c r="F531" t="inlineStr">
        <is>
          <t>ÖSTERGÖTLANDS LÄN</t>
        </is>
      </c>
      <c r="G531" t="inlineStr">
        <is>
          <t>FINSPÅNG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1913-2023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44939</v>
      </c>
      <c r="E532" s="1" t="n">
        <v>46230</v>
      </c>
      <c r="F532" t="inlineStr">
        <is>
          <t>ÖSTERGÖTLANDS LÄN</t>
        </is>
      </c>
      <c r="G532" t="inlineStr">
        <is>
          <t>FINSPÅNG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52004-2024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45607</v>
      </c>
      <c r="E533" s="1" t="n">
        <v>46230</v>
      </c>
      <c r="F533" t="inlineStr">
        <is>
          <t>ÖSTERGÖTLANDS LÄN</t>
        </is>
      </c>
      <c r="G533" t="inlineStr">
        <is>
          <t>FINSPÅNG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25420-2022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44732</v>
      </c>
      <c r="E534" s="1" t="n">
        <v>46230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18585-2024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45425</v>
      </c>
      <c r="E535" s="1" t="n">
        <v>46230</v>
      </c>
      <c r="F535" t="inlineStr">
        <is>
          <t>ÖSTERGÖTLANDS LÄN</t>
        </is>
      </c>
      <c r="G535" t="inlineStr">
        <is>
          <t>FINSPÅNG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42111-2023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45177</v>
      </c>
      <c r="E536" s="1" t="n">
        <v>46230</v>
      </c>
      <c r="F536" t="inlineStr">
        <is>
          <t>ÖSTERGÖTLANDS LÄN</t>
        </is>
      </c>
      <c r="G536" t="inlineStr">
        <is>
          <t>FINSPÅNG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1131-2024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45302</v>
      </c>
      <c r="E537" s="1" t="n">
        <v>46230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3085-2025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45678</v>
      </c>
      <c r="E538" s="1" t="n">
        <v>46230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55624-2024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45622</v>
      </c>
      <c r="E539" s="1" t="n">
        <v>46230</v>
      </c>
      <c r="F539" t="inlineStr">
        <is>
          <t>ÖSTERGÖTLANDS LÄN</t>
        </is>
      </c>
      <c r="G539" t="inlineStr">
        <is>
          <t>FINSPÅNG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29018-2026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46199</v>
      </c>
      <c r="E540" s="1" t="n">
        <v>46230</v>
      </c>
      <c r="F540" t="inlineStr">
        <is>
          <t>ÖSTERGÖTLANDS LÄN</t>
        </is>
      </c>
      <c r="G540" t="inlineStr">
        <is>
          <t>FINSPÅNG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55052-2023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45237</v>
      </c>
      <c r="E541" s="1" t="n">
        <v>46230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Kyrkan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12814-2022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44642</v>
      </c>
      <c r="E542" s="1" t="n">
        <v>46230</v>
      </c>
      <c r="F542" t="inlineStr">
        <is>
          <t>ÖSTERGÖTLANDS LÄN</t>
        </is>
      </c>
      <c r="G542" t="inlineStr">
        <is>
          <t>FINSPÅNG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35276-2025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45853</v>
      </c>
      <c r="E543" s="1" t="n">
        <v>46230</v>
      </c>
      <c r="F543" t="inlineStr">
        <is>
          <t>ÖSTERGÖTLANDS LÄN</t>
        </is>
      </c>
      <c r="G543" t="inlineStr">
        <is>
          <t>FINSPÅNG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46029</v>
      </c>
      <c r="E544" s="1" t="n">
        <v>46230</v>
      </c>
      <c r="F544" t="inlineStr">
        <is>
          <t>ÖSTERGÖTLANDS LÄN</t>
        </is>
      </c>
      <c r="G544" t="inlineStr">
        <is>
          <t>FINSPÅNG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19609-2025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45770</v>
      </c>
      <c r="E545" s="1" t="n">
        <v>46230</v>
      </c>
      <c r="F545" t="inlineStr">
        <is>
          <t>ÖSTERGÖTLANDS LÄN</t>
        </is>
      </c>
      <c r="G545" t="inlineStr">
        <is>
          <t>FINSPÅNG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1005-2026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46030</v>
      </c>
      <c r="E546" s="1" t="n">
        <v>46230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24012-2024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45456</v>
      </c>
      <c r="E547" s="1" t="n">
        <v>46230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27370-2026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46188</v>
      </c>
      <c r="E548" s="1" t="n">
        <v>46230</v>
      </c>
      <c r="F548" t="inlineStr">
        <is>
          <t>ÖSTERGÖTLANDS LÄN</t>
        </is>
      </c>
      <c r="G548" t="inlineStr">
        <is>
          <t>FINSPÅNG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29078-2022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44749</v>
      </c>
      <c r="E549" s="1" t="n">
        <v>46230</v>
      </c>
      <c r="F549" t="inlineStr">
        <is>
          <t>ÖSTERGÖTLANDS LÄN</t>
        </is>
      </c>
      <c r="G549" t="inlineStr">
        <is>
          <t>FINSPÅNG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24503-2023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45082</v>
      </c>
      <c r="E550" s="1" t="n">
        <v>46230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24513-2023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45082</v>
      </c>
      <c r="E551" s="1" t="n">
        <v>46230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39740-2023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45167</v>
      </c>
      <c r="E552" s="1" t="n">
        <v>46230</v>
      </c>
      <c r="F552" t="inlineStr">
        <is>
          <t>ÖSTERGÖTLANDS LÄN</t>
        </is>
      </c>
      <c r="G552" t="inlineStr">
        <is>
          <t>FINSPÅNG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1109-2026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46030</v>
      </c>
      <c r="E553" s="1" t="n">
        <v>46230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46230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Kyrkan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10485-2026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46077</v>
      </c>
      <c r="E555" s="1" t="n">
        <v>46230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Kyrkan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1583-2026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46034</v>
      </c>
      <c r="E556" s="1" t="n">
        <v>46230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44930</v>
      </c>
      <c r="E557" s="1" t="n">
        <v>46230</v>
      </c>
      <c r="F557" t="inlineStr">
        <is>
          <t>ÖSTERGÖTLANDS LÄN</t>
        </is>
      </c>
      <c r="G557" t="inlineStr">
        <is>
          <t>FINSPÅNG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33027-2022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44782</v>
      </c>
      <c r="E558" s="1" t="n">
        <v>46230</v>
      </c>
      <c r="F558" t="inlineStr">
        <is>
          <t>ÖSTERGÖTLANDS LÄN</t>
        </is>
      </c>
      <c r="G558" t="inlineStr">
        <is>
          <t>FINSPÅNG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1522-2026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46034</v>
      </c>
      <c r="E559" s="1" t="n">
        <v>46230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46034</v>
      </c>
      <c r="E560" s="1" t="n">
        <v>46230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61447-2024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45646</v>
      </c>
      <c r="E561" s="1" t="n">
        <v>46230</v>
      </c>
      <c r="F561" t="inlineStr">
        <is>
          <t>ÖSTERGÖTLANDS LÄN</t>
        </is>
      </c>
      <c r="G561" t="inlineStr">
        <is>
          <t>FINSPÅNG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42779-2023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45181</v>
      </c>
      <c r="E562" s="1" t="n">
        <v>46230</v>
      </c>
      <c r="F562" t="inlineStr">
        <is>
          <t>ÖSTERGÖTLANDS LÄN</t>
        </is>
      </c>
      <c r="G562" t="inlineStr">
        <is>
          <t>FINSPÅNG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52731-2023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45225</v>
      </c>
      <c r="E563" s="1" t="n">
        <v>46230</v>
      </c>
      <c r="F563" t="inlineStr">
        <is>
          <t>ÖSTERGÖTLANDS LÄN</t>
        </is>
      </c>
      <c r="G563" t="inlineStr">
        <is>
          <t>FINSPÅNG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46036</v>
      </c>
      <c r="E564" s="1" t="n">
        <v>46230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46230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41932-2021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44425</v>
      </c>
      <c r="E566" s="1" t="n">
        <v>46230</v>
      </c>
      <c r="F566" t="inlineStr">
        <is>
          <t>ÖSTERGÖTLANDS LÄN</t>
        </is>
      </c>
      <c r="G566" t="inlineStr">
        <is>
          <t>FINSPÅNG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29630-2022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44754</v>
      </c>
      <c r="E567" s="1" t="n">
        <v>46230</v>
      </c>
      <c r="F567" t="inlineStr">
        <is>
          <t>ÖSTERGÖTLANDS LÄN</t>
        </is>
      </c>
      <c r="G567" t="inlineStr">
        <is>
          <t>FINSPÅNG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46040</v>
      </c>
      <c r="E568" s="1" t="n">
        <v>46230</v>
      </c>
      <c r="F568" t="inlineStr">
        <is>
          <t>ÖSTERGÖTLANDS LÄN</t>
        </is>
      </c>
      <c r="G568" t="inlineStr">
        <is>
          <t>FINSPÅNG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18261-2024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45421</v>
      </c>
      <c r="E569" s="1" t="n">
        <v>46230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29482-2026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46203</v>
      </c>
      <c r="E570" s="1" t="n">
        <v>46230</v>
      </c>
      <c r="F570" t="inlineStr">
        <is>
          <t>ÖSTERGÖTLANDS LÄN</t>
        </is>
      </c>
      <c r="G570" t="inlineStr">
        <is>
          <t>FINSPÅNG</t>
        </is>
      </c>
      <c r="I570" t="n">
        <v>13.3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46040</v>
      </c>
      <c r="E571" s="1" t="n">
        <v>46230</v>
      </c>
      <c r="F571" t="inlineStr">
        <is>
          <t>ÖSTERGÖTLANDS LÄN</t>
        </is>
      </c>
      <c r="G571" t="inlineStr">
        <is>
          <t>FINSPÅNG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39467-2024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45551</v>
      </c>
      <c r="E572" s="1" t="n">
        <v>46230</v>
      </c>
      <c r="F572" t="inlineStr">
        <is>
          <t>ÖSTERGÖTLANDS LÄN</t>
        </is>
      </c>
      <c r="G572" t="inlineStr">
        <is>
          <t>FINSPÅNG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35346-2024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45530</v>
      </c>
      <c r="E573" s="1" t="n">
        <v>46230</v>
      </c>
      <c r="F573" t="inlineStr">
        <is>
          <t>ÖSTERGÖTLANDS LÄN</t>
        </is>
      </c>
      <c r="G573" t="inlineStr">
        <is>
          <t>FINSPÅNG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22938-2026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46160</v>
      </c>
      <c r="E574" s="1" t="n">
        <v>46230</v>
      </c>
      <c r="F574" t="inlineStr">
        <is>
          <t>ÖSTERGÖTLANDS LÄN</t>
        </is>
      </c>
      <c r="G574" t="inlineStr">
        <is>
          <t>FINSPÅNG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10184-2023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44986</v>
      </c>
      <c r="E575" s="1" t="n">
        <v>46230</v>
      </c>
      <c r="F575" t="inlineStr">
        <is>
          <t>ÖSTERGÖTLANDS LÄN</t>
        </is>
      </c>
      <c r="G575" t="inlineStr">
        <is>
          <t>FINSPÅNG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31176-2022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44770</v>
      </c>
      <c r="E576" s="1" t="n">
        <v>46230</v>
      </c>
      <c r="F576" t="inlineStr">
        <is>
          <t>ÖSTERGÖTLANDS LÄN</t>
        </is>
      </c>
      <c r="G576" t="inlineStr">
        <is>
          <t>FINSPÅNG</t>
        </is>
      </c>
      <c r="I576" t="n">
        <v>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42785-2024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45566</v>
      </c>
      <c r="E577" s="1" t="n">
        <v>46230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4850-2026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46048</v>
      </c>
      <c r="E578" s="1" t="n">
        <v>46230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46049</v>
      </c>
      <c r="E579" s="1" t="n">
        <v>46230</v>
      </c>
      <c r="F579" t="inlineStr">
        <is>
          <t>ÖSTERGÖTLANDS LÄN</t>
        </is>
      </c>
      <c r="G579" t="inlineStr">
        <is>
          <t>FINSPÅNG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4864-2026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46048</v>
      </c>
      <c r="E580" s="1" t="n">
        <v>46230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46048</v>
      </c>
      <c r="E581" s="1" t="n">
        <v>46230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16.1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1137-2024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45302</v>
      </c>
      <c r="E582" s="1" t="n">
        <v>46230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29731-2026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46230</v>
      </c>
      <c r="F583" t="inlineStr">
        <is>
          <t>ÖSTERGÖTLANDS LÄN</t>
        </is>
      </c>
      <c r="G583" t="inlineStr">
        <is>
          <t>FINSPÅNG</t>
        </is>
      </c>
      <c r="I583" t="n">
        <v>18.6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50510-2024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45601</v>
      </c>
      <c r="E584" s="1" t="n">
        <v>46230</v>
      </c>
      <c r="F584" t="inlineStr">
        <is>
          <t>ÖSTERGÖTLANDS LÄN</t>
        </is>
      </c>
      <c r="G584" t="inlineStr">
        <is>
          <t>FINSPÅNG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8700-2025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45712</v>
      </c>
      <c r="E585" s="1" t="n">
        <v>46230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5318-2026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46050</v>
      </c>
      <c r="E586" s="1" t="n">
        <v>46230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6250-2026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46055</v>
      </c>
      <c r="E587" s="1" t="n">
        <v>46230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17321-2022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44678</v>
      </c>
      <c r="E588" s="1" t="n">
        <v>46230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5939-2026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46052</v>
      </c>
      <c r="E589" s="1" t="n">
        <v>46230</v>
      </c>
      <c r="F589" t="inlineStr">
        <is>
          <t>ÖSTERGÖTLANDS LÄN</t>
        </is>
      </c>
      <c r="G589" t="inlineStr">
        <is>
          <t>FINSPÅNG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12216-2022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44637</v>
      </c>
      <c r="E590" s="1" t="n">
        <v>46230</v>
      </c>
      <c r="F590" t="inlineStr">
        <is>
          <t>ÖSTERGÖTLANDS LÄN</t>
        </is>
      </c>
      <c r="G590" t="inlineStr">
        <is>
          <t>FINSPÅNG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7271-2026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46058</v>
      </c>
      <c r="E591" s="1" t="n">
        <v>46230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Övriga Aktiebolag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7274-2026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46058</v>
      </c>
      <c r="E592" s="1" t="n">
        <v>46230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64103-2023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45279</v>
      </c>
      <c r="E593" s="1" t="n">
        <v>46230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7193-2026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46058</v>
      </c>
      <c r="E594" s="1" t="n">
        <v>46230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52561-2024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45609</v>
      </c>
      <c r="E595" s="1" t="n">
        <v>46230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7269-2026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46058</v>
      </c>
      <c r="E596" s="1" t="n">
        <v>46230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Övriga Aktiebolag</t>
        </is>
      </c>
      <c r="I596" t="n">
        <v>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7559-2026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46060</v>
      </c>
      <c r="E597" s="1" t="n">
        <v>46230</v>
      </c>
      <c r="F597" t="inlineStr">
        <is>
          <t>ÖSTERGÖTLANDS LÄN</t>
        </is>
      </c>
      <c r="G597" t="inlineStr">
        <is>
          <t>FINSPÅNG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22437-2023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45070</v>
      </c>
      <c r="E598" s="1" t="n">
        <v>46230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8079-2026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46063</v>
      </c>
      <c r="E599" s="1" t="n">
        <v>46230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8083-2026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46063</v>
      </c>
      <c r="E600" s="1" t="n">
        <v>46230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7743-2023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44973</v>
      </c>
      <c r="E601" s="1" t="n">
        <v>46230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56425-2022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44891</v>
      </c>
      <c r="E602" s="1" t="n">
        <v>46230</v>
      </c>
      <c r="F602" t="inlineStr">
        <is>
          <t>ÖSTERGÖTLANDS LÄN</t>
        </is>
      </c>
      <c r="G602" t="inlineStr">
        <is>
          <t>FINSPÅNG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8266-2026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46064</v>
      </c>
      <c r="E603" s="1" t="n">
        <v>46230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Sveaskog</t>
        </is>
      </c>
      <c r="I603" t="n">
        <v>10.5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8529-2026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46065</v>
      </c>
      <c r="E604" s="1" t="n">
        <v>46230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8553-2026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46065</v>
      </c>
      <c r="E605" s="1" t="n">
        <v>46230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53945-2024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45616</v>
      </c>
      <c r="E606" s="1" t="n">
        <v>46230</v>
      </c>
      <c r="F606" t="inlineStr">
        <is>
          <t>ÖSTERGÖTLANDS LÄN</t>
        </is>
      </c>
      <c r="G606" t="inlineStr">
        <is>
          <t>FINSPÅNG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8270-2026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46064</v>
      </c>
      <c r="E607" s="1" t="n">
        <v>46230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Sveaskog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8245-2026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46064</v>
      </c>
      <c r="E608" s="1" t="n">
        <v>46230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Sveaskog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8228-2026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46064</v>
      </c>
      <c r="E609" s="1" t="n">
        <v>46230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Sveaskog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8247-2026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46064</v>
      </c>
      <c r="E610" s="1" t="n">
        <v>46230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Sveaskog</t>
        </is>
      </c>
      <c r="I610" t="n">
        <v>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8238-2026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46064</v>
      </c>
      <c r="E611" s="1" t="n">
        <v>46230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Sveaskog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9084-2026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46069</v>
      </c>
      <c r="E612" s="1" t="n">
        <v>46230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44949</v>
      </c>
      <c r="E613" s="1" t="n">
        <v>46230</v>
      </c>
      <c r="F613" t="inlineStr">
        <is>
          <t>ÖSTERGÖTLANDS LÄN</t>
        </is>
      </c>
      <c r="G613" t="inlineStr">
        <is>
          <t>FINSPÅNG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9206-2026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46070</v>
      </c>
      <c r="E614" s="1" t="n">
        <v>46230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9173-2026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46070</v>
      </c>
      <c r="E615" s="1" t="n">
        <v>46230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46230</v>
      </c>
      <c r="F616" t="inlineStr">
        <is>
          <t>ÖSTERGÖTLANDS LÄN</t>
        </is>
      </c>
      <c r="G616" t="inlineStr">
        <is>
          <t>FINSPÅNG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6735-2023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44966</v>
      </c>
      <c r="E617" s="1" t="n">
        <v>46230</v>
      </c>
      <c r="F617" t="inlineStr">
        <is>
          <t>ÖSTERGÖTLANDS LÄN</t>
        </is>
      </c>
      <c r="G617" t="inlineStr">
        <is>
          <t>FINSPÅNG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4280-2023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44953</v>
      </c>
      <c r="E618" s="1" t="n">
        <v>46230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9934-2026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46073</v>
      </c>
      <c r="E619" s="1" t="n">
        <v>46230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40319-2022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44823</v>
      </c>
      <c r="E620" s="1" t="n">
        <v>46230</v>
      </c>
      <c r="F620" t="inlineStr">
        <is>
          <t>ÖSTERGÖTLANDS LÄN</t>
        </is>
      </c>
      <c r="G620" t="inlineStr">
        <is>
          <t>FINSPÅNG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47317-2023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45202</v>
      </c>
      <c r="E621" s="1" t="n">
        <v>46230</v>
      </c>
      <c r="F621" t="inlineStr">
        <is>
          <t>ÖSTERGÖTLANDS LÄN</t>
        </is>
      </c>
      <c r="G621" t="inlineStr">
        <is>
          <t>FINSPÅNG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10313-2026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46076</v>
      </c>
      <c r="E622" s="1" t="n">
        <v>46230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6.4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10296-2026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46076</v>
      </c>
      <c r="E623" s="1" t="n">
        <v>46230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12483-2024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45379</v>
      </c>
      <c r="E624" s="1" t="n">
        <v>46230</v>
      </c>
      <c r="F624" t="inlineStr">
        <is>
          <t>ÖSTERGÖTLANDS LÄN</t>
        </is>
      </c>
      <c r="G624" t="inlineStr">
        <is>
          <t>FINSPÅNG</t>
        </is>
      </c>
      <c r="I624" t="n">
        <v>11.9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10872-2026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46078</v>
      </c>
      <c r="E625" s="1" t="n">
        <v>46230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19160-2024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45428</v>
      </c>
      <c r="E626" s="1" t="n">
        <v>46230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11146-2026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46080</v>
      </c>
      <c r="E627" s="1" t="n">
        <v>46230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Kyrkan</t>
        </is>
      </c>
      <c r="I627" t="n">
        <v>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11211-2026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46080</v>
      </c>
      <c r="E628" s="1" t="n">
        <v>46230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11244-2026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46080</v>
      </c>
      <c r="E629" s="1" t="n">
        <v>46230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11063-2026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46079</v>
      </c>
      <c r="E630" s="1" t="n">
        <v>46230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11251-2026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46080</v>
      </c>
      <c r="E631" s="1" t="n">
        <v>46230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11248-2026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46080</v>
      </c>
      <c r="E632" s="1" t="n">
        <v>46230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41328-2023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45174</v>
      </c>
      <c r="E633" s="1" t="n">
        <v>46230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Kyrkan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19529-2025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45770</v>
      </c>
      <c r="E634" s="1" t="n">
        <v>46230</v>
      </c>
      <c r="F634" t="inlineStr">
        <is>
          <t>ÖSTERGÖTLANDS LÄN</t>
        </is>
      </c>
      <c r="G634" t="inlineStr">
        <is>
          <t>FINSPÅNG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11839-2026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46085</v>
      </c>
      <c r="E635" s="1" t="n">
        <v>46230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11814-2026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46085</v>
      </c>
      <c r="E636" s="1" t="n">
        <v>46230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54727-2023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45236</v>
      </c>
      <c r="E637" s="1" t="n">
        <v>46230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54730-2023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45236</v>
      </c>
      <c r="E638" s="1" t="n">
        <v>46230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11813-2026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46085</v>
      </c>
      <c r="E639" s="1" t="n">
        <v>46230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11807-2026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46085</v>
      </c>
      <c r="E640" s="1" t="n">
        <v>46230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30864-2026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46212</v>
      </c>
      <c r="E641" s="1" t="n">
        <v>46230</v>
      </c>
      <c r="F641" t="inlineStr">
        <is>
          <t>ÖSTERGÖTLANDS LÄN</t>
        </is>
      </c>
      <c r="G641" t="inlineStr">
        <is>
          <t>FINSPÅNG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9003-2024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45357</v>
      </c>
      <c r="E642" s="1" t="n">
        <v>46230</v>
      </c>
      <c r="F642" t="inlineStr">
        <is>
          <t>ÖSTERGÖTLANDS LÄN</t>
        </is>
      </c>
      <c r="G642" t="inlineStr">
        <is>
          <t>FINSPÅNG</t>
        </is>
      </c>
      <c r="I642" t="n">
        <v>7.6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56420-2023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45243</v>
      </c>
      <c r="E643" s="1" t="n">
        <v>46230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15952-2023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45022</v>
      </c>
      <c r="E644" s="1" t="n">
        <v>46230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24833-2026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46174</v>
      </c>
      <c r="E645" s="1" t="n">
        <v>46230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Sveaskog</t>
        </is>
      </c>
      <c r="I645" t="n">
        <v>5.5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24835-2026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46230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Sveaskog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13365-2026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46094</v>
      </c>
      <c r="E647" s="1" t="n">
        <v>46230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38964-2022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44816</v>
      </c>
      <c r="E648" s="1" t="n">
        <v>46230</v>
      </c>
      <c r="F648" t="inlineStr">
        <is>
          <t>ÖSTERGÖTLANDS LÄN</t>
        </is>
      </c>
      <c r="G648" t="inlineStr">
        <is>
          <t>FINSPÅNG</t>
        </is>
      </c>
      <c r="I648" t="n">
        <v>7.3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2744-2024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45314</v>
      </c>
      <c r="E649" s="1" t="n">
        <v>46230</v>
      </c>
      <c r="F649" t="inlineStr">
        <is>
          <t>ÖSTERGÖTLANDS LÄN</t>
        </is>
      </c>
      <c r="G649" t="inlineStr">
        <is>
          <t>FINSPÅNG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13768-2026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46097</v>
      </c>
      <c r="E650" s="1" t="n">
        <v>46230</v>
      </c>
      <c r="F650" t="inlineStr">
        <is>
          <t>ÖSTERGÖTLANDS LÄN</t>
        </is>
      </c>
      <c r="G650" t="inlineStr">
        <is>
          <t>FINSPÅNG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14125-2026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46099</v>
      </c>
      <c r="E651" s="1" t="n">
        <v>46230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Sveaskog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40194-2022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44820</v>
      </c>
      <c r="E652" s="1" t="n">
        <v>46230</v>
      </c>
      <c r="F652" t="inlineStr">
        <is>
          <t>ÖSTERGÖTLANDS LÄN</t>
        </is>
      </c>
      <c r="G652" t="inlineStr">
        <is>
          <t>FINSPÅNG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14078-2026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46099</v>
      </c>
      <c r="E653" s="1" t="n">
        <v>46230</v>
      </c>
      <c r="F653" t="inlineStr">
        <is>
          <t>ÖSTERGÖTLANDS LÄN</t>
        </is>
      </c>
      <c r="G653" t="inlineStr">
        <is>
          <t>FINSPÅNG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14117-2026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46099</v>
      </c>
      <c r="E654" s="1" t="n">
        <v>46230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Sveaskog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14131-2026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46230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Sveaskog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36406-2024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45535</v>
      </c>
      <c r="E656" s="1" t="n">
        <v>46230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Kommuner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14064-2026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46099</v>
      </c>
      <c r="E657" s="1" t="n">
        <v>46230</v>
      </c>
      <c r="F657" t="inlineStr">
        <is>
          <t>ÖSTERGÖTLANDS LÄN</t>
        </is>
      </c>
      <c r="G657" t="inlineStr">
        <is>
          <t>FINSPÅNG</t>
        </is>
      </c>
      <c r="I657" t="n">
        <v>5.2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58367-2023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45250</v>
      </c>
      <c r="E658" s="1" t="n">
        <v>46230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31151-2026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46209</v>
      </c>
      <c r="E659" s="1" t="n">
        <v>46230</v>
      </c>
      <c r="F659" t="inlineStr">
        <is>
          <t>ÖSTERGÖTLANDS LÄN</t>
        </is>
      </c>
      <c r="G659" t="inlineStr">
        <is>
          <t>FINSPÅNG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46317-2023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45197</v>
      </c>
      <c r="E660" s="1" t="n">
        <v>46230</v>
      </c>
      <c r="F660" t="inlineStr">
        <is>
          <t>ÖSTERGÖTLANDS LÄN</t>
        </is>
      </c>
      <c r="G660" t="inlineStr">
        <is>
          <t>FINSPÅNG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15490-2026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46106</v>
      </c>
      <c r="E661" s="1" t="n">
        <v>46230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31147-2026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46209</v>
      </c>
      <c r="E662" s="1" t="n">
        <v>46230</v>
      </c>
      <c r="F662" t="inlineStr">
        <is>
          <t>ÖSTERGÖTLANDS LÄN</t>
        </is>
      </c>
      <c r="G662" t="inlineStr">
        <is>
          <t>FINSPÅNG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31152-2026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46209</v>
      </c>
      <c r="E663" s="1" t="n">
        <v>46230</v>
      </c>
      <c r="F663" t="inlineStr">
        <is>
          <t>ÖSTERGÖTLANDS LÄN</t>
        </is>
      </c>
      <c r="G663" t="inlineStr">
        <is>
          <t>FINSPÅNG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6731-2023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44966</v>
      </c>
      <c r="E664" s="1" t="n">
        <v>46230</v>
      </c>
      <c r="F664" t="inlineStr">
        <is>
          <t>ÖSTERGÖTLANDS LÄN</t>
        </is>
      </c>
      <c r="G664" t="inlineStr">
        <is>
          <t>FINSPÅNG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36994-2022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44806</v>
      </c>
      <c r="E665" s="1" t="n">
        <v>46230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31300-2026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46218</v>
      </c>
      <c r="E666" s="1" t="n">
        <v>46230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Sveaskog</t>
        </is>
      </c>
      <c r="I666" t="n">
        <v>9.5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31130-2023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45113</v>
      </c>
      <c r="E667" s="1" t="n">
        <v>46230</v>
      </c>
      <c r="F667" t="inlineStr">
        <is>
          <t>ÖSTERGÖTLANDS LÄN</t>
        </is>
      </c>
      <c r="G667" t="inlineStr">
        <is>
          <t>FINSPÅNG</t>
        </is>
      </c>
      <c r="I667" t="n">
        <v>5.4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31307-2026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46219</v>
      </c>
      <c r="E668" s="1" t="n">
        <v>46230</v>
      </c>
      <c r="F668" t="inlineStr">
        <is>
          <t>ÖSTERGÖTLANDS LÄN</t>
        </is>
      </c>
      <c r="G668" t="inlineStr">
        <is>
          <t>FINSPÅNG</t>
        </is>
      </c>
      <c r="I668" t="n">
        <v>6.1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25860-2026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46176</v>
      </c>
      <c r="E669" s="1" t="n">
        <v>46230</v>
      </c>
      <c r="F669" t="inlineStr">
        <is>
          <t>ÖSTERGÖTLANDS LÄN</t>
        </is>
      </c>
      <c r="G669" t="inlineStr">
        <is>
          <t>FINSPÅNG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6105-2023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44964</v>
      </c>
      <c r="E670" s="1" t="n">
        <v>46230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31301-2026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46218</v>
      </c>
      <c r="E671" s="1" t="n">
        <v>46230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Sveaskog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16355-2026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46111</v>
      </c>
      <c r="E672" s="1" t="n">
        <v>46230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13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25844-2026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46176</v>
      </c>
      <c r="E673" s="1" t="n">
        <v>46230</v>
      </c>
      <c r="F673" t="inlineStr">
        <is>
          <t>ÖSTERGÖTLANDS LÄN</t>
        </is>
      </c>
      <c r="G673" t="inlineStr">
        <is>
          <t>FINSPÅNG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25864-2026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46176</v>
      </c>
      <c r="E674" s="1" t="n">
        <v>46230</v>
      </c>
      <c r="F674" t="inlineStr">
        <is>
          <t>ÖSTERGÖTLANDS LÄN</t>
        </is>
      </c>
      <c r="G674" t="inlineStr">
        <is>
          <t>FINSPÅNG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16849-2026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46113</v>
      </c>
      <c r="E675" s="1" t="n">
        <v>46230</v>
      </c>
      <c r="F675" t="inlineStr">
        <is>
          <t>ÖSTERGÖTLANDS LÄN</t>
        </is>
      </c>
      <c r="G675" t="inlineStr">
        <is>
          <t>FINSPÅNG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17068-2026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46114</v>
      </c>
      <c r="E676" s="1" t="n">
        <v>46230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16996-2026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46114</v>
      </c>
      <c r="E677" s="1" t="n">
        <v>46230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17008-2026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46114</v>
      </c>
      <c r="E678" s="1" t="n">
        <v>46230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16902-2026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46113</v>
      </c>
      <c r="E679" s="1" t="n">
        <v>46230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18171-2024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45420</v>
      </c>
      <c r="E680" s="1" t="n">
        <v>46230</v>
      </c>
      <c r="F680" t="inlineStr">
        <is>
          <t>ÖSTERGÖTLANDS LÄN</t>
        </is>
      </c>
      <c r="G680" t="inlineStr">
        <is>
          <t>FINSPÅNG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43318-2022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44834</v>
      </c>
      <c r="E681" s="1" t="n">
        <v>46230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53944-2024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45616</v>
      </c>
      <c r="E682" s="1" t="n">
        <v>46230</v>
      </c>
      <c r="F682" t="inlineStr">
        <is>
          <t>ÖSTERGÖTLANDS LÄN</t>
        </is>
      </c>
      <c r="G682" t="inlineStr">
        <is>
          <t>FINSPÅNG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60038-2023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45258</v>
      </c>
      <c r="E683" s="1" t="n">
        <v>46230</v>
      </c>
      <c r="F683" t="inlineStr">
        <is>
          <t>ÖSTERGÖTLANDS LÄN</t>
        </is>
      </c>
      <c r="G683" t="inlineStr">
        <is>
          <t>FINSPÅNG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17545-2026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46120</v>
      </c>
      <c r="E684" s="1" t="n">
        <v>46230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50341-2022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44865</v>
      </c>
      <c r="E685" s="1" t="n">
        <v>46230</v>
      </c>
      <c r="F685" t="inlineStr">
        <is>
          <t>ÖSTERGÖTLANDS LÄN</t>
        </is>
      </c>
      <c r="G685" t="inlineStr">
        <is>
          <t>FINSPÅNG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17594-2026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46121</v>
      </c>
      <c r="E686" s="1" t="n">
        <v>46230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Sveaskog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17769-2026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46122</v>
      </c>
      <c r="E687" s="1" t="n">
        <v>46230</v>
      </c>
      <c r="F687" t="inlineStr">
        <is>
          <t>ÖSTERGÖTLANDS LÄN</t>
        </is>
      </c>
      <c r="G687" t="inlineStr">
        <is>
          <t>FINSPÅNG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4139-2023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44953</v>
      </c>
      <c r="E688" s="1" t="n">
        <v>46230</v>
      </c>
      <c r="F688" t="inlineStr">
        <is>
          <t>ÖSTERGÖTLANDS LÄN</t>
        </is>
      </c>
      <c r="G688" t="inlineStr">
        <is>
          <t>FINSPÅNG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42204-2023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45179</v>
      </c>
      <c r="E689" s="1" t="n">
        <v>46230</v>
      </c>
      <c r="F689" t="inlineStr">
        <is>
          <t>ÖSTERGÖTLANDS LÄN</t>
        </is>
      </c>
      <c r="G689" t="inlineStr">
        <is>
          <t>FINSPÅNG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54505-2024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45617</v>
      </c>
      <c r="E690" s="1" t="n">
        <v>46230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53610-2022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44879</v>
      </c>
      <c r="E691" s="1" t="n">
        <v>46230</v>
      </c>
      <c r="F691" t="inlineStr">
        <is>
          <t>ÖSTERGÖTLANDS LÄN</t>
        </is>
      </c>
      <c r="G691" t="inlineStr">
        <is>
          <t>FINSPÅNG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18086-2026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46125</v>
      </c>
      <c r="E692" s="1" t="n">
        <v>46230</v>
      </c>
      <c r="F692" t="inlineStr">
        <is>
          <t>ÖSTERGÖTLANDS LÄN</t>
        </is>
      </c>
      <c r="G692" t="inlineStr">
        <is>
          <t>FINSPÅNG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25759-2026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46178</v>
      </c>
      <c r="E693" s="1" t="n">
        <v>46230</v>
      </c>
      <c r="F693" t="inlineStr">
        <is>
          <t>ÖSTERGÖTLANDS LÄN</t>
        </is>
      </c>
      <c r="G693" t="inlineStr">
        <is>
          <t>FINSPÅNG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25766-2026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46178</v>
      </c>
      <c r="E694" s="1" t="n">
        <v>46230</v>
      </c>
      <c r="F694" t="inlineStr">
        <is>
          <t>ÖSTERGÖTLANDS LÄN</t>
        </is>
      </c>
      <c r="G694" t="inlineStr">
        <is>
          <t>FINSPÅNG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25629-2026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46177</v>
      </c>
      <c r="E695" s="1" t="n">
        <v>46230</v>
      </c>
      <c r="F695" t="inlineStr">
        <is>
          <t>ÖSTERGÖTLANDS LÄN</t>
        </is>
      </c>
      <c r="G695" t="inlineStr">
        <is>
          <t>FINSPÅNG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8924-2025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45713</v>
      </c>
      <c r="E696" s="1" t="n">
        <v>46230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13378-2025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45735</v>
      </c>
      <c r="E697" s="1" t="n">
        <v>46230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49677-2022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44862</v>
      </c>
      <c r="E698" s="1" t="n">
        <v>46230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9.6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25760-2026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46178</v>
      </c>
      <c r="E699" s="1" t="n">
        <v>46230</v>
      </c>
      <c r="F699" t="inlineStr">
        <is>
          <t>ÖSTERGÖTLANDS LÄN</t>
        </is>
      </c>
      <c r="G699" t="inlineStr">
        <is>
          <t>FINSPÅNG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18974-2026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46129</v>
      </c>
      <c r="E700" s="1" t="n">
        <v>46230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5.6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56309-2022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44887</v>
      </c>
      <c r="E701" s="1" t="n">
        <v>46230</v>
      </c>
      <c r="F701" t="inlineStr">
        <is>
          <t>ÖSTERGÖTLANDS LÄN</t>
        </is>
      </c>
      <c r="G701" t="inlineStr">
        <is>
          <t>FINSPÅNG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56264-2022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44887</v>
      </c>
      <c r="E702" s="1" t="n">
        <v>46230</v>
      </c>
      <c r="F702" t="inlineStr">
        <is>
          <t>ÖSTERGÖTLANDS LÄN</t>
        </is>
      </c>
      <c r="G702" t="inlineStr">
        <is>
          <t>FINSPÅNG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18657-2024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45426</v>
      </c>
      <c r="E703" s="1" t="n">
        <v>46230</v>
      </c>
      <c r="F703" t="inlineStr">
        <is>
          <t>ÖSTERGÖTLANDS LÄN</t>
        </is>
      </c>
      <c r="G703" t="inlineStr">
        <is>
          <t>FINSPÅNG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18725-2026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46128</v>
      </c>
      <c r="E704" s="1" t="n">
        <v>46230</v>
      </c>
      <c r="F704" t="inlineStr">
        <is>
          <t>ÖSTERGÖTLANDS LÄN</t>
        </is>
      </c>
      <c r="G704" t="inlineStr">
        <is>
          <t>FINSPÅNG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9339-2022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44616</v>
      </c>
      <c r="E705" s="1" t="n">
        <v>46230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31669-2026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46225</v>
      </c>
      <c r="E706" s="1" t="n">
        <v>46230</v>
      </c>
      <c r="F706" t="inlineStr">
        <is>
          <t>ÖSTERGÖTLANDS LÄN</t>
        </is>
      </c>
      <c r="G706" t="inlineStr">
        <is>
          <t>FINSPÅNG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3776-2023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44949</v>
      </c>
      <c r="E707" s="1" t="n">
        <v>46230</v>
      </c>
      <c r="F707" t="inlineStr">
        <is>
          <t>ÖSTERGÖTLANDS LÄN</t>
        </is>
      </c>
      <c r="G707" t="inlineStr">
        <is>
          <t>FINSPÅNG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11974-2023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44995</v>
      </c>
      <c r="E708" s="1" t="n">
        <v>46230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31668-2026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46225</v>
      </c>
      <c r="E709" s="1" t="n">
        <v>46230</v>
      </c>
      <c r="F709" t="inlineStr">
        <is>
          <t>ÖSTERGÖTLANDS LÄN</t>
        </is>
      </c>
      <c r="G709" t="inlineStr">
        <is>
          <t>FINSPÅNG</t>
        </is>
      </c>
      <c r="I709" t="n">
        <v>10.5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7826-2025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45706</v>
      </c>
      <c r="E710" s="1" t="n">
        <v>46230</v>
      </c>
      <c r="F710" t="inlineStr">
        <is>
          <t>ÖSTERGÖTLANDS LÄN</t>
        </is>
      </c>
      <c r="G710" t="inlineStr">
        <is>
          <t>FINSPÅNG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25943-2026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46181</v>
      </c>
      <c r="E711" s="1" t="n">
        <v>46230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Sveaskog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38613-2022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44813</v>
      </c>
      <c r="E712" s="1" t="n">
        <v>46230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7825-2025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45706</v>
      </c>
      <c r="E713" s="1" t="n">
        <v>46230</v>
      </c>
      <c r="F713" t="inlineStr">
        <is>
          <t>ÖSTERGÖTLANDS LÄN</t>
        </is>
      </c>
      <c r="G713" t="inlineStr">
        <is>
          <t>FINSPÅNG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34941-2023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45142</v>
      </c>
      <c r="E714" s="1" t="n">
        <v>46230</v>
      </c>
      <c r="F714" t="inlineStr">
        <is>
          <t>ÖSTERGÖTLANDS LÄN</t>
        </is>
      </c>
      <c r="G714" t="inlineStr">
        <is>
          <t>FINSPÅNG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9635-2025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45715</v>
      </c>
      <c r="E715" s="1" t="n">
        <v>46230</v>
      </c>
      <c r="F715" t="inlineStr">
        <is>
          <t>ÖSTERGÖTLANDS LÄN</t>
        </is>
      </c>
      <c r="G715" t="inlineStr">
        <is>
          <t>FINSPÅNG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14454-2022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44653</v>
      </c>
      <c r="E716" s="1" t="n">
        <v>46230</v>
      </c>
      <c r="F716" t="inlineStr">
        <is>
          <t>ÖSTERGÖTLANDS LÄN</t>
        </is>
      </c>
      <c r="G716" t="inlineStr">
        <is>
          <t>FINSPÅNG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31675-2026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46226</v>
      </c>
      <c r="E717" s="1" t="n">
        <v>46230</v>
      </c>
      <c r="F717" t="inlineStr">
        <is>
          <t>ÖSTERGÖTLANDS LÄN</t>
        </is>
      </c>
      <c r="G717" t="inlineStr">
        <is>
          <t>FINSPÅNG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31682-2026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46226</v>
      </c>
      <c r="E718" s="1" t="n">
        <v>46230</v>
      </c>
      <c r="F718" t="inlineStr">
        <is>
          <t>ÖSTERGÖTLANDS LÄN</t>
        </is>
      </c>
      <c r="G718" t="inlineStr">
        <is>
          <t>FINSPÅNG</t>
        </is>
      </c>
      <c r="I718" t="n">
        <v>6.1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27018-2026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46185</v>
      </c>
      <c r="E719" s="1" t="n">
        <v>46230</v>
      </c>
      <c r="F719" t="inlineStr">
        <is>
          <t>ÖSTERGÖTLANDS LÄN</t>
        </is>
      </c>
      <c r="G719" t="inlineStr">
        <is>
          <t>FINSPÅNG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61114-2024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45645</v>
      </c>
      <c r="E720" s="1" t="n">
        <v>46230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26905-2026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46185</v>
      </c>
      <c r="E721" s="1" t="n">
        <v>46230</v>
      </c>
      <c r="F721" t="inlineStr">
        <is>
          <t>ÖSTERGÖTLANDS LÄN</t>
        </is>
      </c>
      <c r="G721" t="inlineStr">
        <is>
          <t>FINSPÅNG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48767-2024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45593</v>
      </c>
      <c r="E722" s="1" t="n">
        <v>46230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10420-2023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44987</v>
      </c>
      <c r="E723" s="1" t="n">
        <v>46230</v>
      </c>
      <c r="F723" t="inlineStr">
        <is>
          <t>ÖSTERGÖTLANDS LÄN</t>
        </is>
      </c>
      <c r="G723" t="inlineStr">
        <is>
          <t>FINSPÅNG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40410-2024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45555</v>
      </c>
      <c r="E724" s="1" t="n">
        <v>46230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59699-2024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45639</v>
      </c>
      <c r="E725" s="1" t="n">
        <v>46230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2741-2024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45314</v>
      </c>
      <c r="E726" s="1" t="n">
        <v>46230</v>
      </c>
      <c r="F726" t="inlineStr">
        <is>
          <t>ÖSTERGÖTLANDS LÄN</t>
        </is>
      </c>
      <c r="G726" t="inlineStr">
        <is>
          <t>FINSPÅNG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22579-2024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45447</v>
      </c>
      <c r="E727" s="1" t="n">
        <v>46230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25195-2022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44729</v>
      </c>
      <c r="E728" s="1" t="n">
        <v>46230</v>
      </c>
      <c r="F728" t="inlineStr">
        <is>
          <t>ÖSTERGÖTLANDS LÄN</t>
        </is>
      </c>
      <c r="G728" t="inlineStr">
        <is>
          <t>FINSPÅNG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45410-2022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44844</v>
      </c>
      <c r="E729" s="1" t="n">
        <v>46230</v>
      </c>
      <c r="F729" t="inlineStr">
        <is>
          <t>ÖSTERGÖTLANDS LÄN</t>
        </is>
      </c>
      <c r="G729" t="inlineStr">
        <is>
          <t>FINSPÅNG</t>
        </is>
      </c>
      <c r="I729" t="n">
        <v>16.6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7788-2023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44973</v>
      </c>
      <c r="E730" s="1" t="n">
        <v>46230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23350-2023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45076</v>
      </c>
      <c r="E731" s="1" t="n">
        <v>46230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27892-2023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45095</v>
      </c>
      <c r="E732" s="1" t="n">
        <v>46230</v>
      </c>
      <c r="F732" t="inlineStr">
        <is>
          <t>ÖSTERGÖTLANDS LÄN</t>
        </is>
      </c>
      <c r="G732" t="inlineStr">
        <is>
          <t>FINSPÅNG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59672-2024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45639</v>
      </c>
      <c r="E733" s="1" t="n">
        <v>46230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68122-2021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44526</v>
      </c>
      <c r="E734" s="1" t="n">
        <v>46230</v>
      </c>
      <c r="F734" t="inlineStr">
        <is>
          <t>ÖSTERGÖTLANDS LÄN</t>
        </is>
      </c>
      <c r="G734" t="inlineStr">
        <is>
          <t>FINSPÅNG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62158-2022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44922</v>
      </c>
      <c r="E735" s="1" t="n">
        <v>46230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34758-2022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44795</v>
      </c>
      <c r="E736" s="1" t="n">
        <v>46230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Övriga Aktiebolag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61076-2023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45260</v>
      </c>
      <c r="E737" s="1" t="n">
        <v>46230</v>
      </c>
      <c r="F737" t="inlineStr">
        <is>
          <t>ÖSTERGÖTLANDS LÄN</t>
        </is>
      </c>
      <c r="G737" t="inlineStr">
        <is>
          <t>FINSPÅNG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59468-2021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44491</v>
      </c>
      <c r="E738" s="1" t="n">
        <v>46230</v>
      </c>
      <c r="F738" t="inlineStr">
        <is>
          <t>ÖSTERGÖTLANDS LÄN</t>
        </is>
      </c>
      <c r="G738" t="inlineStr">
        <is>
          <t>FINSPÅNG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18306-2023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45041</v>
      </c>
      <c r="E739" s="1" t="n">
        <v>46230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Naturvårdsverket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59838-2023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45257</v>
      </c>
      <c r="E740" s="1" t="n">
        <v>46230</v>
      </c>
      <c r="F740" t="inlineStr">
        <is>
          <t>ÖSTERGÖTLANDS LÄN</t>
        </is>
      </c>
      <c r="G740" t="inlineStr">
        <is>
          <t>FINSPÅNG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51610-2022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44871</v>
      </c>
      <c r="E741" s="1" t="n">
        <v>46230</v>
      </c>
      <c r="F741" t="inlineStr">
        <is>
          <t>ÖSTERGÖTLANDS LÄN</t>
        </is>
      </c>
      <c r="G741" t="inlineStr">
        <is>
          <t>FINSPÅNG</t>
        </is>
      </c>
      <c r="I741" t="n">
        <v>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13826-2024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45391</v>
      </c>
      <c r="E742" s="1" t="n">
        <v>46230</v>
      </c>
      <c r="F742" t="inlineStr">
        <is>
          <t>ÖSTERGÖTLANDS LÄN</t>
        </is>
      </c>
      <c r="G742" t="inlineStr">
        <is>
          <t>FINSPÅNG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5336-2025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45692</v>
      </c>
      <c r="E743" s="1" t="n">
        <v>46230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22354-2023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45070</v>
      </c>
      <c r="E744" s="1" t="n">
        <v>46230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47224-2023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45202</v>
      </c>
      <c r="E745" s="1" t="n">
        <v>46230</v>
      </c>
      <c r="F745" t="inlineStr">
        <is>
          <t>ÖSTERGÖTLANDS LÄN</t>
        </is>
      </c>
      <c r="G745" t="inlineStr">
        <is>
          <t>FINSPÅNG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6527-2023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44966</v>
      </c>
      <c r="E746" s="1" t="n">
        <v>46230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4071-2024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45323</v>
      </c>
      <c r="E747" s="1" t="n">
        <v>46230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6575-2024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45341</v>
      </c>
      <c r="E748" s="1" t="n">
        <v>46230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Övriga Aktiebolag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73260-2021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44550</v>
      </c>
      <c r="E749" s="1" t="n">
        <v>46230</v>
      </c>
      <c r="F749" t="inlineStr">
        <is>
          <t>ÖSTERGÖTLANDS LÄN</t>
        </is>
      </c>
      <c r="G749" t="inlineStr">
        <is>
          <t>FINSPÅNG</t>
        </is>
      </c>
      <c r="I749" t="n">
        <v>10.3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42705-2024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45566</v>
      </c>
      <c r="E750" s="1" t="n">
        <v>46230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42711-2024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45566</v>
      </c>
      <c r="E751" s="1" t="n">
        <v>46230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55612-2021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44476</v>
      </c>
      <c r="E752" s="1" t="n">
        <v>46230</v>
      </c>
      <c r="F752" t="inlineStr">
        <is>
          <t>ÖSTERGÖTLANDS LÄN</t>
        </is>
      </c>
      <c r="G752" t="inlineStr">
        <is>
          <t>FINSPÅNG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21517-2024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45441</v>
      </c>
      <c r="E753" s="1" t="n">
        <v>46230</v>
      </c>
      <c r="F753" t="inlineStr">
        <is>
          <t>ÖSTERGÖTLANDS LÄN</t>
        </is>
      </c>
      <c r="G753" t="inlineStr">
        <is>
          <t>FINSPÅNG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11785-2024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45374</v>
      </c>
      <c r="E754" s="1" t="n">
        <v>46230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Kyrkan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13821-2024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45391</v>
      </c>
      <c r="E755" s="1" t="n">
        <v>46230</v>
      </c>
      <c r="F755" t="inlineStr">
        <is>
          <t>ÖSTERGÖTLANDS LÄN</t>
        </is>
      </c>
      <c r="G755" t="inlineStr">
        <is>
          <t>FINSPÅNG</t>
        </is>
      </c>
      <c r="I755" t="n">
        <v>5.9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9418-2023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44981</v>
      </c>
      <c r="E756" s="1" t="n">
        <v>46230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17557-2022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44679</v>
      </c>
      <c r="E757" s="1" t="n">
        <v>46230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Övriga Aktiebolag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45293</v>
      </c>
      <c r="E758" s="1" t="n">
        <v>46230</v>
      </c>
      <c r="F758" t="inlineStr">
        <is>
          <t>ÖSTERGÖTLANDS LÄN</t>
        </is>
      </c>
      <c r="G758" t="inlineStr">
        <is>
          <t>FINSPÅNG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40296-2024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45554</v>
      </c>
      <c r="E759" s="1" t="n">
        <v>46230</v>
      </c>
      <c r="F759" t="inlineStr">
        <is>
          <t>ÖSTERGÖTLANDS LÄN</t>
        </is>
      </c>
      <c r="G759" t="inlineStr">
        <is>
          <t>FINSPÅNG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49904-2023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45214</v>
      </c>
      <c r="E760" s="1" t="n">
        <v>46230</v>
      </c>
      <c r="F760" t="inlineStr">
        <is>
          <t>ÖSTERGÖTLANDS LÄN</t>
        </is>
      </c>
      <c r="G760" t="inlineStr">
        <is>
          <t>FINSPÅNG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32431-2023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45110</v>
      </c>
      <c r="E761" s="1" t="n">
        <v>46230</v>
      </c>
      <c r="F761" t="inlineStr">
        <is>
          <t>ÖSTERGÖTLANDS LÄN</t>
        </is>
      </c>
      <c r="G761" t="inlineStr">
        <is>
          <t>FINSPÅNG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45660</v>
      </c>
      <c r="E762" s="1" t="n">
        <v>46230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Övriga Aktiebolag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13375-2025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45735</v>
      </c>
      <c r="E763" s="1" t="n">
        <v>46230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32795-2024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45516</v>
      </c>
      <c r="E764" s="1" t="n">
        <v>46230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Kommuner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6628-2023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44966</v>
      </c>
      <c r="E765" s="1" t="n">
        <v>46230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Övriga Aktiebolag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23821-2023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45078</v>
      </c>
      <c r="E766" s="1" t="n">
        <v>46230</v>
      </c>
      <c r="F766" t="inlineStr">
        <is>
          <t>ÖSTERGÖTLANDS LÄN</t>
        </is>
      </c>
      <c r="G766" t="inlineStr">
        <is>
          <t>FINSPÅNG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31025-2023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45113</v>
      </c>
      <c r="E767" s="1" t="n">
        <v>46230</v>
      </c>
      <c r="F767" t="inlineStr">
        <is>
          <t>ÖSTERGÖTLANDS LÄN</t>
        </is>
      </c>
      <c r="G767" t="inlineStr">
        <is>
          <t>FINSPÅNG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45311-2023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45191</v>
      </c>
      <c r="E768" s="1" t="n">
        <v>46230</v>
      </c>
      <c r="F768" t="inlineStr">
        <is>
          <t>ÖSTERGÖTLANDS LÄN</t>
        </is>
      </c>
      <c r="G768" t="inlineStr">
        <is>
          <t>FINSPÅNG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18488-2025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45763</v>
      </c>
      <c r="E769" s="1" t="n">
        <v>46230</v>
      </c>
      <c r="F769" t="inlineStr">
        <is>
          <t>ÖSTERGÖTLANDS LÄN</t>
        </is>
      </c>
      <c r="G769" t="inlineStr">
        <is>
          <t>FINSPÅNG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73655-2021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44551</v>
      </c>
      <c r="E770" s="1" t="n">
        <v>46230</v>
      </c>
      <c r="F770" t="inlineStr">
        <is>
          <t>ÖSTERGÖTLANDS LÄN</t>
        </is>
      </c>
      <c r="G770" t="inlineStr">
        <is>
          <t>FINSPÅNG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43051-2022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44833</v>
      </c>
      <c r="E771" s="1" t="n">
        <v>46230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28558-2023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45103</v>
      </c>
      <c r="E772" s="1" t="n">
        <v>46230</v>
      </c>
      <c r="F772" t="inlineStr">
        <is>
          <t>ÖSTERGÖTLANDS LÄN</t>
        </is>
      </c>
      <c r="G772" t="inlineStr">
        <is>
          <t>FINSPÅNG</t>
        </is>
      </c>
      <c r="I772" t="n">
        <v>11.1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54916-2024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45618</v>
      </c>
      <c r="E773" s="1" t="n">
        <v>46230</v>
      </c>
      <c r="F773" t="inlineStr">
        <is>
          <t>ÖSTERGÖTLANDS LÄN</t>
        </is>
      </c>
      <c r="G773" t="inlineStr">
        <is>
          <t>FINSPÅNG</t>
        </is>
      </c>
      <c r="I773" t="n">
        <v>11.8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59702-2024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45639</v>
      </c>
      <c r="E774" s="1" t="n">
        <v>46230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507-2024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45299</v>
      </c>
      <c r="E775" s="1" t="n">
        <v>46230</v>
      </c>
      <c r="F775" t="inlineStr">
        <is>
          <t>ÖSTERGÖTLANDS LÄN</t>
        </is>
      </c>
      <c r="G775" t="inlineStr">
        <is>
          <t>FINSPÅNG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1020-2024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45301</v>
      </c>
      <c r="E776" s="1" t="n">
        <v>46230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22714-2022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44714</v>
      </c>
      <c r="E777" s="1" t="n">
        <v>46230</v>
      </c>
      <c r="F777" t="inlineStr">
        <is>
          <t>ÖSTERGÖTLANDS LÄN</t>
        </is>
      </c>
      <c r="G777" t="inlineStr">
        <is>
          <t>FINSPÅNG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10215-2022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44622</v>
      </c>
      <c r="E778" s="1" t="n">
        <v>46230</v>
      </c>
      <c r="F778" t="inlineStr">
        <is>
          <t>ÖSTERGÖTLANDS LÄN</t>
        </is>
      </c>
      <c r="G778" t="inlineStr">
        <is>
          <t>FINSPÅNG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54299-2023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45232</v>
      </c>
      <c r="E779" s="1" t="n">
        <v>46230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56288-2022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44887</v>
      </c>
      <c r="E780" s="1" t="n">
        <v>46230</v>
      </c>
      <c r="F780" t="inlineStr">
        <is>
          <t>ÖSTERGÖTLANDS LÄN</t>
        </is>
      </c>
      <c r="G780" t="inlineStr">
        <is>
          <t>FINSPÅNG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18356-2024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45422</v>
      </c>
      <c r="E781" s="1" t="n">
        <v>46230</v>
      </c>
      <c r="F781" t="inlineStr">
        <is>
          <t>ÖSTERGÖTLANDS LÄN</t>
        </is>
      </c>
      <c r="G781" t="inlineStr">
        <is>
          <t>FINSPÅNG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10206-2022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44622</v>
      </c>
      <c r="E782" s="1" t="n">
        <v>46230</v>
      </c>
      <c r="F782" t="inlineStr">
        <is>
          <t>ÖSTERGÖTLANDS LÄN</t>
        </is>
      </c>
      <c r="G782" t="inlineStr">
        <is>
          <t>FINSPÅNG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45314-2023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45191</v>
      </c>
      <c r="E783" s="1" t="n">
        <v>46230</v>
      </c>
      <c r="F783" t="inlineStr">
        <is>
          <t>ÖSTERGÖTLANDS LÄN</t>
        </is>
      </c>
      <c r="G783" t="inlineStr">
        <is>
          <t>FINSPÅNG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5616-2022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44595</v>
      </c>
      <c r="E784" s="1" t="n">
        <v>46230</v>
      </c>
      <c r="F784" t="inlineStr">
        <is>
          <t>ÖSTERGÖTLANDS LÄN</t>
        </is>
      </c>
      <c r="G784" t="inlineStr">
        <is>
          <t>FINSPÅNG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4351-2022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44589</v>
      </c>
      <c r="E785" s="1" t="n">
        <v>46230</v>
      </c>
      <c r="F785" t="inlineStr">
        <is>
          <t>ÖSTERGÖTLANDS LÄN</t>
        </is>
      </c>
      <c r="G785" t="inlineStr">
        <is>
          <t>FINSPÅNG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2047-2024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45308</v>
      </c>
      <c r="E786" s="1" t="n">
        <v>46230</v>
      </c>
      <c r="F786" t="inlineStr">
        <is>
          <t>ÖSTERGÖTLANDS LÄN</t>
        </is>
      </c>
      <c r="G786" t="inlineStr">
        <is>
          <t>FINSPÅNG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62168-2022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44922</v>
      </c>
      <c r="E787" s="1" t="n">
        <v>46230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Holmen skog AB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53670-2024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45615</v>
      </c>
      <c r="E788" s="1" t="n">
        <v>46230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36110-2023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45149</v>
      </c>
      <c r="E789" s="1" t="n">
        <v>46230</v>
      </c>
      <c r="F789" t="inlineStr">
        <is>
          <t>ÖSTERGÖTLANDS LÄN</t>
        </is>
      </c>
      <c r="G789" t="inlineStr">
        <is>
          <t>FINSPÅNG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18349-2025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45762</v>
      </c>
      <c r="E790" s="1" t="n">
        <v>46230</v>
      </c>
      <c r="F790" t="inlineStr">
        <is>
          <t>ÖSTERGÖTLANDS LÄN</t>
        </is>
      </c>
      <c r="G790" t="inlineStr">
        <is>
          <t>FINSPÅNG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39358-2022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44817</v>
      </c>
      <c r="E791" s="1" t="n">
        <v>46230</v>
      </c>
      <c r="F791" t="inlineStr">
        <is>
          <t>ÖSTERGÖTLANDS LÄN</t>
        </is>
      </c>
      <c r="G791" t="inlineStr">
        <is>
          <t>FINSPÅNG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36191-2023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45149</v>
      </c>
      <c r="E792" s="1" t="n">
        <v>46230</v>
      </c>
      <c r="F792" t="inlineStr">
        <is>
          <t>ÖSTERGÖTLANDS LÄN</t>
        </is>
      </c>
      <c r="G792" t="inlineStr">
        <is>
          <t>FINSPÅNG</t>
        </is>
      </c>
      <c r="I792" t="n">
        <v>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55457-2024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45622</v>
      </c>
      <c r="E793" s="1" t="n">
        <v>46230</v>
      </c>
      <c r="F793" t="inlineStr">
        <is>
          <t>ÖSTERGÖTLANDS LÄN</t>
        </is>
      </c>
      <c r="G793" t="inlineStr">
        <is>
          <t>FINSPÅNG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40065-2024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45554</v>
      </c>
      <c r="E794" s="1" t="n">
        <v>46230</v>
      </c>
      <c r="F794" t="inlineStr">
        <is>
          <t>ÖSTERGÖTLANDS LÄN</t>
        </is>
      </c>
      <c r="G794" t="inlineStr">
        <is>
          <t>FINSPÅNG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27698-2023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45095</v>
      </c>
      <c r="E795" s="1" t="n">
        <v>46230</v>
      </c>
      <c r="F795" t="inlineStr">
        <is>
          <t>ÖSTERGÖTLANDS LÄN</t>
        </is>
      </c>
      <c r="G795" t="inlineStr">
        <is>
          <t>FINSPÅNG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48691-2024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45593</v>
      </c>
      <c r="E796" s="1" t="n">
        <v>46230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Övriga Aktiebolag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63585-2023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45275</v>
      </c>
      <c r="E797" s="1" t="n">
        <v>46230</v>
      </c>
      <c r="F797" t="inlineStr">
        <is>
          <t>ÖSTERGÖTLANDS LÄN</t>
        </is>
      </c>
      <c r="G797" t="inlineStr">
        <is>
          <t>FINSPÅNG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189-2022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44564</v>
      </c>
      <c r="E798" s="1" t="n">
        <v>46230</v>
      </c>
      <c r="F798" t="inlineStr">
        <is>
          <t>ÖSTERGÖTLANDS LÄN</t>
        </is>
      </c>
      <c r="G798" t="inlineStr">
        <is>
          <t>FINSPÅNG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15129-2025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45744</v>
      </c>
      <c r="E799" s="1" t="n">
        <v>46230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Naturvårdsverket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16229-2024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45407</v>
      </c>
      <c r="E800" s="1" t="n">
        <v>46230</v>
      </c>
      <c r="F800" t="inlineStr">
        <is>
          <t>ÖSTERGÖTLANDS LÄN</t>
        </is>
      </c>
      <c r="G800" t="inlineStr">
        <is>
          <t>FINSPÅNG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22586-2023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45071</v>
      </c>
      <c r="E801" s="1" t="n">
        <v>46230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47836-2021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44448</v>
      </c>
      <c r="E802" s="1" t="n">
        <v>46230</v>
      </c>
      <c r="F802" t="inlineStr">
        <is>
          <t>ÖSTERGÖTLANDS LÄN</t>
        </is>
      </c>
      <c r="G802" t="inlineStr">
        <is>
          <t>FINSPÅNG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59777-2023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45257</v>
      </c>
      <c r="E803" s="1" t="n">
        <v>46230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59827-2023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45257</v>
      </c>
      <c r="E804" s="1" t="n">
        <v>46230</v>
      </c>
      <c r="F804" t="inlineStr">
        <is>
          <t>ÖSTERGÖTLANDS LÄN</t>
        </is>
      </c>
      <c r="G804" t="inlineStr">
        <is>
          <t>FINSPÅNG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42682-2024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45566</v>
      </c>
      <c r="E805" s="1" t="n">
        <v>46230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42678-2024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45566</v>
      </c>
      <c r="E806" s="1" t="n">
        <v>46230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42699-2024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45566</v>
      </c>
      <c r="E807" s="1" t="n">
        <v>46230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13392-2025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45735</v>
      </c>
      <c r="E808" s="1" t="n">
        <v>46230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10.9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13457-2025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45736</v>
      </c>
      <c r="E809" s="1" t="n">
        <v>46230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60249-2024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45642</v>
      </c>
      <c r="E810" s="1" t="n">
        <v>46230</v>
      </c>
      <c r="F810" t="inlineStr">
        <is>
          <t>ÖSTERGÖTLANDS LÄN</t>
        </is>
      </c>
      <c r="G810" t="inlineStr">
        <is>
          <t>FINSPÅNG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35340-2024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45530</v>
      </c>
      <c r="E811" s="1" t="n">
        <v>46230</v>
      </c>
      <c r="F811" t="inlineStr">
        <is>
          <t>ÖSTERGÖTLANDS LÄN</t>
        </is>
      </c>
      <c r="G811" t="inlineStr">
        <is>
          <t>FINSPÅNG</t>
        </is>
      </c>
      <c r="I811" t="n">
        <v>7.9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35343-2024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45530</v>
      </c>
      <c r="E812" s="1" t="n">
        <v>46230</v>
      </c>
      <c r="F812" t="inlineStr">
        <is>
          <t>ÖSTERGÖTLANDS LÄN</t>
        </is>
      </c>
      <c r="G812" t="inlineStr">
        <is>
          <t>FINSPÅNG</t>
        </is>
      </c>
      <c r="I812" t="n">
        <v>7.2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11149-2024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45371</v>
      </c>
      <c r="E813" s="1" t="n">
        <v>46230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Kyrkan</t>
        </is>
      </c>
      <c r="I813" t="n">
        <v>6.5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11523-2025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45727</v>
      </c>
      <c r="E814" s="1" t="n">
        <v>46230</v>
      </c>
      <c r="F814" t="inlineStr">
        <is>
          <t>ÖSTERGÖTLANDS LÄN</t>
        </is>
      </c>
      <c r="G814" t="inlineStr">
        <is>
          <t>FINSPÅNG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62155-2023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45267</v>
      </c>
      <c r="E815" s="1" t="n">
        <v>46230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24328-2025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45797</v>
      </c>
      <c r="E816" s="1" t="n">
        <v>46230</v>
      </c>
      <c r="F816" t="inlineStr">
        <is>
          <t>ÖSTERGÖTLANDS LÄN</t>
        </is>
      </c>
      <c r="G816" t="inlineStr">
        <is>
          <t>FINSPÅNG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24363-2025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45797</v>
      </c>
      <c r="E817" s="1" t="n">
        <v>46230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24021-2025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45796</v>
      </c>
      <c r="E818" s="1" t="n">
        <v>46230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Naturvårdsverket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24310-2025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45797</v>
      </c>
      <c r="E819" s="1" t="n">
        <v>46230</v>
      </c>
      <c r="F819" t="inlineStr">
        <is>
          <t>ÖSTERGÖTLANDS LÄN</t>
        </is>
      </c>
      <c r="G819" t="inlineStr">
        <is>
          <t>FINSPÅNG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24009-2025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45796</v>
      </c>
      <c r="E820" s="1" t="n">
        <v>46230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Naturvårdsverket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7131-2025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45702</v>
      </c>
      <c r="E821" s="1" t="n">
        <v>46230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Övriga Aktiebolag</t>
        </is>
      </c>
      <c r="I821" t="n">
        <v>4.9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3169-2024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45316</v>
      </c>
      <c r="E822" s="1" t="n">
        <v>46230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Övriga Aktiebolag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25272-2025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45800</v>
      </c>
      <c r="E823" s="1" t="n">
        <v>46230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Naturvårdsverket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25306-2025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45800</v>
      </c>
      <c r="E824" s="1" t="n">
        <v>46230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Naturvårdsverket</t>
        </is>
      </c>
      <c r="I824" t="n">
        <v>6.5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25319-2025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45800</v>
      </c>
      <c r="E825" s="1" t="n">
        <v>46230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Naturvårdsverket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25342-2025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45800</v>
      </c>
      <c r="E826" s="1" t="n">
        <v>46230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Naturvårdsverket</t>
        </is>
      </c>
      <c r="I826" t="n">
        <v>8.199999999999999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27208-2025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45812</v>
      </c>
      <c r="E827" s="1" t="n">
        <v>46230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27258-2025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45812</v>
      </c>
      <c r="E828" s="1" t="n">
        <v>46230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27192-2025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45812</v>
      </c>
      <c r="E829" s="1" t="n">
        <v>46230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27879-2025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45817</v>
      </c>
      <c r="E830" s="1" t="n">
        <v>46230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7.5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27890-2025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45817</v>
      </c>
      <c r="E831" s="1" t="n">
        <v>46230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7.1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59701-2024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45639</v>
      </c>
      <c r="E832" s="1" t="n">
        <v>46230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28428-2025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45819</v>
      </c>
      <c r="E833" s="1" t="n">
        <v>46230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28491-2025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45819</v>
      </c>
      <c r="E834" s="1" t="n">
        <v>46230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28508-2025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45819</v>
      </c>
      <c r="E835" s="1" t="n">
        <v>46230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28792-2025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45820</v>
      </c>
      <c r="E836" s="1" t="n">
        <v>46230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4.5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29441-2025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45824</v>
      </c>
      <c r="E837" s="1" t="n">
        <v>46230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Holmen skog AB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29419-2025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45824</v>
      </c>
      <c r="E838" s="1" t="n">
        <v>46230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Holmen skog AB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29454-2025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45824</v>
      </c>
      <c r="E839" s="1" t="n">
        <v>46230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Holmen skog AB</t>
        </is>
      </c>
      <c r="I839" t="n">
        <v>5.3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29430-2025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45824</v>
      </c>
      <c r="E840" s="1" t="n">
        <v>46230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Holmen skog AB</t>
        </is>
      </c>
      <c r="I840" t="n">
        <v>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32246-2025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45835</v>
      </c>
      <c r="E841" s="1" t="n">
        <v>46230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Holmen skog AB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33159-2025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45840</v>
      </c>
      <c r="E842" s="1" t="n">
        <v>46230</v>
      </c>
      <c r="F842" t="inlineStr">
        <is>
          <t>ÖSTERGÖTLANDS LÄN</t>
        </is>
      </c>
      <c r="G842" t="inlineStr">
        <is>
          <t>FINSPÅNG</t>
        </is>
      </c>
      <c r="H842" t="inlineStr">
        <is>
          <t>Holmen skog AB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34172-2025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45845</v>
      </c>
      <c r="E843" s="1" t="n">
        <v>46230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Holmen skog AB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34309-2025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45846</v>
      </c>
      <c r="E844" s="1" t="n">
        <v>46230</v>
      </c>
      <c r="F844" t="inlineStr">
        <is>
          <t>ÖSTERGÖTLANDS LÄN</t>
        </is>
      </c>
      <c r="G844" t="inlineStr">
        <is>
          <t>FINSPÅNG</t>
        </is>
      </c>
      <c r="H844" t="inlineStr">
        <is>
          <t>Holmen skog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20831-2025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45776</v>
      </c>
      <c r="E845" s="1" t="n">
        <v>46230</v>
      </c>
      <c r="F845" t="inlineStr">
        <is>
          <t>ÖSTERGÖTLANDS LÄN</t>
        </is>
      </c>
      <c r="G845" t="inlineStr">
        <is>
          <t>FINSPÅNG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35375-2025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45854</v>
      </c>
      <c r="E846" s="1" t="n">
        <v>46230</v>
      </c>
      <c r="F846" t="inlineStr">
        <is>
          <t>ÖSTERGÖTLANDS LÄN</t>
        </is>
      </c>
      <c r="G846" t="inlineStr">
        <is>
          <t>FINSPÅNG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35374-2025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45854</v>
      </c>
      <c r="E847" s="1" t="n">
        <v>46230</v>
      </c>
      <c r="F847" t="inlineStr">
        <is>
          <t>ÖSTERGÖTLANDS LÄN</t>
        </is>
      </c>
      <c r="G847" t="inlineStr">
        <is>
          <t>FINSPÅNG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35279-2025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45853</v>
      </c>
      <c r="E848" s="1" t="n">
        <v>46230</v>
      </c>
      <c r="F848" t="inlineStr">
        <is>
          <t>ÖSTERGÖTLANDS LÄN</t>
        </is>
      </c>
      <c r="G848" t="inlineStr">
        <is>
          <t>FINSPÅNG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35492-2025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45855</v>
      </c>
      <c r="E849" s="1" t="n">
        <v>46230</v>
      </c>
      <c r="F849" t="inlineStr">
        <is>
          <t>ÖSTERGÖTLANDS LÄN</t>
        </is>
      </c>
      <c r="G849" t="inlineStr">
        <is>
          <t>FINSPÅNG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33997-2024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45523</v>
      </c>
      <c r="E850" s="1" t="n">
        <v>46230</v>
      </c>
      <c r="F850" t="inlineStr">
        <is>
          <t>ÖSTERGÖTLANDS LÄN</t>
        </is>
      </c>
      <c r="G850" t="inlineStr">
        <is>
          <t>FINSPÅNG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35970-2025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45863</v>
      </c>
      <c r="E851" s="1" t="n">
        <v>46230</v>
      </c>
      <c r="F851" t="inlineStr">
        <is>
          <t>ÖSTERGÖTLANDS LÄN</t>
        </is>
      </c>
      <c r="G851" t="inlineStr">
        <is>
          <t>FINSPÅNG</t>
        </is>
      </c>
      <c r="I851" t="n">
        <v>22.6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31043-2025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45831</v>
      </c>
      <c r="E852" s="1" t="n">
        <v>46230</v>
      </c>
      <c r="F852" t="inlineStr">
        <is>
          <t>ÖSTERGÖTLANDS LÄN</t>
        </is>
      </c>
      <c r="G852" t="inlineStr">
        <is>
          <t>FINSPÅNG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36592-2025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45870</v>
      </c>
      <c r="E853" s="1" t="n">
        <v>46230</v>
      </c>
      <c r="F853" t="inlineStr">
        <is>
          <t>ÖSTERGÖTLANDS LÄN</t>
        </is>
      </c>
      <c r="G853" t="inlineStr">
        <is>
          <t>FINSPÅNG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5129-2024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45644</v>
      </c>
      <c r="E854" s="1" t="n">
        <v>46230</v>
      </c>
      <c r="F854" t="inlineStr">
        <is>
          <t>ÖSTERGÖTLANDS LÄN</t>
        </is>
      </c>
      <c r="G854" t="inlineStr">
        <is>
          <t>FINSPÅNG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1605-2024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45428</v>
      </c>
      <c r="E855" s="1" t="n">
        <v>46230</v>
      </c>
      <c r="F855" t="inlineStr">
        <is>
          <t>ÖSTERGÖTLANDS LÄN</t>
        </is>
      </c>
      <c r="G855" t="inlineStr">
        <is>
          <t>FINSPÅNG</t>
        </is>
      </c>
      <c r="I855" t="n">
        <v>0.3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1637-2024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45429</v>
      </c>
      <c r="E856" s="1" t="n">
        <v>46230</v>
      </c>
      <c r="F856" t="inlineStr">
        <is>
          <t>ÖSTERGÖTLANDS LÄN</t>
        </is>
      </c>
      <c r="G856" t="inlineStr">
        <is>
          <t>FINSPÅNG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4163-2023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45250</v>
      </c>
      <c r="E857" s="1" t="n">
        <v>46230</v>
      </c>
      <c r="F857" t="inlineStr">
        <is>
          <t>ÖSTERGÖTLANDS LÄN</t>
        </is>
      </c>
      <c r="G857" t="inlineStr">
        <is>
          <t>FINSPÅNG</t>
        </is>
      </c>
      <c r="H857" t="inlineStr">
        <is>
          <t>Sveaskog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4854-2021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44413</v>
      </c>
      <c r="E858" s="1" t="n">
        <v>46230</v>
      </c>
      <c r="F858" t="inlineStr">
        <is>
          <t>ÖSTERGÖTLANDS LÄN</t>
        </is>
      </c>
      <c r="G858" t="inlineStr">
        <is>
          <t>FINSPÅNG</t>
        </is>
      </c>
      <c r="I858" t="n">
        <v>0.1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1759-2026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46188</v>
      </c>
      <c r="E859" s="1" t="n">
        <v>46230</v>
      </c>
      <c r="F859" t="inlineStr">
        <is>
          <t>ÖSTERGÖTLANDS LÄN</t>
        </is>
      </c>
      <c r="G859" t="inlineStr">
        <is>
          <t>FINSPÅNG</t>
        </is>
      </c>
      <c r="H859" t="inlineStr">
        <is>
          <t>Övriga Aktiebolag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2026-07-27T01:46:36Z</dcterms:created>
  <dcterms:modified xmlns:dcterms="http://purl.org/dc/terms/" xmlns:xsi="http://www.w3.org/2001/XMLSchema-instance" xsi:type="dcterms:W3CDTF">2026-07-27T01:46:37Z</dcterms:modified>
</cp:coreProperties>
</file>