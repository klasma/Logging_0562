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46255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46255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46255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46255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46255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46255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46255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46255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46255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46255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46255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46255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46255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46255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46255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46255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46255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46255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46255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46255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46255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46255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46255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46255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46255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46255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46255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46255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46255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46255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46255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46255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46255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25941-2026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14.4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25941-2026 artfynd.xlsx", "A 25941-2026")</f>
        <v/>
      </c>
      <c r="X44">
        <f>HYPERLINK("https://klasma.github.io/Logging_0562/kartor/A 25941-2026 karta.png", "A 25941-2026")</f>
        <v/>
      </c>
      <c r="Y44">
        <f>HYPERLINK("https://klasma.github.io/Logging_0562/kartor_geotiff/A 25941-2026 georefererad karta.tif", "A 25941-2026")</f>
        <v/>
      </c>
      <c r="AA44">
        <f>HYPERLINK("https://klasma.github.io/Logging_0562/klagomål/A 25941-2026 FSC-klagomål.docx", "A 25941-2026")</f>
        <v/>
      </c>
      <c r="AB44">
        <f>HYPERLINK("https://klasma.github.io/Logging_0562/klagomålsmail/A 25941-2026 FSC-klagomål mail.docx", "A 25941-2026")</f>
        <v/>
      </c>
      <c r="AC44">
        <f>HYPERLINK("https://klasma.github.io/Logging_0562/tillsyn/A 25941-2026 tillsynsbegäran.docx", "A 25941-2026")</f>
        <v/>
      </c>
      <c r="AD44">
        <f>HYPERLINK("https://klasma.github.io/Logging_0562/tillsynsmail/A 25941-2026 tillsynsbegäran mail.docx", "A 25941-2026")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46255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46255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46255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46255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46255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46255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46255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46255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46255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Kavelhirs</t>
        </is>
      </c>
      <c r="W55">
        <f>HYPERLINK("https://klasma.github.io/Logging_0562/artfynd/A 43858-2021 artfynd.xlsx", "A 43858-2021")</f>
        <v/>
      </c>
      <c r="X55">
        <f>HYPERLINK("https://klasma.github.io/Logging_0562/kartor/A 43858-2021 karta.png", "A 43858-2021")</f>
        <v/>
      </c>
      <c r="Y55">
        <f>HYPERLINK("https://klasma.github.io/Logging_0562/kartor_geotiff/A 43858-2021 georefererad karta.tif", "A 43858-2021")</f>
        <v/>
      </c>
      <c r="AA55">
        <f>HYPERLINK("https://klasma.github.io/Logging_0562/klagomål/A 43858-2021 FSC-klagomål.docx", "A 43858-2021")</f>
        <v/>
      </c>
      <c r="AB55">
        <f>HYPERLINK("https://klasma.github.io/Logging_0562/klagomålsmail/A 43858-2021 FSC-klagomål mail.docx", "A 43858-2021")</f>
        <v/>
      </c>
      <c r="AC55">
        <f>HYPERLINK("https://klasma.github.io/Logging_0562/tillsyn/A 43858-2021 tillsynsbegäran.docx", "A 43858-2021")</f>
        <v/>
      </c>
      <c r="AD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46255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HYPERLINK("https://klasma.github.io/Logging_0562/artfynd/A 61104-2022 artfynd.xlsx", "A 61104-2022")</f>
        <v/>
      </c>
      <c r="X56">
        <f>HYPERLINK("https://klasma.github.io/Logging_0562/kartor/A 61104-2022 karta.png", "A 61104-2022")</f>
        <v/>
      </c>
      <c r="Y56">
        <f>HYPERLINK("https://klasma.github.io/Logging_0562/kartor_geotiff/A 61104-2022 georefererad karta.tif", "A 61104-2022")</f>
        <v/>
      </c>
      <c r="AA56">
        <f>HYPERLINK("https://klasma.github.io/Logging_0562/klagomål/A 61104-2022 FSC-klagomål.docx", "A 61104-2022")</f>
        <v/>
      </c>
      <c r="AB56">
        <f>HYPERLINK("https://klasma.github.io/Logging_0562/klagomålsmail/A 61104-2022 FSC-klagomål mail.docx", "A 61104-2022")</f>
        <v/>
      </c>
      <c r="AC56">
        <f>HYPERLINK("https://klasma.github.io/Logging_0562/tillsyn/A 61104-2022 tillsynsbegäran.docx", "A 61104-2022")</f>
        <v/>
      </c>
      <c r="AD56">
        <f>HYPERLINK("https://klasma.github.io/Logging_0562/tillsynsmail/A 61104-2022 tillsynsbegäran mail.docx", "A 61104-2022")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46255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42837-2024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46255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42837-2024 artfynd.xlsx", "A 42837-2024")</f>
        <v/>
      </c>
      <c r="X58">
        <f>HYPERLINK("https://klasma.github.io/Logging_0562/kartor/A 42837-2024 karta.png", "A 42837-2024")</f>
        <v/>
      </c>
      <c r="Y58">
        <f>HYPERLINK("https://klasma.github.io/Logging_0562/kartor_geotiff/A 42837-2024 georefererad karta.tif", "A 42837-2024")</f>
        <v/>
      </c>
      <c r="Z58">
        <f>HYPERLINK("https://klasma.github.io/Logging_0562/knärot/A 42837-2024 karta knärot.png", "A 42837-2024")</f>
        <v/>
      </c>
      <c r="AA58">
        <f>HYPERLINK("https://klasma.github.io/Logging_0562/klagomål/A 42837-2024 FSC-klagomål.docx", "A 42837-2024")</f>
        <v/>
      </c>
      <c r="AB58">
        <f>HYPERLINK("https://klasma.github.io/Logging_0562/klagomålsmail/A 42837-2024 FSC-klagomål mail.docx", "A 42837-2024")</f>
        <v/>
      </c>
      <c r="AC58">
        <f>HYPERLINK("https://klasma.github.io/Logging_0562/tillsyn/A 42837-2024 tillsynsbegäran.docx", "A 42837-2024")</f>
        <v/>
      </c>
      <c r="AD58">
        <f>HYPERLINK("https://klasma.github.io/Logging_0562/tillsynsmail/A 42837-2024 tillsynsbegäran mail.docx", "A 42837-2024")</f>
        <v/>
      </c>
    </row>
    <row r="59" ht="15" customHeight="1">
      <c r="A59" t="inlineStr">
        <is>
          <t>A 34310-2025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46255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HYPERLINK("https://klasma.github.io/Logging_0562/artfynd/A 34310-2025 artfynd.xlsx", "A 34310-2025")</f>
        <v/>
      </c>
      <c r="X59">
        <f>HYPERLINK("https://klasma.github.io/Logging_0562/kartor/A 34310-2025 karta.png", "A 34310-2025")</f>
        <v/>
      </c>
      <c r="Y59">
        <f>HYPERLINK("https://klasma.github.io/Logging_0562/kartor_geotiff/A 34310-2025 georefererad karta.tif", "A 34310-2025")</f>
        <v/>
      </c>
      <c r="AA59">
        <f>HYPERLINK("https://klasma.github.io/Logging_0562/klagomål/A 34310-2025 FSC-klagomål.docx", "A 34310-2025")</f>
        <v/>
      </c>
      <c r="AB59">
        <f>HYPERLINK("https://klasma.github.io/Logging_0562/klagomålsmail/A 34310-2025 FSC-klagomål mail.docx", "A 34310-2025")</f>
        <v/>
      </c>
      <c r="AC59">
        <f>HYPERLINK("https://klasma.github.io/Logging_0562/tillsyn/A 34310-2025 tillsynsbegäran.docx", "A 34310-2025")</f>
        <v/>
      </c>
      <c r="AD59">
        <f>HYPERLINK("https://klasma.github.io/Logging_0562/tillsynsmail/A 34310-2025 tillsynsbegäran mail.docx", "A 34310-2025")</f>
        <v/>
      </c>
    </row>
    <row r="60" ht="15" customHeight="1">
      <c r="A60" t="inlineStr">
        <is>
          <t>A 34220-2025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45845</v>
      </c>
      <c r="E60" s="1" t="n">
        <v>46255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HYPERLINK("https://klasma.github.io/Logging_0562/artfynd/A 34220-2025 artfynd.xlsx", "A 34220-2025")</f>
        <v/>
      </c>
      <c r="X60">
        <f>HYPERLINK("https://klasma.github.io/Logging_0562/kartor/A 34220-2025 karta.png", "A 34220-2025")</f>
        <v/>
      </c>
      <c r="Y60">
        <f>HYPERLINK("https://klasma.github.io/Logging_0562/kartor_geotiff/A 34220-2025 georefererad karta.tif", "A 34220-2025")</f>
        <v/>
      </c>
      <c r="AA60">
        <f>HYPERLINK("https://klasma.github.io/Logging_0562/klagomål/A 34220-2025 FSC-klagomål.docx", "A 34220-2025")</f>
        <v/>
      </c>
      <c r="AB60">
        <f>HYPERLINK("https://klasma.github.io/Logging_0562/klagomålsmail/A 34220-2025 FSC-klagomål mail.docx", "A 34220-2025")</f>
        <v/>
      </c>
      <c r="AC60">
        <f>HYPERLINK("https://klasma.github.io/Logging_0562/tillsyn/A 34220-2025 tillsynsbegäran.docx", "A 34220-2025")</f>
        <v/>
      </c>
      <c r="AD60">
        <f>HYPERLINK("https://klasma.github.io/Logging_0562/tillsynsmail/A 34220-2025 tillsynsbegäran mail.docx", "A 34220-2025")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46255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46255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46255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46255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46255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46255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46255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46255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43167-2021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46255</v>
      </c>
      <c r="F69" t="inlineStr">
        <is>
          <t>ÖSTERGÖTLANDS LÄN</t>
        </is>
      </c>
      <c r="G69" t="inlineStr">
        <is>
          <t>FINSPÅNG</t>
        </is>
      </c>
      <c r="I69" t="n">
        <v>6.9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Lopplummer (aggregat)</t>
        </is>
      </c>
      <c r="W69">
        <f>HYPERLINK("https://klasma.github.io/Logging_0562/artfynd/A 43167-2021 artfynd.xlsx", "A 43167-2021")</f>
        <v/>
      </c>
      <c r="X69">
        <f>HYPERLINK("https://klasma.github.io/Logging_0562/kartor/A 43167-2021 karta.png", "A 43167-2021")</f>
        <v/>
      </c>
      <c r="Y69">
        <f>HYPERLINK("https://klasma.github.io/Logging_0562/kartor_geotiff/A 43167-2021 georefererad karta.tif", "A 43167-2021")</f>
        <v/>
      </c>
      <c r="AA69">
        <f>HYPERLINK("https://klasma.github.io/Logging_0562/klagomål/A 43167-2021 FSC-klagomål.docx", "A 43167-2021")</f>
        <v/>
      </c>
      <c r="AB69">
        <f>HYPERLINK("https://klasma.github.io/Logging_0562/klagomålsmail/A 43167-2021 FSC-klagomål mail.docx", "A 43167-2021")</f>
        <v/>
      </c>
      <c r="AC69">
        <f>HYPERLINK("https://klasma.github.io/Logging_0562/tillsyn/A 43167-2021 tillsynsbegäran.docx", "A 43167-2021")</f>
        <v/>
      </c>
      <c r="AD69">
        <f>HYPERLINK("https://klasma.github.io/Logging_0562/tillsynsmail/A 43167-2021 tillsynsbegäran mail.docx", "A 43167-2021")</f>
        <v/>
      </c>
    </row>
    <row r="70" ht="15" customHeight="1">
      <c r="A70" t="inlineStr">
        <is>
          <t>A 43166-2021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46255</v>
      </c>
      <c r="F70" t="inlineStr">
        <is>
          <t>ÖSTERGÖTLANDS LÄN</t>
        </is>
      </c>
      <c r="G70" t="inlineStr">
        <is>
          <t>FINSPÅNG</t>
        </is>
      </c>
      <c r="I70" t="n">
        <v>6.3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Plattlummer</t>
        </is>
      </c>
      <c r="W70">
        <f>HYPERLINK("https://klasma.github.io/Logging_0562/artfynd/A 43166-2021 artfynd.xlsx", "A 43166-2021")</f>
        <v/>
      </c>
      <c r="X70">
        <f>HYPERLINK("https://klasma.github.io/Logging_0562/kartor/A 43166-2021 karta.png", "A 43166-2021")</f>
        <v/>
      </c>
      <c r="Y70">
        <f>HYPERLINK("https://klasma.github.io/Logging_0562/kartor_geotiff/A 43166-2021 georefererad karta.tif", "A 43166-2021")</f>
        <v/>
      </c>
      <c r="AA70">
        <f>HYPERLINK("https://klasma.github.io/Logging_0562/klagomål/A 43166-2021 FSC-klagomål.docx", "A 43166-2021")</f>
        <v/>
      </c>
      <c r="AB70">
        <f>HYPERLINK("https://klasma.github.io/Logging_0562/klagomålsmail/A 43166-2021 FSC-klagomål mail.docx", "A 43166-2021")</f>
        <v/>
      </c>
      <c r="AC70">
        <f>HYPERLINK("https://klasma.github.io/Logging_0562/tillsyn/A 43166-2021 tillsynsbegäran.docx", "A 43166-2021")</f>
        <v/>
      </c>
      <c r="AD70">
        <f>HYPERLINK("https://klasma.github.io/Logging_0562/tillsynsmail/A 43166-2021 tillsynsbegäran mail.docx", "A 43166-2021")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46255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18915-2026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46129</v>
      </c>
      <c r="E72" s="1" t="n">
        <v>46255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6.1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Havsörn</t>
        </is>
      </c>
      <c r="W72">
        <f>HYPERLINK("https://klasma.github.io/Logging_0562/artfynd/A 18915-2026 artfynd.xlsx", "A 18915-2026")</f>
        <v/>
      </c>
      <c r="X72">
        <f>HYPERLINK("https://klasma.github.io/Logging_0562/kartor/A 18915-2026 karta.png", "A 18915-2026")</f>
        <v/>
      </c>
      <c r="Y72">
        <f>HYPERLINK("https://klasma.github.io/Logging_0562/kartor_geotiff/A 18915-2026 georefererad karta.tif", "A 18915-2026")</f>
        <v/>
      </c>
      <c r="AA72">
        <f>HYPERLINK("https://klasma.github.io/Logging_0562/klagomål/A 18915-2026 FSC-klagomål.docx", "A 18915-2026")</f>
        <v/>
      </c>
      <c r="AB72">
        <f>HYPERLINK("https://klasma.github.io/Logging_0562/klagomålsmail/A 18915-2026 FSC-klagomål mail.docx", "A 18915-2026")</f>
        <v/>
      </c>
      <c r="AC72">
        <f>HYPERLINK("https://klasma.github.io/Logging_0562/tillsyn/A 18915-2026 tillsynsbegäran.docx", "A 18915-2026")</f>
        <v/>
      </c>
      <c r="AD72">
        <f>HYPERLINK("https://klasma.github.io/Logging_0562/tillsynsmail/A 18915-2026 tillsynsbegäran mail.docx", "A 18915-2026")</f>
        <v/>
      </c>
      <c r="AE72">
        <f>HYPERLINK("https://klasma.github.io/Logging_0562/fåglar/A 18915-2026 prioriterade fågelarter.docx", "A 18915-2026")</f>
        <v/>
      </c>
    </row>
    <row r="73" ht="15" customHeight="1">
      <c r="A73" t="inlineStr">
        <is>
          <t>A 7265-2026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46058</v>
      </c>
      <c r="E73" s="1" t="n">
        <v>46255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Övriga Aktiebolag</t>
        </is>
      </c>
      <c r="I73" t="n">
        <v>2.2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Havsörn</t>
        </is>
      </c>
      <c r="W73">
        <f>HYPERLINK("https://klasma.github.io/Logging_0562/artfynd/A 7265-2026 artfynd.xlsx", "A 7265-2026")</f>
        <v/>
      </c>
      <c r="X73">
        <f>HYPERLINK("https://klasma.github.io/Logging_0562/kartor/A 7265-2026 karta.png", "A 7265-2026")</f>
        <v/>
      </c>
      <c r="Y73">
        <f>HYPERLINK("https://klasma.github.io/Logging_0562/kartor_geotiff/A 7265-2026 georefererad karta.tif", "A 7265-2026")</f>
        <v/>
      </c>
      <c r="AA73">
        <f>HYPERLINK("https://klasma.github.io/Logging_0562/klagomål/A 7265-2026 FSC-klagomål.docx", "A 7265-2026")</f>
        <v/>
      </c>
      <c r="AB73">
        <f>HYPERLINK("https://klasma.github.io/Logging_0562/klagomålsmail/A 7265-2026 FSC-klagomål mail.docx", "A 7265-2026")</f>
        <v/>
      </c>
      <c r="AC73">
        <f>HYPERLINK("https://klasma.github.io/Logging_0562/tillsyn/A 7265-2026 tillsynsbegäran.docx", "A 7265-2026")</f>
        <v/>
      </c>
      <c r="AD73">
        <f>HYPERLINK("https://klasma.github.io/Logging_0562/tillsynsmail/A 7265-2026 tillsynsbegäran mail.docx", "A 7265-2026")</f>
        <v/>
      </c>
      <c r="AE73">
        <f>HYPERLINK("https://klasma.github.io/Logging_0562/fåglar/A 7265-2026 prioriterade fågelarter.docx", "A 7265-2026")</f>
        <v/>
      </c>
    </row>
    <row r="74" ht="15" customHeight="1">
      <c r="A74" t="inlineStr">
        <is>
          <t>A 3941-2026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46255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1.7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Trana</t>
        </is>
      </c>
      <c r="W74">
        <f>HYPERLINK("https://klasma.github.io/Logging_0562/artfynd/A 3941-2026 artfynd.xlsx", "A 3941-2026")</f>
        <v/>
      </c>
      <c r="X74">
        <f>HYPERLINK("https://klasma.github.io/Logging_0562/kartor/A 3941-2026 karta.png", "A 3941-2026")</f>
        <v/>
      </c>
      <c r="Y74">
        <f>HYPERLINK("https://klasma.github.io/Logging_0562/kartor_geotiff/A 3941-2026 georefererad karta.tif", "A 3941-2026")</f>
        <v/>
      </c>
      <c r="AA74">
        <f>HYPERLINK("https://klasma.github.io/Logging_0562/klagomål/A 3941-2026 FSC-klagomål.docx", "A 3941-2026")</f>
        <v/>
      </c>
      <c r="AB74">
        <f>HYPERLINK("https://klasma.github.io/Logging_0562/klagomålsmail/A 3941-2026 FSC-klagomål mail.docx", "A 3941-2026")</f>
        <v/>
      </c>
      <c r="AC74">
        <f>HYPERLINK("https://klasma.github.io/Logging_0562/tillsyn/A 3941-2026 tillsynsbegäran.docx", "A 3941-2026")</f>
        <v/>
      </c>
      <c r="AD74">
        <f>HYPERLINK("https://klasma.github.io/Logging_0562/tillsynsmail/A 3941-2026 tillsynsbegäran mail.docx", "A 3941-2026")</f>
        <v/>
      </c>
      <c r="AE74">
        <f>HYPERLINK("https://klasma.github.io/Logging_0562/fåglar/A 3941-2026 prioriterade fågelarter.docx", "A 3941-2026")</f>
        <v/>
      </c>
    </row>
    <row r="75" ht="15" customHeight="1">
      <c r="A75" t="inlineStr">
        <is>
          <t>A 22555-2024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46255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Hasselsnok</t>
        </is>
      </c>
      <c r="W75">
        <f>HYPERLINK("https://klasma.github.io/Logging_0562/artfynd/A 22555-2024 artfynd.xlsx", "A 22555-2024")</f>
        <v/>
      </c>
      <c r="X75">
        <f>HYPERLINK("https://klasma.github.io/Logging_0562/kartor/A 22555-2024 karta.png", "A 22555-2024")</f>
        <v/>
      </c>
      <c r="Y75">
        <f>HYPERLINK("https://klasma.github.io/Logging_0562/kartor_geotiff/A 22555-2024 georefererad karta.tif", "A 22555-2024")</f>
        <v/>
      </c>
      <c r="AA75">
        <f>HYPERLINK("https://klasma.github.io/Logging_0562/klagomål/A 22555-2024 FSC-klagomål.docx", "A 22555-2024")</f>
        <v/>
      </c>
      <c r="AB75">
        <f>HYPERLINK("https://klasma.github.io/Logging_0562/klagomålsmail/A 22555-2024 FSC-klagomål mail.docx", "A 22555-2024")</f>
        <v/>
      </c>
      <c r="AC75">
        <f>HYPERLINK("https://klasma.github.io/Logging_0562/tillsyn/A 22555-2024 tillsynsbegäran.docx", "A 22555-2024")</f>
        <v/>
      </c>
      <c r="AD75">
        <f>HYPERLINK("https://klasma.github.io/Logging_0562/tillsynsmail/A 22555-2024 tillsynsbegäran mail.docx", "A 22555-2024")</f>
        <v/>
      </c>
    </row>
    <row r="76" ht="15" customHeight="1">
      <c r="A76" t="inlineStr">
        <is>
          <t>A 36128-2023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46255</v>
      </c>
      <c r="F76" t="inlineStr">
        <is>
          <t>ÖSTERGÖTLANDS LÄN</t>
        </is>
      </c>
      <c r="G76" t="inlineStr">
        <is>
          <t>FINSPÅNG</t>
        </is>
      </c>
      <c r="I76" t="n">
        <v>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Talltita</t>
        </is>
      </c>
      <c r="W76">
        <f>HYPERLINK("https://klasma.github.io/Logging_0562/artfynd/A 36128-2023 artfynd.xlsx", "A 36128-2023")</f>
        <v/>
      </c>
      <c r="X76">
        <f>HYPERLINK("https://klasma.github.io/Logging_0562/kartor/A 36128-2023 karta.png", "A 36128-2023")</f>
        <v/>
      </c>
      <c r="Y76">
        <f>HYPERLINK("https://klasma.github.io/Logging_0562/kartor_geotiff/A 36128-2023 georefererad karta.tif", "A 36128-2023")</f>
        <v/>
      </c>
      <c r="AA76">
        <f>HYPERLINK("https://klasma.github.io/Logging_0562/klagomål/A 36128-2023 FSC-klagomål.docx", "A 36128-2023")</f>
        <v/>
      </c>
      <c r="AB76">
        <f>HYPERLINK("https://klasma.github.io/Logging_0562/klagomålsmail/A 36128-2023 FSC-klagomål mail.docx", "A 36128-2023")</f>
        <v/>
      </c>
      <c r="AC76">
        <f>HYPERLINK("https://klasma.github.io/Logging_0562/tillsyn/A 36128-2023 tillsynsbegäran.docx", "A 36128-2023")</f>
        <v/>
      </c>
      <c r="AD76">
        <f>HYPERLINK("https://klasma.github.io/Logging_0562/tillsynsmail/A 36128-2023 tillsynsbegäran mail.docx", "A 36128-2023")</f>
        <v/>
      </c>
      <c r="AE76">
        <f>HYPERLINK("https://klasma.github.io/Logging_0562/fåglar/A 36128-2023 prioriterade fågelarter.docx", "A 36128-2023")</f>
        <v/>
      </c>
    </row>
    <row r="77" ht="15" customHeight="1">
      <c r="A77" t="inlineStr">
        <is>
          <t>A 53265-2023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46255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HYPERLINK("https://klasma.github.io/Logging_0562/artfynd/A 53265-2023 artfynd.xlsx", "A 53265-2023")</f>
        <v/>
      </c>
      <c r="X77">
        <f>HYPERLINK("https://klasma.github.io/Logging_0562/kartor/A 53265-2023 karta.png", "A 53265-2023")</f>
        <v/>
      </c>
      <c r="Y77">
        <f>HYPERLINK("https://klasma.github.io/Logging_0562/kartor_geotiff/A 53265-2023 georefererad karta.tif", "A 53265-2023")</f>
        <v/>
      </c>
      <c r="AA77">
        <f>HYPERLINK("https://klasma.github.io/Logging_0562/klagomål/A 53265-2023 FSC-klagomål.docx", "A 53265-2023")</f>
        <v/>
      </c>
      <c r="AB77">
        <f>HYPERLINK("https://klasma.github.io/Logging_0562/klagomålsmail/A 53265-2023 FSC-klagomål mail.docx", "A 53265-2023")</f>
        <v/>
      </c>
      <c r="AC77">
        <f>HYPERLINK("https://klasma.github.io/Logging_0562/tillsyn/A 53265-2023 tillsynsbegäran.docx", "A 53265-2023")</f>
        <v/>
      </c>
      <c r="AD77">
        <f>HYPERLINK("https://klasma.github.io/Logging_0562/tillsynsmail/A 53265-2023 tillsynsbegäran mail.docx", "A 53265-2023")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46255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HYPERLINK("https://klasma.github.io/Logging_0562/artfynd/A 1177-2024 artfynd.xlsx", "A 1177-2024")</f>
        <v/>
      </c>
      <c r="X78">
        <f>HYPERLINK("https://klasma.github.io/Logging_0562/kartor/A 1177-2024 karta.png", "A 1177-2024")</f>
        <v/>
      </c>
      <c r="Y78">
        <f>HYPERLINK("https://klasma.github.io/Logging_0562/kartor_geotiff/A 1177-2024 georefererad karta.tif", "A 1177-2024")</f>
        <v/>
      </c>
      <c r="Z78">
        <f>HYPERLINK("https://klasma.github.io/Logging_0562/knärot/A 1177-2024 karta knärot.png", "A 1177-2024")</f>
        <v/>
      </c>
      <c r="AA78">
        <f>HYPERLINK("https://klasma.github.io/Logging_0562/klagomål/A 1177-2024 FSC-klagomål.docx", "A 1177-2024")</f>
        <v/>
      </c>
      <c r="AB78">
        <f>HYPERLINK("https://klasma.github.io/Logging_0562/klagomålsmail/A 1177-2024 FSC-klagomål mail.docx", "A 1177-2024")</f>
        <v/>
      </c>
      <c r="AC78">
        <f>HYPERLINK("https://klasma.github.io/Logging_0562/tillsyn/A 1177-2024 tillsynsbegäran.docx", "A 1177-2024")</f>
        <v/>
      </c>
      <c r="AD78">
        <f>HYPERLINK("https://klasma.github.io/Logging_0562/tillsynsmail/A 1177-2024 tillsynsbegäran mail.docx", "A 1177-2024")</f>
        <v/>
      </c>
    </row>
    <row r="79" ht="15" customHeight="1">
      <c r="A79" t="inlineStr">
        <is>
          <t>A 22587-2026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46155</v>
      </c>
      <c r="E79" s="1" t="n">
        <v>46255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HYPERLINK("https://klasma.github.io/Logging_0562/artfynd/A 22587-2026 artfynd.xlsx", "A 22587-2026")</f>
        <v/>
      </c>
      <c r="X79">
        <f>HYPERLINK("https://klasma.github.io/Logging_0562/kartor/A 22587-2026 karta.png", "A 22587-2026")</f>
        <v/>
      </c>
      <c r="Y79">
        <f>HYPERLINK("https://klasma.github.io/Logging_0562/kartor_geotiff/A 22587-2026 georefererad karta.tif", "A 22587-2026")</f>
        <v/>
      </c>
      <c r="AA79">
        <f>HYPERLINK("https://klasma.github.io/Logging_0562/klagomål/A 22587-2026 FSC-klagomål.docx", "A 22587-2026")</f>
        <v/>
      </c>
      <c r="AB79">
        <f>HYPERLINK("https://klasma.github.io/Logging_0562/klagomålsmail/A 22587-2026 FSC-klagomål mail.docx", "A 22587-2026")</f>
        <v/>
      </c>
      <c r="AC79">
        <f>HYPERLINK("https://klasma.github.io/Logging_0562/tillsyn/A 22587-2026 tillsynsbegäran.docx", "A 22587-2026")</f>
        <v/>
      </c>
      <c r="AD79">
        <f>HYPERLINK("https://klasma.github.io/Logging_0562/tillsynsmail/A 22587-2026 tillsynsbegäran mail.docx", "A 22587-2026")</f>
        <v/>
      </c>
      <c r="AE79">
        <f>HYPERLINK("https://klasma.github.io/Logging_0562/fåglar/A 22587-2026 prioriterade fågelarter.docx", "A 22587-2026")</f>
        <v/>
      </c>
    </row>
    <row r="80" ht="15" customHeight="1">
      <c r="A80" t="inlineStr">
        <is>
          <t>A 40385-2024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45555</v>
      </c>
      <c r="E80" s="1" t="n">
        <v>46255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HYPERLINK("https://klasma.github.io/Logging_0562/artfynd/A 40385-2024 artfynd.xlsx", "A 40385-2024")</f>
        <v/>
      </c>
      <c r="X80">
        <f>HYPERLINK("https://klasma.github.io/Logging_0562/kartor/A 40385-2024 karta.png", "A 40385-2024")</f>
        <v/>
      </c>
      <c r="Y80">
        <f>HYPERLINK("https://klasma.github.io/Logging_0562/kartor_geotiff/A 40385-2024 georefererad karta.tif", "A 40385-2024")</f>
        <v/>
      </c>
      <c r="AA80">
        <f>HYPERLINK("https://klasma.github.io/Logging_0562/klagomål/A 40385-2024 FSC-klagomål.docx", "A 40385-2024")</f>
        <v/>
      </c>
      <c r="AB80">
        <f>HYPERLINK("https://klasma.github.io/Logging_0562/klagomålsmail/A 40385-2024 FSC-klagomål mail.docx", "A 40385-2024")</f>
        <v/>
      </c>
      <c r="AC80">
        <f>HYPERLINK("https://klasma.github.io/Logging_0562/tillsyn/A 40385-2024 tillsynsbegäran.docx", "A 40385-2024")</f>
        <v/>
      </c>
      <c r="AD80">
        <f>HYPERLINK("https://klasma.github.io/Logging_0562/tillsynsmail/A 40385-2024 tillsynsbegäran mail.docx", "A 40385-2024")</f>
        <v/>
      </c>
      <c r="AE80">
        <f>HYPERLINK("https://klasma.github.io/Logging_0562/fåglar/A 40385-2024 prioriterade fågelarter.docx", "A 40385-2024")</f>
        <v/>
      </c>
    </row>
    <row r="81" ht="15" customHeight="1">
      <c r="A81" t="inlineStr">
        <is>
          <t>A 61695-2021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44501</v>
      </c>
      <c r="E81" s="1" t="n">
        <v>46255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Kornknutmossa</t>
        </is>
      </c>
      <c r="W81">
        <f>HYPERLINK("https://klasma.github.io/Logging_0562/artfynd/A 61695-2021 artfynd.xlsx", "A 61695-2021")</f>
        <v/>
      </c>
      <c r="X81">
        <f>HYPERLINK("https://klasma.github.io/Logging_0562/kartor/A 61695-2021 karta.png", "A 61695-2021")</f>
        <v/>
      </c>
      <c r="Y81">
        <f>HYPERLINK("https://klasma.github.io/Logging_0562/kartor_geotiff/A 61695-2021 georefererad karta.tif", "A 61695-2021")</f>
        <v/>
      </c>
      <c r="AA81">
        <f>HYPERLINK("https://klasma.github.io/Logging_0562/klagomål/A 61695-2021 FSC-klagomål.docx", "A 61695-2021")</f>
        <v/>
      </c>
      <c r="AB81">
        <f>HYPERLINK("https://klasma.github.io/Logging_0562/klagomålsmail/A 61695-2021 FSC-klagomål mail.docx", "A 61695-2021")</f>
        <v/>
      </c>
      <c r="AC81">
        <f>HYPERLINK("https://klasma.github.io/Logging_0562/tillsyn/A 61695-2021 tillsynsbegäran.docx", "A 61695-2021")</f>
        <v/>
      </c>
      <c r="AD81">
        <f>HYPERLINK("https://klasma.github.io/Logging_0562/tillsynsmail/A 61695-2021 tillsynsbegäran mail.docx", "A 61695-2021")</f>
        <v/>
      </c>
    </row>
    <row r="82" ht="15" customHeight="1">
      <c r="A82" t="inlineStr">
        <is>
          <t>A 663-2023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44930</v>
      </c>
      <c r="E82" s="1" t="n">
        <v>46255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HYPERLINK("https://klasma.github.io/Logging_0562/artfynd/A 663-2023 artfynd.xlsx", "A 663-2023")</f>
        <v/>
      </c>
      <c r="X82">
        <f>HYPERLINK("https://klasma.github.io/Logging_0562/kartor/A 663-2023 karta.png", "A 663-2023")</f>
        <v/>
      </c>
      <c r="Y82">
        <f>HYPERLINK("https://klasma.github.io/Logging_0562/kartor_geotiff/A 663-2023 georefererad karta.tif", "A 663-2023")</f>
        <v/>
      </c>
      <c r="AA82">
        <f>HYPERLINK("https://klasma.github.io/Logging_0562/klagomål/A 663-2023 FSC-klagomål.docx", "A 663-2023")</f>
        <v/>
      </c>
      <c r="AB82">
        <f>HYPERLINK("https://klasma.github.io/Logging_0562/klagomålsmail/A 663-2023 FSC-klagomål mail.docx", "A 663-2023")</f>
        <v/>
      </c>
      <c r="AC82">
        <f>HYPERLINK("https://klasma.github.io/Logging_0562/tillsyn/A 663-2023 tillsynsbegäran.docx", "A 663-2023")</f>
        <v/>
      </c>
      <c r="AD82">
        <f>HYPERLINK("https://klasma.github.io/Logging_0562/tillsynsmail/A 663-2023 tillsynsbegäran mail.docx", "A 663-2023")</f>
        <v/>
      </c>
    </row>
    <row r="83" ht="15" customHeight="1">
      <c r="A83" t="inlineStr">
        <is>
          <t>A 25942-2026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46255</v>
      </c>
      <c r="F83" t="inlineStr">
        <is>
          <t>ÖSTERGÖTLANDS LÄN</t>
        </is>
      </c>
      <c r="G83" t="inlineStr">
        <is>
          <t>FINSPÅNG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Motaggsvamp</t>
        </is>
      </c>
      <c r="W83">
        <f>HYPERLINK("https://klasma.github.io/Logging_0562/artfynd/A 25942-2026 artfynd.xlsx", "A 25942-2026")</f>
        <v/>
      </c>
      <c r="X83">
        <f>HYPERLINK("https://klasma.github.io/Logging_0562/kartor/A 25942-2026 karta.png", "A 25942-2026")</f>
        <v/>
      </c>
      <c r="Y83">
        <f>HYPERLINK("https://klasma.github.io/Logging_0562/kartor_geotiff/A 25942-2026 georefererad karta.tif", "A 25942-2026")</f>
        <v/>
      </c>
      <c r="AA83">
        <f>HYPERLINK("https://klasma.github.io/Logging_0562/klagomål/A 25942-2026 FSC-klagomål.docx", "A 25942-2026")</f>
        <v/>
      </c>
      <c r="AB83">
        <f>HYPERLINK("https://klasma.github.io/Logging_0562/klagomålsmail/A 25942-2026 FSC-klagomål mail.docx", "A 25942-2026")</f>
        <v/>
      </c>
      <c r="AC83">
        <f>HYPERLINK("https://klasma.github.io/Logging_0562/tillsyn/A 25942-2026 tillsynsbegäran.docx", "A 25942-2026")</f>
        <v/>
      </c>
      <c r="AD83">
        <f>HYPERLINK("https://klasma.github.io/Logging_0562/tillsynsmail/A 25942-2026 tillsynsbegäran mail.docx", "A 25942-2026")</f>
        <v/>
      </c>
    </row>
    <row r="84" ht="15" customHeight="1">
      <c r="A84" t="inlineStr">
        <is>
          <t>A 59061-2024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46255</v>
      </c>
      <c r="F84" t="inlineStr">
        <is>
          <t>ÖSTERGÖTLANDS LÄN</t>
        </is>
      </c>
      <c r="G84" t="inlineStr">
        <is>
          <t>FINSPÅNG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Ängsnycklar</t>
        </is>
      </c>
      <c r="W84">
        <f>HYPERLINK("https://klasma.github.io/Logging_0562/artfynd/A 59061-2024 artfynd.xlsx", "A 59061-2024")</f>
        <v/>
      </c>
      <c r="X84">
        <f>HYPERLINK("https://klasma.github.io/Logging_0562/kartor/A 59061-2024 karta.png", "A 59061-2024")</f>
        <v/>
      </c>
      <c r="Y84">
        <f>HYPERLINK("https://klasma.github.io/Logging_0562/kartor_geotiff/A 59061-2024 georefererad karta.tif", "A 59061-2024")</f>
        <v/>
      </c>
      <c r="AA84">
        <f>HYPERLINK("https://klasma.github.io/Logging_0562/klagomål/A 59061-2024 FSC-klagomål.docx", "A 59061-2024")</f>
        <v/>
      </c>
      <c r="AB84">
        <f>HYPERLINK("https://klasma.github.io/Logging_0562/klagomålsmail/A 59061-2024 FSC-klagomål mail.docx", "A 59061-2024")</f>
        <v/>
      </c>
      <c r="AC84">
        <f>HYPERLINK("https://klasma.github.io/Logging_0562/tillsyn/A 59061-2024 tillsynsbegäran.docx", "A 59061-2024")</f>
        <v/>
      </c>
      <c r="AD84">
        <f>HYPERLINK("https://klasma.github.io/Logging_0562/tillsynsmail/A 59061-2024 tillsynsbegäran mail.docx", "A 59061-2024")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46255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27456-2026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46255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27456-2026 artfynd.xlsx", "A 27456-2026")</f>
        <v/>
      </c>
      <c r="X86">
        <f>HYPERLINK("https://klasma.github.io/Logging_0562/kartor/A 27456-2026 karta.png", "A 27456-2026")</f>
        <v/>
      </c>
      <c r="Y86">
        <f>HYPERLINK("https://klasma.github.io/Logging_0562/kartor_geotiff/A 27456-2026 georefererad karta.tif", "A 27456-2026")</f>
        <v/>
      </c>
      <c r="AA86">
        <f>HYPERLINK("https://klasma.github.io/Logging_0562/klagomål/A 27456-2026 FSC-klagomål.docx", "A 27456-2026")</f>
        <v/>
      </c>
      <c r="AB86">
        <f>HYPERLINK("https://klasma.github.io/Logging_0562/klagomålsmail/A 27456-2026 FSC-klagomål mail.docx", "A 27456-2026")</f>
        <v/>
      </c>
      <c r="AC86">
        <f>HYPERLINK("https://klasma.github.io/Logging_0562/tillsyn/A 27456-2026 tillsynsbegäran.docx", "A 27456-2026")</f>
        <v/>
      </c>
      <c r="AD86">
        <f>HYPERLINK("https://klasma.github.io/Logging_0562/tillsynsmail/A 27456-2026 tillsynsbegäran mail.docx", "A 27456-2026")</f>
        <v/>
      </c>
    </row>
    <row r="87" ht="15" customHeight="1">
      <c r="A87" t="inlineStr">
        <is>
          <t>A 24411-2023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45082</v>
      </c>
      <c r="E87" s="1" t="n">
        <v>46255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Blåmossa</t>
        </is>
      </c>
      <c r="W87">
        <f>HYPERLINK("https://klasma.github.io/Logging_0562/artfynd/A 24411-2023 artfynd.xlsx", "A 24411-2023")</f>
        <v/>
      </c>
      <c r="X87">
        <f>HYPERLINK("https://klasma.github.io/Logging_0562/kartor/A 24411-2023 karta.png", "A 24411-2023")</f>
        <v/>
      </c>
      <c r="Y87">
        <f>HYPERLINK("https://klasma.github.io/Logging_0562/kartor_geotiff/A 24411-2023 georefererad karta.tif", "A 24411-2023")</f>
        <v/>
      </c>
      <c r="AA87">
        <f>HYPERLINK("https://klasma.github.io/Logging_0562/klagomål/A 24411-2023 FSC-klagomål.docx", "A 24411-2023")</f>
        <v/>
      </c>
      <c r="AB87">
        <f>HYPERLINK("https://klasma.github.io/Logging_0562/klagomålsmail/A 24411-2023 FSC-klagomål mail.docx", "A 24411-2023")</f>
        <v/>
      </c>
      <c r="AC87">
        <f>HYPERLINK("https://klasma.github.io/Logging_0562/tillsyn/A 24411-2023 tillsynsbegäran.docx", "A 24411-2023")</f>
        <v/>
      </c>
      <c r="AD87">
        <f>HYPERLINK("https://klasma.github.io/Logging_0562/tillsynsmail/A 24411-2023 tillsynsbegäran mail.docx", "A 24411-2023")</f>
        <v/>
      </c>
    </row>
    <row r="88" ht="15" customHeight="1">
      <c r="A88" t="inlineStr">
        <is>
          <t>A 15123-2025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45744</v>
      </c>
      <c r="E88" s="1" t="n">
        <v>46255</v>
      </c>
      <c r="F88" t="inlineStr">
        <is>
          <t>ÖSTERGÖTLANDS LÄN</t>
        </is>
      </c>
      <c r="G88" t="inlineStr">
        <is>
          <t>FINSPÅNG</t>
        </is>
      </c>
      <c r="H88" t="inlineStr">
        <is>
          <t>Naturvårdsverket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HYPERLINK("https://klasma.github.io/Logging_0562/artfynd/A 15123-2025 artfynd.xlsx", "A 15123-2025")</f>
        <v/>
      </c>
      <c r="X88">
        <f>HYPERLINK("https://klasma.github.io/Logging_0562/kartor/A 15123-2025 karta.png", "A 15123-2025")</f>
        <v/>
      </c>
      <c r="Y88">
        <f>HYPERLINK("https://klasma.github.io/Logging_0562/kartor_geotiff/A 15123-2025 georefererad karta.tif", "A 15123-2025")</f>
        <v/>
      </c>
      <c r="AA88">
        <f>HYPERLINK("https://klasma.github.io/Logging_0562/klagomål/A 15123-2025 FSC-klagomål.docx", "A 15123-2025")</f>
        <v/>
      </c>
      <c r="AB88">
        <f>HYPERLINK("https://klasma.github.io/Logging_0562/klagomålsmail/A 15123-2025 FSC-klagomål mail.docx", "A 15123-2025")</f>
        <v/>
      </c>
      <c r="AC88">
        <f>HYPERLINK("https://klasma.github.io/Logging_0562/tillsyn/A 15123-2025 tillsynsbegäran.docx", "A 15123-2025")</f>
        <v/>
      </c>
      <c r="AD88">
        <f>HYPERLINK("https://klasma.github.io/Logging_0562/tillsynsmail/A 15123-2025 tillsynsbegäran mail.docx", "A 15123-2025")</f>
        <v/>
      </c>
      <c r="AE88">
        <f>HYPERLINK("https://klasma.github.io/Logging_0562/fåglar/A 15123-2025 prioriterade fågelarter.docx", "A 15123-2025")</f>
        <v/>
      </c>
    </row>
    <row r="89" ht="15" customHeight="1">
      <c r="A89" t="inlineStr">
        <is>
          <t>A 22259-2024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46255</v>
      </c>
      <c r="F89" t="inlineStr">
        <is>
          <t>ÖSTERGÖTLANDS LÄN</t>
        </is>
      </c>
      <c r="G89" t="inlineStr">
        <is>
          <t>FINSPÅNG</t>
        </is>
      </c>
      <c r="I89" t="n">
        <v>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Gullklöver</t>
        </is>
      </c>
      <c r="W89">
        <f>HYPERLINK("https://klasma.github.io/Logging_0562/artfynd/A 22259-2024 artfynd.xlsx", "A 22259-2024")</f>
        <v/>
      </c>
      <c r="X89">
        <f>HYPERLINK("https://klasma.github.io/Logging_0562/kartor/A 22259-2024 karta.png", "A 22259-2024")</f>
        <v/>
      </c>
      <c r="Y89">
        <f>HYPERLINK("https://klasma.github.io/Logging_0562/kartor_geotiff/A 22259-2024 georefererad karta.tif", "A 22259-2024")</f>
        <v/>
      </c>
      <c r="AA89">
        <f>HYPERLINK("https://klasma.github.io/Logging_0562/klagomål/A 22259-2024 FSC-klagomål.docx", "A 22259-2024")</f>
        <v/>
      </c>
      <c r="AB89">
        <f>HYPERLINK("https://klasma.github.io/Logging_0562/klagomålsmail/A 22259-2024 FSC-klagomål mail.docx", "A 22259-2024")</f>
        <v/>
      </c>
      <c r="AC89">
        <f>HYPERLINK("https://klasma.github.io/Logging_0562/tillsyn/A 22259-2024 tillsynsbegäran.docx", "A 22259-2024")</f>
        <v/>
      </c>
      <c r="AD89">
        <f>HYPERLINK("https://klasma.github.io/Logging_0562/tillsynsmail/A 22259-2024 tillsynsbegäran mail.docx", "A 22259-2024")</f>
        <v/>
      </c>
    </row>
    <row r="90" ht="15" customHeight="1">
      <c r="A90" t="inlineStr">
        <is>
          <t>A 42947-2024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45567</v>
      </c>
      <c r="E90" s="1" t="n">
        <v>46255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0.5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42947-2024 artfynd.xlsx", "A 42947-2024")</f>
        <v/>
      </c>
      <c r="X90">
        <f>HYPERLINK("https://klasma.github.io/Logging_0562/kartor/A 42947-2024 karta.png", "A 42947-2024")</f>
        <v/>
      </c>
      <c r="Y90">
        <f>HYPERLINK("https://klasma.github.io/Logging_0562/kartor_geotiff/A 42947-2024 georefererad karta.tif", "A 42947-2024")</f>
        <v/>
      </c>
      <c r="Z90">
        <f>HYPERLINK("https://klasma.github.io/Logging_0562/knärot/A 42947-2024 karta knärot.png", "A 42947-2024")</f>
        <v/>
      </c>
      <c r="AA90">
        <f>HYPERLINK("https://klasma.github.io/Logging_0562/klagomål/A 42947-2024 FSC-klagomål.docx", "A 42947-2024")</f>
        <v/>
      </c>
      <c r="AB90">
        <f>HYPERLINK("https://klasma.github.io/Logging_0562/klagomålsmail/A 42947-2024 FSC-klagomål mail.docx", "A 42947-2024")</f>
        <v/>
      </c>
      <c r="AC90">
        <f>HYPERLINK("https://klasma.github.io/Logging_0562/tillsyn/A 42947-2024 tillsynsbegäran.docx", "A 42947-2024")</f>
        <v/>
      </c>
      <c r="AD90">
        <f>HYPERLINK("https://klasma.github.io/Logging_0562/tillsynsmail/A 42947-2024 tillsynsbegäran mail.docx", "A 42947-2024")</f>
        <v/>
      </c>
    </row>
    <row r="91" ht="15" customHeight="1">
      <c r="A91" t="inlineStr">
        <is>
          <t>A 27861-2025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46255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3.1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HYPERLINK("https://klasma.github.io/Logging_0562/artfynd/A 27861-2025 artfynd.xlsx", "A 27861-2025")</f>
        <v/>
      </c>
      <c r="X91">
        <f>HYPERLINK("https://klasma.github.io/Logging_0562/kartor/A 27861-2025 karta.png", "A 27861-2025")</f>
        <v/>
      </c>
      <c r="Y91">
        <f>HYPERLINK("https://klasma.github.io/Logging_0562/kartor_geotiff/A 27861-2025 georefererad karta.tif", "A 27861-2025")</f>
        <v/>
      </c>
      <c r="AA91">
        <f>HYPERLINK("https://klasma.github.io/Logging_0562/klagomål/A 27861-2025 FSC-klagomål.docx", "A 27861-2025")</f>
        <v/>
      </c>
      <c r="AB91">
        <f>HYPERLINK("https://klasma.github.io/Logging_0562/klagomålsmail/A 27861-2025 FSC-klagomål mail.docx", "A 27861-2025")</f>
        <v/>
      </c>
      <c r="AC91">
        <f>HYPERLINK("https://klasma.github.io/Logging_0562/tillsyn/A 27861-2025 tillsynsbegäran.docx", "A 27861-2025")</f>
        <v/>
      </c>
      <c r="AD91">
        <f>HYPERLINK("https://klasma.github.io/Logging_0562/tillsynsmail/A 27861-2025 tillsynsbegäran mail.docx", "A 27861-2025")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46255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46255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46255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46255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46255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46255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46255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46255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46255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46255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46255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46255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46255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46255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44438</v>
      </c>
      <c r="E106" s="1" t="n">
        <v>46255</v>
      </c>
      <c r="F106" t="inlineStr">
        <is>
          <t>ÖSTERGÖTLANDS LÄN</t>
        </is>
      </c>
      <c r="G106" t="inlineStr">
        <is>
          <t>FINSPÅNG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46255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46255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46255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46255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46255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46255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46255</v>
      </c>
      <c r="F113" t="inlineStr">
        <is>
          <t>ÖSTERGÖTLANDS LÄN</t>
        </is>
      </c>
      <c r="G113" t="inlineStr">
        <is>
          <t>FINSPÅNG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68009-2021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46255</v>
      </c>
      <c r="F114" t="inlineStr">
        <is>
          <t>ÖSTERGÖTLANDS LÄN</t>
        </is>
      </c>
      <c r="G114" t="inlineStr">
        <is>
          <t>FINSPÅNG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46255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46255</v>
      </c>
      <c r="F116" t="inlineStr">
        <is>
          <t>ÖSTERGÖTLANDS LÄN</t>
        </is>
      </c>
      <c r="G116" t="inlineStr">
        <is>
          <t>FINSPÅNG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46255</v>
      </c>
      <c r="F117" t="inlineStr">
        <is>
          <t>ÖSTERGÖTLANDS LÄN</t>
        </is>
      </c>
      <c r="G117" t="inlineStr">
        <is>
          <t>FINSPÅNG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44588</v>
      </c>
      <c r="E118" s="1" t="n">
        <v>46255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44462</v>
      </c>
      <c r="E119" s="1" t="n">
        <v>46255</v>
      </c>
      <c r="F119" t="inlineStr">
        <is>
          <t>ÖSTERGÖTLANDS LÄN</t>
        </is>
      </c>
      <c r="G119" t="inlineStr">
        <is>
          <t>FINSPÅNG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46255</v>
      </c>
      <c r="F120" t="inlineStr">
        <is>
          <t>ÖSTERGÖTLANDS LÄN</t>
        </is>
      </c>
      <c r="G120" t="inlineStr">
        <is>
          <t>FINSPÅNG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46255</v>
      </c>
      <c r="F121" t="inlineStr">
        <is>
          <t>ÖSTERGÖTLANDS LÄN</t>
        </is>
      </c>
      <c r="G121" t="inlineStr">
        <is>
          <t>FINSPÅNG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46255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67767-2021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46255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46255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62445-2021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44503</v>
      </c>
      <c r="E125" s="1" t="n">
        <v>46255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44874</v>
      </c>
      <c r="E126" s="1" t="n">
        <v>46255</v>
      </c>
      <c r="F126" t="inlineStr">
        <is>
          <t>ÖSTERGÖTLANDS LÄN</t>
        </is>
      </c>
      <c r="G126" t="inlineStr">
        <is>
          <t>FINSPÅNG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46255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46255</v>
      </c>
      <c r="F128" t="inlineStr">
        <is>
          <t>ÖSTERGÖTLANDS LÄN</t>
        </is>
      </c>
      <c r="G128" t="inlineStr">
        <is>
          <t>FINSPÅNG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46255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46255</v>
      </c>
      <c r="F130" t="inlineStr">
        <is>
          <t>ÖSTERGÖTLANDS LÄN</t>
        </is>
      </c>
      <c r="G130" t="inlineStr">
        <is>
          <t>FINSPÅNG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46255</v>
      </c>
      <c r="F131" t="inlineStr">
        <is>
          <t>ÖSTERGÖTLANDS LÄN</t>
        </is>
      </c>
      <c r="G131" t="inlineStr">
        <is>
          <t>FINSPÅNG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44601</v>
      </c>
      <c r="E132" s="1" t="n">
        <v>46255</v>
      </c>
      <c r="F132" t="inlineStr">
        <is>
          <t>ÖSTERGÖTLANDS LÄN</t>
        </is>
      </c>
      <c r="G132" t="inlineStr">
        <is>
          <t>FINSPÅNG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46255</v>
      </c>
      <c r="F133" t="inlineStr">
        <is>
          <t>ÖSTERGÖTLANDS LÄN</t>
        </is>
      </c>
      <c r="G133" t="inlineStr">
        <is>
          <t>FINSPÅNG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46255</v>
      </c>
      <c r="F134" t="inlineStr">
        <is>
          <t>ÖSTERGÖTLANDS LÄN</t>
        </is>
      </c>
      <c r="G134" t="inlineStr">
        <is>
          <t>FINSPÅNG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46255</v>
      </c>
      <c r="F135" t="inlineStr">
        <is>
          <t>ÖSTERGÖTLANDS LÄN</t>
        </is>
      </c>
      <c r="G135" t="inlineStr">
        <is>
          <t>FINSPÅNG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46255</v>
      </c>
      <c r="F136" t="inlineStr">
        <is>
          <t>ÖSTERGÖTLANDS LÄN</t>
        </is>
      </c>
      <c r="G136" t="inlineStr">
        <is>
          <t>FINSPÅNG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51808-2021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44462</v>
      </c>
      <c r="E137" s="1" t="n">
        <v>46255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46255</v>
      </c>
      <c r="F138" t="inlineStr">
        <is>
          <t>ÖSTERGÖTLANDS LÄN</t>
        </is>
      </c>
      <c r="G138" t="inlineStr">
        <is>
          <t>FINSPÅNG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44782</v>
      </c>
      <c r="E139" s="1" t="n">
        <v>46255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46255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44741</v>
      </c>
      <c r="E141" s="1" t="n">
        <v>46255</v>
      </c>
      <c r="F141" t="inlineStr">
        <is>
          <t>ÖSTERGÖTLANDS LÄN</t>
        </is>
      </c>
      <c r="G141" t="inlineStr">
        <is>
          <t>FINSPÅNG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46255</v>
      </c>
      <c r="F142" t="inlineStr">
        <is>
          <t>ÖSTERGÖTLANDS LÄN</t>
        </is>
      </c>
      <c r="G142" t="inlineStr">
        <is>
          <t>FINSPÅNG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46255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44678</v>
      </c>
      <c r="E144" s="1" t="n">
        <v>46255</v>
      </c>
      <c r="F144" t="inlineStr">
        <is>
          <t>ÖSTERGÖTLANDS LÄN</t>
        </is>
      </c>
      <c r="G144" t="inlineStr">
        <is>
          <t>FINSPÅNG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46255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46255</v>
      </c>
      <c r="F146" t="inlineStr">
        <is>
          <t>ÖSTERGÖTLANDS LÄN</t>
        </is>
      </c>
      <c r="G146" t="inlineStr">
        <is>
          <t>FINSPÅNG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46255</v>
      </c>
      <c r="F147" t="inlineStr">
        <is>
          <t>ÖSTERGÖTLANDS LÄN</t>
        </is>
      </c>
      <c r="G147" t="inlineStr">
        <is>
          <t>FINSPÅNG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46255</v>
      </c>
      <c r="F148" t="inlineStr">
        <is>
          <t>ÖSTERGÖTLANDS LÄN</t>
        </is>
      </c>
      <c r="G148" t="inlineStr">
        <is>
          <t>FINSPÅNG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36075-2022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44802</v>
      </c>
      <c r="E149" s="1" t="n">
        <v>46255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46255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46255</v>
      </c>
      <c r="F151" t="inlineStr">
        <is>
          <t>ÖSTERGÖTLANDS LÄN</t>
        </is>
      </c>
      <c r="G151" t="inlineStr">
        <is>
          <t>FINSPÅNG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43908-2021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44434</v>
      </c>
      <c r="E152" s="1" t="n">
        <v>46255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Kyrkan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HYPERLINK("https://klasma.github.io/Logging_0562/knärot/A 43908-2021 karta knärot.png", "A 43908-2021")</f>
        <v/>
      </c>
      <c r="AA152">
        <f>HYPERLINK("https://klasma.github.io/Logging_0562/klagomål/A 43908-2021 FSC-klagomål.docx", "A 43908-2021")</f>
        <v/>
      </c>
      <c r="AB152">
        <f>HYPERLINK("https://klasma.github.io/Logging_0562/klagomålsmail/A 43908-2021 FSC-klagomål mail.docx", "A 43908-2021")</f>
        <v/>
      </c>
      <c r="AC152">
        <f>HYPERLINK("https://klasma.github.io/Logging_0562/tillsyn/A 43908-2021 tillsynsbegäran.docx", "A 43908-2021")</f>
        <v/>
      </c>
      <c r="AD152">
        <f>HYPERLINK("https://klasma.github.io/Logging_0562/tillsynsmail/A 43908-2021 tillsynsbegäran mail.docx", "A 43908-2021")</f>
        <v/>
      </c>
    </row>
    <row r="153" ht="15" customHeight="1">
      <c r="A153" t="inlineStr">
        <is>
          <t>A 71597-2021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44541</v>
      </c>
      <c r="E153" s="1" t="n">
        <v>46255</v>
      </c>
      <c r="F153" t="inlineStr">
        <is>
          <t>ÖSTERGÖTLANDS LÄN</t>
        </is>
      </c>
      <c r="G153" t="inlineStr">
        <is>
          <t>FINSPÅNG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44564</v>
      </c>
      <c r="E154" s="1" t="n">
        <v>46255</v>
      </c>
      <c r="F154" t="inlineStr">
        <is>
          <t>ÖSTERGÖTLANDS LÄN</t>
        </is>
      </c>
      <c r="G154" t="inlineStr">
        <is>
          <t>FINSPÅNG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46255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44859</v>
      </c>
      <c r="E156" s="1" t="n">
        <v>46255</v>
      </c>
      <c r="F156" t="inlineStr">
        <is>
          <t>ÖSTERGÖTLANDS LÄN</t>
        </is>
      </c>
      <c r="G156" t="inlineStr">
        <is>
          <t>FINSPÅNG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44469</v>
      </c>
      <c r="E157" s="1" t="n">
        <v>46255</v>
      </c>
      <c r="F157" t="inlineStr">
        <is>
          <t>ÖSTERGÖTLANDS LÄN</t>
        </is>
      </c>
      <c r="G157" t="inlineStr">
        <is>
          <t>FINSPÅNG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46255</v>
      </c>
      <c r="F158" t="inlineStr">
        <is>
          <t>ÖSTERGÖTLANDS LÄN</t>
        </is>
      </c>
      <c r="G158" t="inlineStr">
        <is>
          <t>FINSPÅNG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43165-2021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44431</v>
      </c>
      <c r="E159" s="1" t="n">
        <v>46255</v>
      </c>
      <c r="F159" t="inlineStr">
        <is>
          <t>ÖSTERGÖTLANDS LÄN</t>
        </is>
      </c>
      <c r="G159" t="inlineStr">
        <is>
          <t>FINSPÅNG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44582</v>
      </c>
      <c r="E160" s="1" t="n">
        <v>46255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63321-2021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46255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46255</v>
      </c>
      <c r="F162" t="inlineStr">
        <is>
          <t>ÖSTERGÖTLANDS LÄN</t>
        </is>
      </c>
      <c r="G162" t="inlineStr">
        <is>
          <t>FINSPÅNG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46255</v>
      </c>
      <c r="F163" t="inlineStr">
        <is>
          <t>ÖSTERGÖTLANDS LÄN</t>
        </is>
      </c>
      <c r="G163" t="inlineStr">
        <is>
          <t>FINSPÅNG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46255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46255</v>
      </c>
      <c r="F165" t="inlineStr">
        <is>
          <t>ÖSTERGÖTLANDS LÄN</t>
        </is>
      </c>
      <c r="G165" t="inlineStr">
        <is>
          <t>FINSPÅNG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44434</v>
      </c>
      <c r="E166" s="1" t="n">
        <v>46255</v>
      </c>
      <c r="F166" t="inlineStr">
        <is>
          <t>ÖSTERGÖTLANDS LÄN</t>
        </is>
      </c>
      <c r="G166" t="inlineStr">
        <is>
          <t>FINSPÅNG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46255</v>
      </c>
      <c r="F167" t="inlineStr">
        <is>
          <t>ÖSTERGÖTLANDS LÄN</t>
        </is>
      </c>
      <c r="G167" t="inlineStr">
        <is>
          <t>FINSPÅNG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46255</v>
      </c>
      <c r="F168" t="inlineStr">
        <is>
          <t>ÖSTERGÖTLANDS LÄN</t>
        </is>
      </c>
      <c r="G168" t="inlineStr">
        <is>
          <t>FINSPÅNG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73831-2021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46255</v>
      </c>
      <c r="F169" t="inlineStr">
        <is>
          <t>ÖSTERGÖTLANDS LÄN</t>
        </is>
      </c>
      <c r="G169" t="inlineStr">
        <is>
          <t>FINSPÅNG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46255</v>
      </c>
      <c r="F170" t="inlineStr">
        <is>
          <t>ÖSTERGÖTLANDS LÄN</t>
        </is>
      </c>
      <c r="G170" t="inlineStr">
        <is>
          <t>FINSPÅNG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46255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46255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46255</v>
      </c>
      <c r="F173" t="inlineStr">
        <is>
          <t>ÖSTERGÖTLANDS LÄN</t>
        </is>
      </c>
      <c r="G173" t="inlineStr">
        <is>
          <t>FINSPÅNG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46255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46255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46255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46255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46255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46255</v>
      </c>
      <c r="F179" t="inlineStr">
        <is>
          <t>ÖSTERGÖTLANDS LÄN</t>
        </is>
      </c>
      <c r="G179" t="inlineStr">
        <is>
          <t>FINSPÅNG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46255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55744-2021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46255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46255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46255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46255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46255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46255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46405-2021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44444</v>
      </c>
      <c r="E187" s="1" t="n">
        <v>46255</v>
      </c>
      <c r="F187" t="inlineStr">
        <is>
          <t>ÖSTERGÖTLANDS LÄN</t>
        </is>
      </c>
      <c r="G187" t="inlineStr">
        <is>
          <t>FINSPÅNG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46255</v>
      </c>
      <c r="F188" t="inlineStr">
        <is>
          <t>ÖSTERGÖTLANDS LÄN</t>
        </is>
      </c>
      <c r="G188" t="inlineStr">
        <is>
          <t>FINSPÅNG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46255</v>
      </c>
      <c r="F189" t="inlineStr">
        <is>
          <t>ÖSTERGÖTLANDS LÄN</t>
        </is>
      </c>
      <c r="G189" t="inlineStr">
        <is>
          <t>FINSPÅNG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46255</v>
      </c>
      <c r="F190" t="inlineStr">
        <is>
          <t>ÖSTERGÖTLANDS LÄN</t>
        </is>
      </c>
      <c r="G190" t="inlineStr">
        <is>
          <t>FINSPÅNG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46255</v>
      </c>
      <c r="F191" t="inlineStr">
        <is>
          <t>ÖSTERGÖTLANDS LÄN</t>
        </is>
      </c>
      <c r="G191" t="inlineStr">
        <is>
          <t>FINSPÅNG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46255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44635</v>
      </c>
      <c r="E193" s="1" t="n">
        <v>46255</v>
      </c>
      <c r="F193" t="inlineStr">
        <is>
          <t>ÖSTERGÖTLANDS LÄN</t>
        </is>
      </c>
      <c r="G193" t="inlineStr">
        <is>
          <t>FINSPÅNG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46255</v>
      </c>
      <c r="F194" t="inlineStr">
        <is>
          <t>ÖSTERGÖTLANDS LÄN</t>
        </is>
      </c>
      <c r="G194" t="inlineStr">
        <is>
          <t>FINSPÅNG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46255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46255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44468</v>
      </c>
      <c r="E197" s="1" t="n">
        <v>46255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Övriga Aktiebolag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56883-2021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46255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69994-2021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44533</v>
      </c>
      <c r="E199" s="1" t="n">
        <v>46255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46255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44678</v>
      </c>
      <c r="E201" s="1" t="n">
        <v>46255</v>
      </c>
      <c r="F201" t="inlineStr">
        <is>
          <t>ÖSTERGÖTLANDS LÄN</t>
        </is>
      </c>
      <c r="G201" t="inlineStr">
        <is>
          <t>FINSPÅNG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44704</v>
      </c>
      <c r="E202" s="1" t="n">
        <v>46255</v>
      </c>
      <c r="F202" t="inlineStr">
        <is>
          <t>ÖSTERGÖTLANDS LÄN</t>
        </is>
      </c>
      <c r="G202" t="inlineStr">
        <is>
          <t>FINSPÅNG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44564</v>
      </c>
      <c r="E203" s="1" t="n">
        <v>46255</v>
      </c>
      <c r="F203" t="inlineStr">
        <is>
          <t>ÖSTERGÖTLANDS LÄN</t>
        </is>
      </c>
      <c r="G203" t="inlineStr">
        <is>
          <t>FINSPÅNG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46255</v>
      </c>
      <c r="F204" t="inlineStr">
        <is>
          <t>ÖSTERGÖTLANDS LÄN</t>
        </is>
      </c>
      <c r="G204" t="inlineStr">
        <is>
          <t>FINSPÅNG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44659</v>
      </c>
      <c r="E205" s="1" t="n">
        <v>46255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44754</v>
      </c>
      <c r="E206" s="1" t="n">
        <v>46255</v>
      </c>
      <c r="F206" t="inlineStr">
        <is>
          <t>ÖSTERGÖTLANDS LÄN</t>
        </is>
      </c>
      <c r="G206" t="inlineStr">
        <is>
          <t>FINSPÅNG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45042</v>
      </c>
      <c r="E207" s="1" t="n">
        <v>46255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46255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32044-2022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44778</v>
      </c>
      <c r="E209" s="1" t="n">
        <v>46255</v>
      </c>
      <c r="F209" t="inlineStr">
        <is>
          <t>ÖSTERGÖTLANDS LÄN</t>
        </is>
      </c>
      <c r="G209" t="inlineStr">
        <is>
          <t>FINSPÅNG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46255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44802</v>
      </c>
      <c r="E211" s="1" t="n">
        <v>46255</v>
      </c>
      <c r="F211" t="inlineStr">
        <is>
          <t>ÖSTERGÖTLANDS LÄN</t>
        </is>
      </c>
      <c r="G211" t="inlineStr">
        <is>
          <t>FINSPÅNG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46255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Övriga Aktiebolag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36406-2024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45535</v>
      </c>
      <c r="E213" s="1" t="n">
        <v>46255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44770</v>
      </c>
      <c r="E214" s="1" t="n">
        <v>46255</v>
      </c>
      <c r="F214" t="inlineStr">
        <is>
          <t>ÖSTERGÖTLANDS LÄN</t>
        </is>
      </c>
      <c r="G214" t="inlineStr">
        <is>
          <t>FINSPÅNG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45257</v>
      </c>
      <c r="E215" s="1" t="n">
        <v>46255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45362</v>
      </c>
      <c r="E216" s="1" t="n">
        <v>46255</v>
      </c>
      <c r="F216" t="inlineStr">
        <is>
          <t>ÖSTERGÖTLANDS LÄN</t>
        </is>
      </c>
      <c r="G216" t="inlineStr">
        <is>
          <t>FINSPÅNG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45257</v>
      </c>
      <c r="E217" s="1" t="n">
        <v>46255</v>
      </c>
      <c r="F217" t="inlineStr">
        <is>
          <t>ÖSTERGÖTLANDS LÄN</t>
        </is>
      </c>
      <c r="G217" t="inlineStr">
        <is>
          <t>FINSPÅNG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45374</v>
      </c>
      <c r="E218" s="1" t="n">
        <v>46255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Kyrkan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46255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46255</v>
      </c>
      <c r="F220" t="inlineStr">
        <is>
          <t>ÖSTERGÖTLANDS LÄN</t>
        </is>
      </c>
      <c r="G220" t="inlineStr">
        <is>
          <t>FINSPÅNG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46255</v>
      </c>
      <c r="F221" t="inlineStr">
        <is>
          <t>ÖSTERGÖTLANDS LÄN</t>
        </is>
      </c>
      <c r="G221" t="inlineStr">
        <is>
          <t>FINSPÅNG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44844</v>
      </c>
      <c r="E222" s="1" t="n">
        <v>46255</v>
      </c>
      <c r="F222" t="inlineStr">
        <is>
          <t>ÖSTERGÖTLANDS LÄN</t>
        </is>
      </c>
      <c r="G222" t="inlineStr">
        <is>
          <t>FINSPÅNG</t>
        </is>
      </c>
      <c r="I222" t="n">
        <v>16.6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46255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46255</v>
      </c>
      <c r="F224" t="inlineStr">
        <is>
          <t>ÖSTERGÖTLANDS LÄN</t>
        </is>
      </c>
      <c r="G224" t="inlineStr">
        <is>
          <t>FINSPÅNG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46255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46255</v>
      </c>
      <c r="F226" t="inlineStr">
        <is>
          <t>ÖSTERGÖTLANDS LÄN</t>
        </is>
      </c>
      <c r="G226" t="inlineStr">
        <is>
          <t>FINSPÅNG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45744</v>
      </c>
      <c r="E227" s="1" t="n">
        <v>46255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45744</v>
      </c>
      <c r="E228" s="1" t="n">
        <v>46255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Naturvårdsverket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56264-2022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44887</v>
      </c>
      <c r="E229" s="1" t="n">
        <v>46255</v>
      </c>
      <c r="F229" t="inlineStr">
        <is>
          <t>ÖSTERGÖTLANDS LÄN</t>
        </is>
      </c>
      <c r="G229" t="inlineStr">
        <is>
          <t>FINSPÅNG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46255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45618</v>
      </c>
      <c r="E231" s="1" t="n">
        <v>46255</v>
      </c>
      <c r="F231" t="inlineStr">
        <is>
          <t>ÖSTERGÖTLANDS LÄN</t>
        </is>
      </c>
      <c r="G231" t="inlineStr">
        <is>
          <t>FINSPÅNG</t>
        </is>
      </c>
      <c r="I231" t="n">
        <v>11.8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46255</v>
      </c>
      <c r="F232" t="inlineStr">
        <is>
          <t>ÖSTERGÖTLANDS LÄN</t>
        </is>
      </c>
      <c r="G232" t="inlineStr">
        <is>
          <t>FINSPÅNG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45447</v>
      </c>
      <c r="E233" s="1" t="n">
        <v>46255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44767</v>
      </c>
      <c r="E234" s="1" t="n">
        <v>46255</v>
      </c>
      <c r="F234" t="inlineStr">
        <is>
          <t>ÖSTERGÖTLANDS LÄN</t>
        </is>
      </c>
      <c r="G234" t="inlineStr">
        <is>
          <t>FINSPÅNG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10184-2023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44986</v>
      </c>
      <c r="E235" s="1" t="n">
        <v>46255</v>
      </c>
      <c r="F235" t="inlineStr">
        <is>
          <t>ÖSTERGÖTLANDS LÄN</t>
        </is>
      </c>
      <c r="G235" t="inlineStr">
        <is>
          <t>FINSPÅNG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45442</v>
      </c>
      <c r="E236" s="1" t="n">
        <v>46255</v>
      </c>
      <c r="F236" t="inlineStr">
        <is>
          <t>ÖSTERGÖTLANDS LÄN</t>
        </is>
      </c>
      <c r="G236" t="inlineStr">
        <is>
          <t>FINSPÅNG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46255</v>
      </c>
      <c r="F237" t="inlineStr">
        <is>
          <t>ÖSTERGÖTLANDS LÄN</t>
        </is>
      </c>
      <c r="G237" t="inlineStr">
        <is>
          <t>FINSPÅNG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46255</v>
      </c>
      <c r="F238" t="inlineStr">
        <is>
          <t>ÖSTERGÖTLANDS LÄN</t>
        </is>
      </c>
      <c r="G238" t="inlineStr">
        <is>
          <t>FINSPÅNG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46255</v>
      </c>
      <c r="F239" t="inlineStr">
        <is>
          <t>ÖSTERGÖTLANDS LÄN</t>
        </is>
      </c>
      <c r="G239" t="inlineStr">
        <is>
          <t>FINSPÅNG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46255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46255</v>
      </c>
      <c r="F241" t="inlineStr">
        <is>
          <t>ÖSTERGÖTLANDS LÄN</t>
        </is>
      </c>
      <c r="G241" t="inlineStr">
        <is>
          <t>FINSPÅNG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45323</v>
      </c>
      <c r="E242" s="1" t="n">
        <v>46255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46255</v>
      </c>
      <c r="F243" t="inlineStr">
        <is>
          <t>ÖSTERGÖTLANDS LÄN</t>
        </is>
      </c>
      <c r="G243" t="inlineStr">
        <is>
          <t>FINSPÅNG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45097</v>
      </c>
      <c r="E244" s="1" t="n">
        <v>46255</v>
      </c>
      <c r="F244" t="inlineStr">
        <is>
          <t>ÖSTERGÖTLANDS LÄN</t>
        </is>
      </c>
      <c r="G244" t="inlineStr">
        <is>
          <t>FINSPÅNG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56425-2022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44891</v>
      </c>
      <c r="E245" s="1" t="n">
        <v>46255</v>
      </c>
      <c r="F245" t="inlineStr">
        <is>
          <t>ÖSTERGÖTLANDS LÄN</t>
        </is>
      </c>
      <c r="G245" t="inlineStr">
        <is>
          <t>FINSPÅNG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27699-2023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45095</v>
      </c>
      <c r="E246" s="1" t="n">
        <v>46255</v>
      </c>
      <c r="F246" t="inlineStr">
        <is>
          <t>ÖSTERGÖTLANDS LÄN</t>
        </is>
      </c>
      <c r="G246" t="inlineStr">
        <is>
          <t>FINSPÅNG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45463</v>
      </c>
      <c r="E247" s="1" t="n">
        <v>46255</v>
      </c>
      <c r="F247" t="inlineStr">
        <is>
          <t>ÖSTERGÖTLANDS LÄN</t>
        </is>
      </c>
      <c r="G247" t="inlineStr">
        <is>
          <t>FINSPÅNG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46255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44860</v>
      </c>
      <c r="E249" s="1" t="n">
        <v>46255</v>
      </c>
      <c r="F249" t="inlineStr">
        <is>
          <t>ÖSTERGÖTLANDS LÄN</t>
        </is>
      </c>
      <c r="G249" t="inlineStr">
        <is>
          <t>FINSPÅNG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46255</v>
      </c>
      <c r="F250" t="inlineStr">
        <is>
          <t>ÖSTERGÖTLANDS LÄN</t>
        </is>
      </c>
      <c r="G250" t="inlineStr">
        <is>
          <t>FINSPÅNG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55812-2021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44476</v>
      </c>
      <c r="E251" s="1" t="n">
        <v>46255</v>
      </c>
      <c r="F251" t="inlineStr">
        <is>
          <t>ÖSTERGÖTLANDS LÄN</t>
        </is>
      </c>
      <c r="G251" t="inlineStr">
        <is>
          <t>FINSPÅNG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45467</v>
      </c>
      <c r="E252" s="1" t="n">
        <v>46255</v>
      </c>
      <c r="F252" t="inlineStr">
        <is>
          <t>ÖSTERGÖTLANDS LÄN</t>
        </is>
      </c>
      <c r="G252" t="inlineStr">
        <is>
          <t>FINSPÅNG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45428</v>
      </c>
      <c r="E253" s="1" t="n">
        <v>46255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45428</v>
      </c>
      <c r="E254" s="1" t="n">
        <v>46255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46255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Övriga Aktiebolag</t>
        </is>
      </c>
      <c r="I255" t="n">
        <v>13.6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45407-2022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44844</v>
      </c>
      <c r="E256" s="1" t="n">
        <v>46255</v>
      </c>
      <c r="F256" t="inlineStr">
        <is>
          <t>ÖSTERGÖTLANDS LÄN</t>
        </is>
      </c>
      <c r="G256" t="inlineStr">
        <is>
          <t>FINSPÅNG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44844</v>
      </c>
      <c r="E257" s="1" t="n">
        <v>46255</v>
      </c>
      <c r="F257" t="inlineStr">
        <is>
          <t>ÖSTERGÖTLANDS LÄN</t>
        </is>
      </c>
      <c r="G257" t="inlineStr">
        <is>
          <t>FINSPÅNG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50542-2022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44866</v>
      </c>
      <c r="E258" s="1" t="n">
        <v>46255</v>
      </c>
      <c r="F258" t="inlineStr">
        <is>
          <t>ÖSTERGÖTLANDS LÄN</t>
        </is>
      </c>
      <c r="G258" t="inlineStr">
        <is>
          <t>FINSPÅNG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44840</v>
      </c>
      <c r="E259" s="1" t="n">
        <v>46255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52004-2024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45607</v>
      </c>
      <c r="E260" s="1" t="n">
        <v>46255</v>
      </c>
      <c r="F260" t="inlineStr">
        <is>
          <t>ÖSTERGÖTLANDS LÄN</t>
        </is>
      </c>
      <c r="G260" t="inlineStr">
        <is>
          <t>FINSPÅNG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44865</v>
      </c>
      <c r="E261" s="1" t="n">
        <v>46255</v>
      </c>
      <c r="F261" t="inlineStr">
        <is>
          <t>ÖSTERGÖTLANDS LÄN</t>
        </is>
      </c>
      <c r="G261" t="inlineStr">
        <is>
          <t>FINSPÅNG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56246-2022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44887</v>
      </c>
      <c r="E262" s="1" t="n">
        <v>46255</v>
      </c>
      <c r="F262" t="inlineStr">
        <is>
          <t>ÖSTERGÖTLANDS LÄN</t>
        </is>
      </c>
      <c r="G262" t="inlineStr">
        <is>
          <t>FINSPÅNG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56288-2022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46255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14866-2022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44656</v>
      </c>
      <c r="E264" s="1" t="n">
        <v>46255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46255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45337</v>
      </c>
      <c r="E266" s="1" t="n">
        <v>46255</v>
      </c>
      <c r="F266" t="inlineStr">
        <is>
          <t>ÖSTERGÖTLANDS LÄN</t>
        </is>
      </c>
      <c r="G266" t="inlineStr">
        <is>
          <t>FINSPÅNG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46255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44637</v>
      </c>
      <c r="E268" s="1" t="n">
        <v>46255</v>
      </c>
      <c r="F268" t="inlineStr">
        <is>
          <t>ÖSTERGÖTLANDS LÄN</t>
        </is>
      </c>
      <c r="G268" t="inlineStr">
        <is>
          <t>FINSPÅNG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46255</v>
      </c>
      <c r="F269" t="inlineStr">
        <is>
          <t>ÖSTERGÖTLANDS LÄN</t>
        </is>
      </c>
      <c r="G269" t="inlineStr">
        <is>
          <t>FINSPÅNG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46255</v>
      </c>
      <c r="F270" t="inlineStr">
        <is>
          <t>ÖSTERGÖTLANDS LÄN</t>
        </is>
      </c>
      <c r="G270" t="inlineStr">
        <is>
          <t>FINSPÅNG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46255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46255</v>
      </c>
      <c r="F272" t="inlineStr">
        <is>
          <t>ÖSTERGÖTLANDS LÄN</t>
        </is>
      </c>
      <c r="G272" t="inlineStr">
        <is>
          <t>FINSPÅNG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46255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59468-2021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44491</v>
      </c>
      <c r="E274" s="1" t="n">
        <v>46255</v>
      </c>
      <c r="F274" t="inlineStr">
        <is>
          <t>ÖSTERGÖTLANDS LÄN</t>
        </is>
      </c>
      <c r="G274" t="inlineStr">
        <is>
          <t>FINSPÅNG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46255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46255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28792-2025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45820</v>
      </c>
      <c r="E277" s="1" t="n">
        <v>46255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44677</v>
      </c>
      <c r="E278" s="1" t="n">
        <v>46255</v>
      </c>
      <c r="F278" t="inlineStr">
        <is>
          <t>ÖSTERGÖTLANDS LÄN</t>
        </is>
      </c>
      <c r="G278" t="inlineStr">
        <is>
          <t>FINSPÅNG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46255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46255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46255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46255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46255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46255</v>
      </c>
      <c r="F284" t="inlineStr">
        <is>
          <t>ÖSTERGÖTLANDS LÄN</t>
        </is>
      </c>
      <c r="G284" t="inlineStr">
        <is>
          <t>FINSPÅNG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45566</v>
      </c>
      <c r="E285" s="1" t="n">
        <v>46255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45555</v>
      </c>
      <c r="E286" s="1" t="n">
        <v>46255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46255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45428</v>
      </c>
      <c r="E288" s="1" t="n">
        <v>46255</v>
      </c>
      <c r="F288" t="inlineStr">
        <is>
          <t>ÖSTERGÖTLANDS LÄN</t>
        </is>
      </c>
      <c r="G288" t="inlineStr">
        <is>
          <t>FINSPÅNG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46255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32246-2025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46255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44966</v>
      </c>
      <c r="E291" s="1" t="n">
        <v>46255</v>
      </c>
      <c r="F291" t="inlineStr">
        <is>
          <t>ÖSTERGÖTLANDS LÄN</t>
        </is>
      </c>
      <c r="G291" t="inlineStr">
        <is>
          <t>FINSPÅNG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46255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45343</v>
      </c>
      <c r="E293" s="1" t="n">
        <v>46255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46255</v>
      </c>
      <c r="F294" t="inlineStr">
        <is>
          <t>ÖSTERGÖTLANDS LÄN</t>
        </is>
      </c>
      <c r="G294" t="inlineStr">
        <is>
          <t>FINSPÅNG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45441</v>
      </c>
      <c r="E295" s="1" t="n">
        <v>46255</v>
      </c>
      <c r="F295" t="inlineStr">
        <is>
          <t>ÖSTERGÖTLANDS LÄN</t>
        </is>
      </c>
      <c r="G295" t="inlineStr">
        <is>
          <t>FINSPÅNG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44964</v>
      </c>
      <c r="E296" s="1" t="n">
        <v>46255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46255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Övriga Aktiebolag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46255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46255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42202-2023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45179</v>
      </c>
      <c r="E300" s="1" t="n">
        <v>46255</v>
      </c>
      <c r="F300" t="inlineStr">
        <is>
          <t>ÖSTERGÖTLANDS LÄN</t>
        </is>
      </c>
      <c r="G300" t="inlineStr">
        <is>
          <t>FINSPÅNG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45179</v>
      </c>
      <c r="E301" s="1" t="n">
        <v>46255</v>
      </c>
      <c r="F301" t="inlineStr">
        <is>
          <t>ÖSTERGÖTLANDS LÄN</t>
        </is>
      </c>
      <c r="G301" t="inlineStr">
        <is>
          <t>FINSPÅNG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8247-2026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46064</v>
      </c>
      <c r="E302" s="1" t="n">
        <v>46255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Sveaskog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46255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Sveaskog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46255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45621</v>
      </c>
      <c r="E305" s="1" t="n">
        <v>46255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46063</v>
      </c>
      <c r="E306" s="1" t="n">
        <v>46255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46255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Sveaskog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46063</v>
      </c>
      <c r="E308" s="1" t="n">
        <v>46255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46255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8266-2026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46064</v>
      </c>
      <c r="E310" s="1" t="n">
        <v>46255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Sveaskog</t>
        </is>
      </c>
      <c r="I310" t="n">
        <v>10.5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26087-2022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46255</v>
      </c>
      <c r="F311" t="inlineStr">
        <is>
          <t>ÖSTERGÖTLANDS LÄN</t>
        </is>
      </c>
      <c r="G311" t="inlineStr">
        <is>
          <t>FINSPÅNG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25420-2022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44732</v>
      </c>
      <c r="E312" s="1" t="n">
        <v>46255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46255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61998-2022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44918</v>
      </c>
      <c r="E314" s="1" t="n">
        <v>46255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45705</v>
      </c>
      <c r="E315" s="1" t="n">
        <v>46255</v>
      </c>
      <c r="F315" t="inlineStr">
        <is>
          <t>ÖSTERGÖTLANDS LÄN</t>
        </is>
      </c>
      <c r="G315" t="inlineStr">
        <is>
          <t>FINSPÅNG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46255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45891</v>
      </c>
      <c r="E317" s="1" t="n">
        <v>46255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45707</v>
      </c>
      <c r="E318" s="1" t="n">
        <v>46255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Allmännings- och besparingsskogar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45006</v>
      </c>
      <c r="E319" s="1" t="n">
        <v>46255</v>
      </c>
      <c r="F319" t="inlineStr">
        <is>
          <t>ÖSTERGÖTLANDS LÄN</t>
        </is>
      </c>
      <c r="G319" t="inlineStr">
        <is>
          <t>FINSPÅNG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44614</v>
      </c>
      <c r="E320" s="1" t="n">
        <v>46255</v>
      </c>
      <c r="F320" t="inlineStr">
        <is>
          <t>ÖSTERGÖTLANDS LÄN</t>
        </is>
      </c>
      <c r="G320" t="inlineStr">
        <is>
          <t>FINSPÅNG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46255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46255</v>
      </c>
      <c r="F322" t="inlineStr">
        <is>
          <t>ÖSTERGÖTLANDS LÄN</t>
        </is>
      </c>
      <c r="G322" t="inlineStr">
        <is>
          <t>FINSPÅNG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46255</v>
      </c>
      <c r="F323" t="inlineStr">
        <is>
          <t>ÖSTERGÖTLANDS LÄN</t>
        </is>
      </c>
      <c r="G323" t="inlineStr">
        <is>
          <t>FINSPÅNG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46255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17557-2022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44679</v>
      </c>
      <c r="E325" s="1" t="n">
        <v>46255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Övriga Aktiebolag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44725</v>
      </c>
      <c r="E326" s="1" t="n">
        <v>46255</v>
      </c>
      <c r="F326" t="inlineStr">
        <is>
          <t>ÖSTERGÖTLANDS LÄN</t>
        </is>
      </c>
      <c r="G326" t="inlineStr">
        <is>
          <t>FINSPÅNG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45853</v>
      </c>
      <c r="E327" s="1" t="n">
        <v>46255</v>
      </c>
      <c r="F327" t="inlineStr">
        <is>
          <t>ÖSTERGÖTLANDS LÄN</t>
        </is>
      </c>
      <c r="G327" t="inlineStr">
        <is>
          <t>FINSPÅNG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45604</v>
      </c>
      <c r="E328" s="1" t="n">
        <v>46255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46255</v>
      </c>
      <c r="F329" t="inlineStr">
        <is>
          <t>ÖSTERGÖTLANDS LÄN</t>
        </is>
      </c>
      <c r="G329" t="inlineStr">
        <is>
          <t>FINSPÅNG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46065</v>
      </c>
      <c r="E330" s="1" t="n">
        <v>46255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46255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45854</v>
      </c>
      <c r="E332" s="1" t="n">
        <v>46255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53123-2021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44467</v>
      </c>
      <c r="E333" s="1" t="n">
        <v>46255</v>
      </c>
      <c r="F333" t="inlineStr">
        <is>
          <t>ÖSTERGÖTLANDS LÄN</t>
        </is>
      </c>
      <c r="G333" t="inlineStr">
        <is>
          <t>FINSPÅNG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45855</v>
      </c>
      <c r="E334" s="1" t="n">
        <v>46255</v>
      </c>
      <c r="F334" t="inlineStr">
        <is>
          <t>ÖSTERGÖTLANDS LÄN</t>
        </is>
      </c>
      <c r="G334" t="inlineStr">
        <is>
          <t>FINSPÅNG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45854</v>
      </c>
      <c r="E335" s="1" t="n">
        <v>46255</v>
      </c>
      <c r="F335" t="inlineStr">
        <is>
          <t>ÖSTERGÖTLANDS LÄN</t>
        </is>
      </c>
      <c r="G335" t="inlineStr">
        <is>
          <t>FINSPÅNG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46070</v>
      </c>
      <c r="E336" s="1" t="n">
        <v>46255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14454-2022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44653</v>
      </c>
      <c r="E337" s="1" t="n">
        <v>46255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45523</v>
      </c>
      <c r="E338" s="1" t="n">
        <v>46255</v>
      </c>
      <c r="F338" t="inlineStr">
        <is>
          <t>ÖSTERGÖTLANDS LÄN</t>
        </is>
      </c>
      <c r="G338" t="inlineStr">
        <is>
          <t>FINSPÅNG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46255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41204-2025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46255</v>
      </c>
      <c r="F340" t="inlineStr">
        <is>
          <t>ÖSTERGÖTLANDS LÄN</t>
        </is>
      </c>
      <c r="G340" t="inlineStr">
        <is>
          <t>FINSPÅNG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46255</v>
      </c>
      <c r="F341" t="inlineStr">
        <is>
          <t>ÖSTERGÖTLANDS LÄN</t>
        </is>
      </c>
      <c r="G341" t="inlineStr">
        <is>
          <t>FINSPÅNG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45415</v>
      </c>
      <c r="E342" s="1" t="n">
        <v>46255</v>
      </c>
      <c r="F342" t="inlineStr">
        <is>
          <t>ÖSTERGÖTLANDS LÄN</t>
        </is>
      </c>
      <c r="G342" t="inlineStr">
        <is>
          <t>FINSPÅNG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22437-2023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45070</v>
      </c>
      <c r="E343" s="1" t="n">
        <v>46255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46255</v>
      </c>
      <c r="F344" t="inlineStr">
        <is>
          <t>ÖSTERGÖTLANDS LÄN</t>
        </is>
      </c>
      <c r="G344" t="inlineStr">
        <is>
          <t>FINSPÅNG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45863</v>
      </c>
      <c r="E345" s="1" t="n">
        <v>46255</v>
      </c>
      <c r="F345" t="inlineStr">
        <is>
          <t>ÖSTERGÖTLANDS LÄN</t>
        </is>
      </c>
      <c r="G345" t="inlineStr">
        <is>
          <t>FINSPÅNG</t>
        </is>
      </c>
      <c r="I345" t="n">
        <v>22.6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46255</v>
      </c>
      <c r="F346" t="inlineStr">
        <is>
          <t>ÖSTERGÖTLANDS LÄN</t>
        </is>
      </c>
      <c r="G346" t="inlineStr">
        <is>
          <t>FINSPÅNG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64103-2023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46255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45421</v>
      </c>
      <c r="E348" s="1" t="n">
        <v>46255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7269-2024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45344</v>
      </c>
      <c r="E349" s="1" t="n">
        <v>46255</v>
      </c>
      <c r="F349" t="inlineStr">
        <is>
          <t>ÖSTERGÖTLANDS LÄN</t>
        </is>
      </c>
      <c r="G349" t="inlineStr">
        <is>
          <t>FINSPÅNG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45870</v>
      </c>
      <c r="E350" s="1" t="n">
        <v>46255</v>
      </c>
      <c r="F350" t="inlineStr">
        <is>
          <t>ÖSTERGÖTLANDS LÄN</t>
        </is>
      </c>
      <c r="G350" t="inlineStr">
        <is>
          <t>FINSPÅNG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46255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46255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45870</v>
      </c>
      <c r="E353" s="1" t="n">
        <v>46255</v>
      </c>
      <c r="F353" t="inlineStr">
        <is>
          <t>ÖSTERGÖTLANDS LÄN</t>
        </is>
      </c>
      <c r="G353" t="inlineStr">
        <is>
          <t>FINSPÅNG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42025-2025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46255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42289-2025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46255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46255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46255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45257</v>
      </c>
      <c r="E358" s="1" t="n">
        <v>46255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45904</v>
      </c>
      <c r="E359" s="1" t="n">
        <v>46255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46255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46255</v>
      </c>
      <c r="F361" t="inlineStr">
        <is>
          <t>ÖSTERGÖTLANDS LÄN</t>
        </is>
      </c>
      <c r="G361" t="inlineStr">
        <is>
          <t>FINSPÅNG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46255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46255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46255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42368-2025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46255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45301</v>
      </c>
      <c r="E366" s="1" t="n">
        <v>46255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45095</v>
      </c>
      <c r="E367" s="1" t="n">
        <v>46255</v>
      </c>
      <c r="F367" t="inlineStr">
        <is>
          <t>ÖSTERGÖTLANDS LÄN</t>
        </is>
      </c>
      <c r="G367" t="inlineStr">
        <is>
          <t>FINSPÅNG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45709</v>
      </c>
      <c r="E368" s="1" t="n">
        <v>46255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46255</v>
      </c>
      <c r="F369" t="inlineStr">
        <is>
          <t>ÖSTERGÖTLANDS LÄN</t>
        </is>
      </c>
      <c r="G369" t="inlineStr">
        <is>
          <t>FINSPÅNG</t>
        </is>
      </c>
      <c r="I369" t="n">
        <v>10.1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46255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45880</v>
      </c>
      <c r="E371" s="1" t="n">
        <v>46255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46255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44903</v>
      </c>
      <c r="E373" s="1" t="n">
        <v>46255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39896-2023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46255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Övriga Aktiebolag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45075</v>
      </c>
      <c r="E375" s="1" t="n">
        <v>46255</v>
      </c>
      <c r="F375" t="inlineStr">
        <is>
          <t>ÖSTERGÖTLANDS LÄN</t>
        </is>
      </c>
      <c r="G375" t="inlineStr">
        <is>
          <t>FINSPÅNG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46255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Naturvårdsverket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9934-2026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46255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46076</v>
      </c>
      <c r="E378" s="1" t="n">
        <v>46255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10313-2026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46255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59672-2024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45639</v>
      </c>
      <c r="E380" s="1" t="n">
        <v>46255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46255</v>
      </c>
      <c r="F381" t="inlineStr">
        <is>
          <t>ÖSTERGÖTLANDS LÄN</t>
        </is>
      </c>
      <c r="G381" t="inlineStr">
        <is>
          <t>FINSPÅNG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46255</v>
      </c>
      <c r="F382" t="inlineStr">
        <is>
          <t>ÖSTERGÖTLANDS LÄN</t>
        </is>
      </c>
      <c r="G382" t="inlineStr">
        <is>
          <t>FINSPÅNG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10872-2026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46078</v>
      </c>
      <c r="E383" s="1" t="n">
        <v>46255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11063-2026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46255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46255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38231-2025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46255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73260-2021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44550</v>
      </c>
      <c r="E387" s="1" t="n">
        <v>46255</v>
      </c>
      <c r="F387" t="inlineStr">
        <is>
          <t>ÖSTERGÖTLANDS LÄN</t>
        </is>
      </c>
      <c r="G387" t="inlineStr">
        <is>
          <t>FINSPÅNG</t>
        </is>
      </c>
      <c r="I387" t="n">
        <v>10.3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63321-2021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44508</v>
      </c>
      <c r="E388" s="1" t="n">
        <v>46255</v>
      </c>
      <c r="F388" t="inlineStr">
        <is>
          <t>ÖSTERGÖTLANDS LÄN</t>
        </is>
      </c>
      <c r="G388" t="inlineStr">
        <is>
          <t>FINSPÅNG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45516</v>
      </c>
      <c r="E389" s="1" t="n">
        <v>46255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Kommuner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46080</v>
      </c>
      <c r="E390" s="1" t="n">
        <v>46255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45142</v>
      </c>
      <c r="E391" s="1" t="n">
        <v>46255</v>
      </c>
      <c r="F391" t="inlineStr">
        <is>
          <t>ÖSTERGÖTLANDS LÄN</t>
        </is>
      </c>
      <c r="G391" t="inlineStr">
        <is>
          <t>FINSPÅNG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53944-2024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46255</v>
      </c>
      <c r="F392" t="inlineStr">
        <is>
          <t>ÖSTERGÖTLANDS LÄN</t>
        </is>
      </c>
      <c r="G392" t="inlineStr">
        <is>
          <t>FINSPÅNG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53945-2024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45616</v>
      </c>
      <c r="E393" s="1" t="n">
        <v>46255</v>
      </c>
      <c r="F393" t="inlineStr">
        <is>
          <t>ÖSTERGÖTLANDS LÄN</t>
        </is>
      </c>
      <c r="G393" t="inlineStr">
        <is>
          <t>FINSPÅNG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46080</v>
      </c>
      <c r="E394" s="1" t="n">
        <v>46255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46080</v>
      </c>
      <c r="E395" s="1" t="n">
        <v>46255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46080</v>
      </c>
      <c r="E396" s="1" t="n">
        <v>46255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45593</v>
      </c>
      <c r="E397" s="1" t="n">
        <v>46255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46255</v>
      </c>
      <c r="F398" t="inlineStr">
        <is>
          <t>ÖSTERGÖTLANDS LÄN</t>
        </is>
      </c>
      <c r="G398" t="inlineStr">
        <is>
          <t>FINSPÅNG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47567-2025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45931</v>
      </c>
      <c r="E399" s="1" t="n">
        <v>46255</v>
      </c>
      <c r="F399" t="inlineStr">
        <is>
          <t>ÖSTERGÖTLANDS LÄN</t>
        </is>
      </c>
      <c r="G399" t="inlineStr">
        <is>
          <t>FINSPÅNG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11807-2026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46255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31323-2022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44774</v>
      </c>
      <c r="E401" s="1" t="n">
        <v>46255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27697-2023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45095</v>
      </c>
      <c r="E402" s="1" t="n">
        <v>46255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Övriga Aktiebolag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45095</v>
      </c>
      <c r="E403" s="1" t="n">
        <v>46255</v>
      </c>
      <c r="F403" t="inlineStr">
        <is>
          <t>ÖSTERGÖTLANDS LÄN</t>
        </is>
      </c>
      <c r="G403" t="inlineStr">
        <is>
          <t>FINSPÅNG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8403-2025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45709</v>
      </c>
      <c r="E404" s="1" t="n">
        <v>46255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45728</v>
      </c>
      <c r="E405" s="1" t="n">
        <v>46255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45935</v>
      </c>
      <c r="E406" s="1" t="n">
        <v>46255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46255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53675-2024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45615</v>
      </c>
      <c r="E408" s="1" t="n">
        <v>46255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44973</v>
      </c>
      <c r="E409" s="1" t="n">
        <v>46255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46255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46085</v>
      </c>
      <c r="E411" s="1" t="n">
        <v>46255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45846</v>
      </c>
      <c r="E412" s="1" t="n">
        <v>46255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46255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45530</v>
      </c>
      <c r="E414" s="1" t="n">
        <v>46255</v>
      </c>
      <c r="F414" t="inlineStr">
        <is>
          <t>ÖSTERGÖTLANDS LÄN</t>
        </is>
      </c>
      <c r="G414" t="inlineStr">
        <is>
          <t>FINSPÅNG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8924-2025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45713</v>
      </c>
      <c r="E415" s="1" t="n">
        <v>46255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15097-2025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45744</v>
      </c>
      <c r="E416" s="1" t="n">
        <v>46255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45147</v>
      </c>
      <c r="E417" s="1" t="n">
        <v>46255</v>
      </c>
      <c r="F417" t="inlineStr">
        <is>
          <t>ÖSTERGÖTLANDS LÄN</t>
        </is>
      </c>
      <c r="G417" t="inlineStr">
        <is>
          <t>FINSPÅNG</t>
        </is>
      </c>
      <c r="I417" t="n">
        <v>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30271-2022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44759</v>
      </c>
      <c r="E418" s="1" t="n">
        <v>46255</v>
      </c>
      <c r="F418" t="inlineStr">
        <is>
          <t>ÖSTERGÖTLANDS LÄN</t>
        </is>
      </c>
      <c r="G418" t="inlineStr">
        <is>
          <t>FINSPÅNG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50395-2025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45944</v>
      </c>
      <c r="E419" s="1" t="n">
        <v>46255</v>
      </c>
      <c r="F419" t="inlineStr">
        <is>
          <t>ÖSTERGÖTLANDS LÄN</t>
        </is>
      </c>
      <c r="G419" t="inlineStr">
        <is>
          <t>FINSPÅNG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45243-2022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44840</v>
      </c>
      <c r="E420" s="1" t="n">
        <v>46255</v>
      </c>
      <c r="F420" t="inlineStr">
        <is>
          <t>ÖSTERGÖTLANDS LÄN</t>
        </is>
      </c>
      <c r="G420" t="inlineStr">
        <is>
          <t>FINSPÅNG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45692</v>
      </c>
      <c r="E421" s="1" t="n">
        <v>46255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45688</v>
      </c>
      <c r="E422" s="1" t="n">
        <v>46255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55612-2021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44476</v>
      </c>
      <c r="E423" s="1" t="n">
        <v>46255</v>
      </c>
      <c r="F423" t="inlineStr">
        <is>
          <t>ÖSTERGÖTLANDS LÄN</t>
        </is>
      </c>
      <c r="G423" t="inlineStr">
        <is>
          <t>FINSPÅNG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46255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54609-2021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44473</v>
      </c>
      <c r="E425" s="1" t="n">
        <v>46255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Sveaskog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40194-2022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44820</v>
      </c>
      <c r="E426" s="1" t="n">
        <v>46255</v>
      </c>
      <c r="F426" t="inlineStr">
        <is>
          <t>ÖSTERGÖTLANDS LÄN</t>
        </is>
      </c>
      <c r="G426" t="inlineStr">
        <is>
          <t>FINSPÅNG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45041</v>
      </c>
      <c r="E427" s="1" t="n">
        <v>46255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46255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45719</v>
      </c>
      <c r="E429" s="1" t="n">
        <v>46255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45688</v>
      </c>
      <c r="E430" s="1" t="n">
        <v>46255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43318-2022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44834</v>
      </c>
      <c r="E431" s="1" t="n">
        <v>46255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49677-2022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44862</v>
      </c>
      <c r="E432" s="1" t="n">
        <v>46255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9.6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7788-2023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44973</v>
      </c>
      <c r="E433" s="1" t="n">
        <v>46255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53821-2022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44880</v>
      </c>
      <c r="E434" s="1" t="n">
        <v>46255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45710</v>
      </c>
      <c r="E435" s="1" t="n">
        <v>46255</v>
      </c>
      <c r="F435" t="inlineStr">
        <is>
          <t>ÖSTERGÖTLANDS LÄN</t>
        </is>
      </c>
      <c r="G435" t="inlineStr">
        <is>
          <t>FINSPÅNG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46255</v>
      </c>
      <c r="F436" t="inlineStr">
        <is>
          <t>ÖSTERGÖTLANDS LÄN</t>
        </is>
      </c>
      <c r="G436" t="inlineStr">
        <is>
          <t>FINSPÅNG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45314-2023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45191</v>
      </c>
      <c r="E437" s="1" t="n">
        <v>46255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46255</v>
      </c>
      <c r="F438" t="inlineStr">
        <is>
          <t>ÖSTERGÖTLANDS LÄN</t>
        </is>
      </c>
      <c r="G438" t="inlineStr">
        <is>
          <t>FINSPÅNG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46255</v>
      </c>
      <c r="F439" t="inlineStr">
        <is>
          <t>ÖSTERGÖTLANDS LÄN</t>
        </is>
      </c>
      <c r="G439" t="inlineStr">
        <is>
          <t>FINSPÅNG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54727-2023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45236</v>
      </c>
      <c r="E440" s="1" t="n">
        <v>46255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45236</v>
      </c>
      <c r="E441" s="1" t="n">
        <v>46255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54923-2022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44886</v>
      </c>
      <c r="E442" s="1" t="n">
        <v>46255</v>
      </c>
      <c r="F442" t="inlineStr">
        <is>
          <t>ÖSTERGÖTLANDS LÄN</t>
        </is>
      </c>
      <c r="G442" t="inlineStr">
        <is>
          <t>FINSPÅNG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22354-2023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45070</v>
      </c>
      <c r="E443" s="1" t="n">
        <v>46255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45566</v>
      </c>
      <c r="E444" s="1" t="n">
        <v>46255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18494-2023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45042</v>
      </c>
      <c r="E445" s="1" t="n">
        <v>46255</v>
      </c>
      <c r="F445" t="inlineStr">
        <is>
          <t>ÖSTERGÖTLANDS LÄN</t>
        </is>
      </c>
      <c r="G445" t="inlineStr">
        <is>
          <t>FINSPÅNG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11839-2025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45728</v>
      </c>
      <c r="E446" s="1" t="n">
        <v>46255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53246-2022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44876</v>
      </c>
      <c r="E447" s="1" t="n">
        <v>46255</v>
      </c>
      <c r="F447" t="inlineStr">
        <is>
          <t>ÖSTERGÖTLANDS LÄN</t>
        </is>
      </c>
      <c r="G447" t="inlineStr">
        <is>
          <t>FINSPÅNG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46255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46255</v>
      </c>
      <c r="F449" t="inlineStr">
        <is>
          <t>ÖSTERGÖTLANDS LÄN</t>
        </is>
      </c>
      <c r="G449" t="inlineStr">
        <is>
          <t>FINSPÅNG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12814-2022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44642</v>
      </c>
      <c r="E450" s="1" t="n">
        <v>46255</v>
      </c>
      <c r="F450" t="inlineStr">
        <is>
          <t>ÖSTERGÖTLANDS LÄN</t>
        </is>
      </c>
      <c r="G450" t="inlineStr">
        <is>
          <t>FINSPÅNG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70505-2021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44536</v>
      </c>
      <c r="E451" s="1" t="n">
        <v>46255</v>
      </c>
      <c r="F451" t="inlineStr">
        <is>
          <t>ÖSTERGÖTLANDS LÄN</t>
        </is>
      </c>
      <c r="G451" t="inlineStr">
        <is>
          <t>FINSPÅNG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46255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55052-2023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45237</v>
      </c>
      <c r="E453" s="1" t="n">
        <v>46255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Kyrkan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45969</v>
      </c>
      <c r="E454" s="1" t="n">
        <v>46255</v>
      </c>
      <c r="F454" t="inlineStr">
        <is>
          <t>ÖSTERGÖTLANDS LÄN</t>
        </is>
      </c>
      <c r="G454" t="inlineStr">
        <is>
          <t>FINSPÅNG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46255</v>
      </c>
      <c r="F455" t="inlineStr">
        <is>
          <t>ÖSTERGÖTLANDS LÄN</t>
        </is>
      </c>
      <c r="G455" t="inlineStr">
        <is>
          <t>FINSPÅNG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45076</v>
      </c>
      <c r="E456" s="1" t="n">
        <v>46255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46255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46255</v>
      </c>
      <c r="F458" t="inlineStr">
        <is>
          <t>ÖSTERGÖTLANDS LÄN</t>
        </is>
      </c>
      <c r="G458" t="inlineStr">
        <is>
          <t>FINSPÅNG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14078-2026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46099</v>
      </c>
      <c r="E459" s="1" t="n">
        <v>46255</v>
      </c>
      <c r="F459" t="inlineStr">
        <is>
          <t>ÖSTERGÖTLANDS LÄN</t>
        </is>
      </c>
      <c r="G459" t="inlineStr">
        <is>
          <t>FINSPÅNG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44944</v>
      </c>
      <c r="E460" s="1" t="n">
        <v>46255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44595</v>
      </c>
      <c r="E461" s="1" t="n">
        <v>46255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Övriga Aktiebolag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54404-2023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45233</v>
      </c>
      <c r="E462" s="1" t="n">
        <v>46255</v>
      </c>
      <c r="F462" t="inlineStr">
        <is>
          <t>ÖSTERGÖTLANDS LÄN</t>
        </is>
      </c>
      <c r="G462" t="inlineStr">
        <is>
          <t>FINSPÅNG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46255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57290-2025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45979</v>
      </c>
      <c r="E464" s="1" t="n">
        <v>46255</v>
      </c>
      <c r="F464" t="inlineStr">
        <is>
          <t>ÖSTERGÖTLANDS LÄN</t>
        </is>
      </c>
      <c r="G464" t="inlineStr">
        <is>
          <t>FINSPÅNG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46255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46255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Sveaskog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44564</v>
      </c>
      <c r="E467" s="1" t="n">
        <v>46255</v>
      </c>
      <c r="F467" t="inlineStr">
        <is>
          <t>ÖSTERGÖTLANDS LÄN</t>
        </is>
      </c>
      <c r="G467" t="inlineStr">
        <is>
          <t>FINSPÅNG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42782-2024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45566</v>
      </c>
      <c r="E468" s="1" t="n">
        <v>46255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45095</v>
      </c>
      <c r="E469" s="1" t="n">
        <v>46255</v>
      </c>
      <c r="F469" t="inlineStr">
        <is>
          <t>ÖSTERGÖTLANDS LÄN</t>
        </is>
      </c>
      <c r="G469" t="inlineStr">
        <is>
          <t>FINSPÅNG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46255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24510-2023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46255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45013</v>
      </c>
      <c r="E472" s="1" t="n">
        <v>46255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25121-2023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46255</v>
      </c>
      <c r="F473" t="inlineStr">
        <is>
          <t>ÖSTERGÖTLANDS LÄN</t>
        </is>
      </c>
      <c r="G473" t="inlineStr">
        <is>
          <t>FINSPÅNG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45983</v>
      </c>
      <c r="E474" s="1" t="n">
        <v>46255</v>
      </c>
      <c r="F474" t="inlineStr">
        <is>
          <t>ÖSTERGÖTLANDS LÄN</t>
        </is>
      </c>
      <c r="G474" t="inlineStr">
        <is>
          <t>FINSPÅNG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45983</v>
      </c>
      <c r="E475" s="1" t="n">
        <v>46255</v>
      </c>
      <c r="F475" t="inlineStr">
        <is>
          <t>ÖSTERGÖTLANDS LÄN</t>
        </is>
      </c>
      <c r="G475" t="inlineStr">
        <is>
          <t>FINSPÅNG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44589</v>
      </c>
      <c r="E476" s="1" t="n">
        <v>46255</v>
      </c>
      <c r="F476" t="inlineStr">
        <is>
          <t>ÖSTERGÖTLANDS LÄN</t>
        </is>
      </c>
      <c r="G476" t="inlineStr">
        <is>
          <t>FINSPÅNG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46255</v>
      </c>
      <c r="F477" t="inlineStr">
        <is>
          <t>ÖSTERGÖTLANDS LÄN</t>
        </is>
      </c>
      <c r="G477" t="inlineStr">
        <is>
          <t>FINSPÅNG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45983</v>
      </c>
      <c r="E478" s="1" t="n">
        <v>46255</v>
      </c>
      <c r="F478" t="inlineStr">
        <is>
          <t>ÖSTERGÖTLANDS LÄN</t>
        </is>
      </c>
      <c r="G478" t="inlineStr">
        <is>
          <t>FINSPÅNG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58796-2025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46255</v>
      </c>
      <c r="F479" t="inlineStr">
        <is>
          <t>ÖSTERGÖTLANDS LÄN</t>
        </is>
      </c>
      <c r="G479" t="inlineStr">
        <is>
          <t>FINSPÅNG</t>
        </is>
      </c>
      <c r="I479" t="n">
        <v>9.300000000000001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46255</v>
      </c>
      <c r="F480" t="inlineStr">
        <is>
          <t>ÖSTERGÖTLANDS LÄN</t>
        </is>
      </c>
      <c r="G480" t="inlineStr">
        <is>
          <t>FINSPÅNG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45407</v>
      </c>
      <c r="E481" s="1" t="n">
        <v>46255</v>
      </c>
      <c r="F481" t="inlineStr">
        <is>
          <t>ÖSTERGÖTLANDS LÄN</t>
        </is>
      </c>
      <c r="G481" t="inlineStr">
        <is>
          <t>FINSPÅNG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58142-2022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44900</v>
      </c>
      <c r="E482" s="1" t="n">
        <v>46255</v>
      </c>
      <c r="F482" t="inlineStr">
        <is>
          <t>ÖSTERGÖTLANDS LÄN</t>
        </is>
      </c>
      <c r="G482" t="inlineStr">
        <is>
          <t>FINSPÅNG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43744-2021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44433</v>
      </c>
      <c r="E483" s="1" t="n">
        <v>46255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9003-2024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45357</v>
      </c>
      <c r="E484" s="1" t="n">
        <v>46255</v>
      </c>
      <c r="F484" t="inlineStr">
        <is>
          <t>ÖSTERGÖTLANDS LÄN</t>
        </is>
      </c>
      <c r="G484" t="inlineStr">
        <is>
          <t>FINSPÅNG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56309-2022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44887</v>
      </c>
      <c r="E485" s="1" t="n">
        <v>46255</v>
      </c>
      <c r="F485" t="inlineStr">
        <is>
          <t>ÖSTERGÖTLANDS LÄN</t>
        </is>
      </c>
      <c r="G485" t="inlineStr">
        <is>
          <t>FINSPÅNG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60547-2023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45259</v>
      </c>
      <c r="E486" s="1" t="n">
        <v>46255</v>
      </c>
      <c r="F486" t="inlineStr">
        <is>
          <t>ÖSTERGÖTLANDS LÄN</t>
        </is>
      </c>
      <c r="G486" t="inlineStr">
        <is>
          <t>FINSPÅNG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15490-2026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46255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63585-2023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45275</v>
      </c>
      <c r="E488" s="1" t="n">
        <v>46255</v>
      </c>
      <c r="F488" t="inlineStr">
        <is>
          <t>ÖSTERGÖTLANDS LÄN</t>
        </is>
      </c>
      <c r="G488" t="inlineStr">
        <is>
          <t>FINSPÅNG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25678-2024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45463</v>
      </c>
      <c r="E489" s="1" t="n">
        <v>46255</v>
      </c>
      <c r="F489" t="inlineStr">
        <is>
          <t>ÖSTERGÖTLANDS LÄN</t>
        </is>
      </c>
      <c r="G489" t="inlineStr">
        <is>
          <t>FINSPÅNG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11950-2023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44995</v>
      </c>
      <c r="E490" s="1" t="n">
        <v>46255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45677</v>
      </c>
      <c r="E491" s="1" t="n">
        <v>46255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28556-2023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45103</v>
      </c>
      <c r="E492" s="1" t="n">
        <v>46255</v>
      </c>
      <c r="F492" t="inlineStr">
        <is>
          <t>ÖSTERGÖTLANDS LÄN</t>
        </is>
      </c>
      <c r="G492" t="inlineStr">
        <is>
          <t>FINSPÅNG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45113</v>
      </c>
      <c r="E493" s="1" t="n">
        <v>46255</v>
      </c>
      <c r="F493" t="inlineStr">
        <is>
          <t>ÖSTERGÖTLANDS LÄN</t>
        </is>
      </c>
      <c r="G493" t="inlineStr">
        <is>
          <t>FINSPÅNG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46255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44993</v>
      </c>
      <c r="E495" s="1" t="n">
        <v>46255</v>
      </c>
      <c r="F495" t="inlineStr">
        <is>
          <t>ÖSTERGÖTLANDS LÄN</t>
        </is>
      </c>
      <c r="G495" t="inlineStr">
        <is>
          <t>FINSPÅNG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46255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46002</v>
      </c>
      <c r="E497" s="1" t="n">
        <v>46255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61683-2025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46002</v>
      </c>
      <c r="E498" s="1" t="n">
        <v>46255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45293</v>
      </c>
      <c r="E499" s="1" t="n">
        <v>46255</v>
      </c>
      <c r="F499" t="inlineStr">
        <is>
          <t>ÖSTERGÖTLANDS LÄN</t>
        </is>
      </c>
      <c r="G499" t="inlineStr">
        <is>
          <t>FINSPÅNG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46111</v>
      </c>
      <c r="E500" s="1" t="n">
        <v>46255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61605-2025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46002</v>
      </c>
      <c r="E501" s="1" t="n">
        <v>46255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61712-2025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46255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45391</v>
      </c>
      <c r="E503" s="1" t="n">
        <v>46255</v>
      </c>
      <c r="F503" t="inlineStr">
        <is>
          <t>ÖSTERGÖTLANDS LÄN</t>
        </is>
      </c>
      <c r="G503" t="inlineStr">
        <is>
          <t>FINSPÅNG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62221-2025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46255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46255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58367-2023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45250</v>
      </c>
      <c r="E506" s="1" t="n">
        <v>46255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62235-2025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46255</v>
      </c>
      <c r="F507" t="inlineStr">
        <is>
          <t>ÖSTERGÖTLANDS LÄN</t>
        </is>
      </c>
      <c r="G507" t="inlineStr">
        <is>
          <t>FINSPÅNG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62242-2025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46006</v>
      </c>
      <c r="E508" s="1" t="n">
        <v>46255</v>
      </c>
      <c r="F508" t="inlineStr">
        <is>
          <t>ÖSTERGÖTLANDS LÄN</t>
        </is>
      </c>
      <c r="G508" t="inlineStr">
        <is>
          <t>FINSPÅNG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44949</v>
      </c>
      <c r="E509" s="1" t="n">
        <v>46255</v>
      </c>
      <c r="F509" t="inlineStr">
        <is>
          <t>ÖSTERGÖTLANDS LÄN</t>
        </is>
      </c>
      <c r="G509" t="inlineStr">
        <is>
          <t>FINSPÅNG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16849-2026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46255</v>
      </c>
      <c r="F510" t="inlineStr">
        <is>
          <t>ÖSTERGÖTLANDS LÄN</t>
        </is>
      </c>
      <c r="G510" t="inlineStr">
        <is>
          <t>FINSPÅNG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7743-2023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44973</v>
      </c>
      <c r="E511" s="1" t="n">
        <v>46255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62158-2022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44922</v>
      </c>
      <c r="E512" s="1" t="n">
        <v>46255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46113</v>
      </c>
      <c r="E513" s="1" t="n">
        <v>46255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46255</v>
      </c>
      <c r="F514" t="inlineStr">
        <is>
          <t>ÖSTERGÖTLANDS LÄN</t>
        </is>
      </c>
      <c r="G514" t="inlineStr">
        <is>
          <t>FINSPÅNG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46255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6575-2024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45341</v>
      </c>
      <c r="E516" s="1" t="n">
        <v>46255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Övriga Aktiebolag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45293</v>
      </c>
      <c r="E517" s="1" t="n">
        <v>46255</v>
      </c>
      <c r="F517" t="inlineStr">
        <is>
          <t>ÖSTERGÖTLANDS LÄN</t>
        </is>
      </c>
      <c r="G517" t="inlineStr">
        <is>
          <t>FINSPÅNG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46255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13826-2024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45391</v>
      </c>
      <c r="E519" s="1" t="n">
        <v>46255</v>
      </c>
      <c r="F519" t="inlineStr">
        <is>
          <t>ÖSTERGÖTLANDS LÄN</t>
        </is>
      </c>
      <c r="G519" t="inlineStr">
        <is>
          <t>FINSPÅNG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46114</v>
      </c>
      <c r="E520" s="1" t="n">
        <v>46255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17321-2022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44678</v>
      </c>
      <c r="E521" s="1" t="n">
        <v>46255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45002</v>
      </c>
      <c r="E522" s="1" t="n">
        <v>46255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Kyrkan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23821-2023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45078</v>
      </c>
      <c r="E523" s="1" t="n">
        <v>46255</v>
      </c>
      <c r="F523" t="inlineStr">
        <is>
          <t>ÖSTERGÖTLANDS LÄN</t>
        </is>
      </c>
      <c r="G523" t="inlineStr">
        <is>
          <t>FINSPÅNG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44993</v>
      </c>
      <c r="E524" s="1" t="n">
        <v>46255</v>
      </c>
      <c r="F524" t="inlineStr">
        <is>
          <t>ÖSTERGÖTLANDS LÄN</t>
        </is>
      </c>
      <c r="G524" t="inlineStr">
        <is>
          <t>FINSPÅNG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46255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45133</v>
      </c>
      <c r="E526" s="1" t="n">
        <v>46255</v>
      </c>
      <c r="F526" t="inlineStr">
        <is>
          <t>ÖSTERGÖTLANDS LÄN</t>
        </is>
      </c>
      <c r="G526" t="inlineStr">
        <is>
          <t>FINSPÅNG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17594-2026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46121</v>
      </c>
      <c r="E527" s="1" t="n">
        <v>46255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Sveaskog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73655-2021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44551</v>
      </c>
      <c r="E528" s="1" t="n">
        <v>46255</v>
      </c>
      <c r="F528" t="inlineStr">
        <is>
          <t>ÖSTERGÖTLANDS LÄN</t>
        </is>
      </c>
      <c r="G528" t="inlineStr">
        <is>
          <t>FINSPÅNG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22603-2024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45447</v>
      </c>
      <c r="E529" s="1" t="n">
        <v>46255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39655-2023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45167</v>
      </c>
      <c r="E530" s="1" t="n">
        <v>46255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Kyrkan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35276-2025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45853</v>
      </c>
      <c r="E531" s="1" t="n">
        <v>46255</v>
      </c>
      <c r="F531" t="inlineStr">
        <is>
          <t>ÖSTERGÖTLANDS LÄN</t>
        </is>
      </c>
      <c r="G531" t="inlineStr">
        <is>
          <t>FINSPÅNG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46255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46255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44937</v>
      </c>
      <c r="E534" s="1" t="n">
        <v>46255</v>
      </c>
      <c r="F534" t="inlineStr">
        <is>
          <t>ÖSTERGÖTLANDS LÄN</t>
        </is>
      </c>
      <c r="G534" t="inlineStr">
        <is>
          <t>FINSPÅNG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46255</v>
      </c>
      <c r="F535" t="inlineStr">
        <is>
          <t>ÖSTERGÖTLANDS LÄN</t>
        </is>
      </c>
      <c r="G535" t="inlineStr">
        <is>
          <t>FINSPÅNG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46255</v>
      </c>
      <c r="F536" t="inlineStr">
        <is>
          <t>ÖSTERGÖTLANDS LÄN</t>
        </is>
      </c>
      <c r="G536" t="inlineStr">
        <is>
          <t>FINSPÅNG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18086-2026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46255</v>
      </c>
      <c r="F537" t="inlineStr">
        <is>
          <t>ÖSTERGÖTLANDS LÄN</t>
        </is>
      </c>
      <c r="G537" t="inlineStr">
        <is>
          <t>FINSPÅNG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17769-2026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46122</v>
      </c>
      <c r="E538" s="1" t="n">
        <v>46255</v>
      </c>
      <c r="F538" t="inlineStr">
        <is>
          <t>ÖSTERGÖTLANDS LÄN</t>
        </is>
      </c>
      <c r="G538" t="inlineStr">
        <is>
          <t>FINSPÅNG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46255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Kyrkan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46255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46255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44981</v>
      </c>
      <c r="E542" s="1" t="n">
        <v>46255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46034</v>
      </c>
      <c r="E543" s="1" t="n">
        <v>46255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46255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46036</v>
      </c>
      <c r="E545" s="1" t="n">
        <v>46255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45041</v>
      </c>
      <c r="E546" s="1" t="n">
        <v>46255</v>
      </c>
      <c r="F546" t="inlineStr">
        <is>
          <t>ÖSTERGÖTLANDS LÄN</t>
        </is>
      </c>
      <c r="G546" t="inlineStr">
        <is>
          <t>FINSPÅNG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21655-2023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45063</v>
      </c>
      <c r="E547" s="1" t="n">
        <v>46255</v>
      </c>
      <c r="F547" t="inlineStr">
        <is>
          <t>ÖSTERGÖTLANDS LÄN</t>
        </is>
      </c>
      <c r="G547" t="inlineStr">
        <is>
          <t>FINSPÅNG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31025-2023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46255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45601</v>
      </c>
      <c r="E549" s="1" t="n">
        <v>46255</v>
      </c>
      <c r="F549" t="inlineStr">
        <is>
          <t>ÖSTERGÖTLANDS LÄN</t>
        </is>
      </c>
      <c r="G549" t="inlineStr">
        <is>
          <t>FINSPÅNG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17994-2023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45040</v>
      </c>
      <c r="E550" s="1" t="n">
        <v>46255</v>
      </c>
      <c r="F550" t="inlineStr">
        <is>
          <t>ÖSTERGÖTLANDS LÄN</t>
        </is>
      </c>
      <c r="G550" t="inlineStr">
        <is>
          <t>FINSPÅNG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18974-2026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46129</v>
      </c>
      <c r="E551" s="1" t="n">
        <v>46255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15614-2023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45020</v>
      </c>
      <c r="E552" s="1" t="n">
        <v>46255</v>
      </c>
      <c r="F552" t="inlineStr">
        <is>
          <t>ÖSTERGÖTLANDS LÄN</t>
        </is>
      </c>
      <c r="G552" t="inlineStr">
        <is>
          <t>FINSPÅNG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48652-2024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45593</v>
      </c>
      <c r="E553" s="1" t="n">
        <v>46255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Övriga Aktiebolag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46040</v>
      </c>
      <c r="E554" s="1" t="n">
        <v>46255</v>
      </c>
      <c r="F554" t="inlineStr">
        <is>
          <t>ÖSTERGÖTLANDS LÄN</t>
        </is>
      </c>
      <c r="G554" t="inlineStr">
        <is>
          <t>FINSPÅNG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46040</v>
      </c>
      <c r="E555" s="1" t="n">
        <v>46255</v>
      </c>
      <c r="F555" t="inlineStr">
        <is>
          <t>ÖSTERGÖTLANDS LÄN</t>
        </is>
      </c>
      <c r="G555" t="inlineStr">
        <is>
          <t>FINSPÅNG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45068</v>
      </c>
      <c r="E556" s="1" t="n">
        <v>46255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36192-2023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45149</v>
      </c>
      <c r="E557" s="1" t="n">
        <v>46255</v>
      </c>
      <c r="F557" t="inlineStr">
        <is>
          <t>ÖSTERGÖTLANDS LÄN</t>
        </is>
      </c>
      <c r="G557" t="inlineStr">
        <is>
          <t>FINSPÅNG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46255</v>
      </c>
      <c r="F558" t="inlineStr">
        <is>
          <t>ÖSTERGÖTLANDS LÄN</t>
        </is>
      </c>
      <c r="G558" t="inlineStr">
        <is>
          <t>FINSPÅNG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46255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46255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54581-2024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45617</v>
      </c>
      <c r="E561" s="1" t="n">
        <v>46255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46255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46255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46255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46255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10206-2022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44622</v>
      </c>
      <c r="E566" s="1" t="n">
        <v>46255</v>
      </c>
      <c r="F566" t="inlineStr">
        <is>
          <t>ÖSTERGÖTLANDS LÄN</t>
        </is>
      </c>
      <c r="G566" t="inlineStr">
        <is>
          <t>FINSPÅNG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46255</v>
      </c>
      <c r="F567" t="inlineStr">
        <is>
          <t>ÖSTERGÖTLANDS LÄN</t>
        </is>
      </c>
      <c r="G567" t="inlineStr">
        <is>
          <t>FINSPÅNG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44564</v>
      </c>
      <c r="E568" s="1" t="n">
        <v>46255</v>
      </c>
      <c r="F568" t="inlineStr">
        <is>
          <t>ÖSTERGÖTLANDS LÄN</t>
        </is>
      </c>
      <c r="G568" t="inlineStr">
        <is>
          <t>FINSPÅNG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5156-2023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44958</v>
      </c>
      <c r="E569" s="1" t="n">
        <v>46255</v>
      </c>
      <c r="F569" t="inlineStr">
        <is>
          <t>ÖSTERGÖTLANDS LÄN</t>
        </is>
      </c>
      <c r="G569" t="inlineStr">
        <is>
          <t>FINSPÅNG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45095</v>
      </c>
      <c r="E570" s="1" t="n">
        <v>46255</v>
      </c>
      <c r="F570" t="inlineStr">
        <is>
          <t>ÖSTERGÖTLANDS LÄN</t>
        </is>
      </c>
      <c r="G570" t="inlineStr">
        <is>
          <t>FINSPÅNG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45086</v>
      </c>
      <c r="E571" s="1" t="n">
        <v>46255</v>
      </c>
      <c r="F571" t="inlineStr">
        <is>
          <t>ÖSTERGÖTLANDS LÄN</t>
        </is>
      </c>
      <c r="G571" t="inlineStr">
        <is>
          <t>FINSPÅNG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65742-2021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44516</v>
      </c>
      <c r="E572" s="1" t="n">
        <v>46255</v>
      </c>
      <c r="F572" t="inlineStr">
        <is>
          <t>ÖSTERGÖTLANDS LÄN</t>
        </is>
      </c>
      <c r="G572" t="inlineStr">
        <is>
          <t>FINSPÅNG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46255</v>
      </c>
      <c r="F573" t="inlineStr">
        <is>
          <t>ÖSTERGÖTLANDS LÄN</t>
        </is>
      </c>
      <c r="G573" t="inlineStr">
        <is>
          <t>FINSPÅNG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7825-2025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45706</v>
      </c>
      <c r="E574" s="1" t="n">
        <v>46255</v>
      </c>
      <c r="F574" t="inlineStr">
        <is>
          <t>ÖSTERGÖTLANDS LÄN</t>
        </is>
      </c>
      <c r="G574" t="inlineStr">
        <is>
          <t>FINSPÅNG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18134-2023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45040</v>
      </c>
      <c r="E575" s="1" t="n">
        <v>46255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45692</v>
      </c>
      <c r="E576" s="1" t="n">
        <v>46255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53670-2024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45615</v>
      </c>
      <c r="E577" s="1" t="n">
        <v>46255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46255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46255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46255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Övriga Aktiebolag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14142-2025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45740</v>
      </c>
      <c r="E581" s="1" t="n">
        <v>46255</v>
      </c>
      <c r="F581" t="inlineStr">
        <is>
          <t>ÖSTERGÖTLANDS LÄN</t>
        </is>
      </c>
      <c r="G581" t="inlineStr">
        <is>
          <t>FINSPÅNG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46255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52561-2024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45609</v>
      </c>
      <c r="E583" s="1" t="n">
        <v>46255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7559-2026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46060</v>
      </c>
      <c r="E584" s="1" t="n">
        <v>46255</v>
      </c>
      <c r="F584" t="inlineStr">
        <is>
          <t>ÖSTERGÖTLANDS LÄN</t>
        </is>
      </c>
      <c r="G584" t="inlineStr">
        <is>
          <t>FINSPÅNG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40065-2024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45554</v>
      </c>
      <c r="E585" s="1" t="n">
        <v>46255</v>
      </c>
      <c r="F585" t="inlineStr">
        <is>
          <t>ÖSTERGÖTLANDS LÄN</t>
        </is>
      </c>
      <c r="G585" t="inlineStr">
        <is>
          <t>FINSPÅNG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43950-2025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45915</v>
      </c>
      <c r="E586" s="1" t="n">
        <v>46255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7826-2025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45706</v>
      </c>
      <c r="E587" s="1" t="n">
        <v>46255</v>
      </c>
      <c r="F587" t="inlineStr">
        <is>
          <t>ÖSTERGÖTLANDS LÄN</t>
        </is>
      </c>
      <c r="G587" t="inlineStr">
        <is>
          <t>FINSPÅNG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45853</v>
      </c>
      <c r="E588" s="1" t="n">
        <v>46255</v>
      </c>
      <c r="F588" t="inlineStr">
        <is>
          <t>ÖSTERGÖTLANDS LÄN</t>
        </is>
      </c>
      <c r="G588" t="inlineStr">
        <is>
          <t>FINSPÅNG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45783</v>
      </c>
      <c r="E589" s="1" t="n">
        <v>46255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46255</v>
      </c>
      <c r="F590" t="inlineStr">
        <is>
          <t>ÖSTERGÖTLANDS LÄN</t>
        </is>
      </c>
      <c r="G590" t="inlineStr">
        <is>
          <t>FINSPÅNG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39415-2024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45551</v>
      </c>
      <c r="E591" s="1" t="n">
        <v>46255</v>
      </c>
      <c r="F591" t="inlineStr">
        <is>
          <t>ÖSTERGÖTLANDS LÄN</t>
        </is>
      </c>
      <c r="G591" t="inlineStr">
        <is>
          <t>FINSPÅNG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10215-2022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44622</v>
      </c>
      <c r="E592" s="1" t="n">
        <v>46255</v>
      </c>
      <c r="F592" t="inlineStr">
        <is>
          <t>ÖSTERGÖTLANDS LÄN</t>
        </is>
      </c>
      <c r="G592" t="inlineStr">
        <is>
          <t>FINSPÅNG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6635-2025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45700</v>
      </c>
      <c r="E593" s="1" t="n">
        <v>46255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23724-2023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45077</v>
      </c>
      <c r="E594" s="1" t="n">
        <v>46255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48466-2023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45206</v>
      </c>
      <c r="E595" s="1" t="n">
        <v>46255</v>
      </c>
      <c r="F595" t="inlineStr">
        <is>
          <t>ÖSTERGÖTLANDS LÄN</t>
        </is>
      </c>
      <c r="G595" t="inlineStr">
        <is>
          <t>FINSPÅNG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46255</v>
      </c>
      <c r="F596" t="inlineStr">
        <is>
          <t>ÖSTERGÖTLANDS LÄN</t>
        </is>
      </c>
      <c r="G596" t="inlineStr">
        <is>
          <t>FINSPÅNG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46255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41328-2023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46255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Kyrkan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46255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34758-2022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44795</v>
      </c>
      <c r="E600" s="1" t="n">
        <v>46255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Övriga Aktiebolag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32789-2024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45516</v>
      </c>
      <c r="E601" s="1" t="n">
        <v>46255</v>
      </c>
      <c r="F601" t="inlineStr">
        <is>
          <t>ÖSTERGÖTLANDS LÄN</t>
        </is>
      </c>
      <c r="G601" t="inlineStr">
        <is>
          <t>FINSPÅNG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45715</v>
      </c>
      <c r="E602" s="1" t="n">
        <v>46255</v>
      </c>
      <c r="F602" t="inlineStr">
        <is>
          <t>ÖSTERGÖTLANDS LÄN</t>
        </is>
      </c>
      <c r="G602" t="inlineStr">
        <is>
          <t>FINSPÅNG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11730-2022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44634</v>
      </c>
      <c r="E603" s="1" t="n">
        <v>46255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18349-2025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46255</v>
      </c>
      <c r="F604" t="inlineStr">
        <is>
          <t>ÖSTERGÖTLANDS LÄN</t>
        </is>
      </c>
      <c r="G604" t="inlineStr">
        <is>
          <t>FINSPÅNG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41513-2024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45560</v>
      </c>
      <c r="E605" s="1" t="n">
        <v>46255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10083-2025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45719</v>
      </c>
      <c r="E606" s="1" t="n">
        <v>46255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46255</v>
      </c>
      <c r="F607" t="inlineStr">
        <is>
          <t>ÖSTERGÖTLANDS LÄN</t>
        </is>
      </c>
      <c r="G607" t="inlineStr">
        <is>
          <t>FINSPÅNG</t>
        </is>
      </c>
      <c r="I607" t="n">
        <v>8.300000000000001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35570-2023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46255</v>
      </c>
      <c r="F608" t="inlineStr">
        <is>
          <t>ÖSTERGÖTLANDS LÄN</t>
        </is>
      </c>
      <c r="G608" t="inlineStr">
        <is>
          <t>FINSPÅNG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48790-2023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46255</v>
      </c>
      <c r="F609" t="inlineStr">
        <is>
          <t>ÖSTERGÖTLANDS LÄN</t>
        </is>
      </c>
      <c r="G609" t="inlineStr">
        <is>
          <t>FINSPÅNG</t>
        </is>
      </c>
      <c r="I609" t="n">
        <v>14.6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48793-2023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45209</v>
      </c>
      <c r="E610" s="1" t="n">
        <v>46255</v>
      </c>
      <c r="F610" t="inlineStr">
        <is>
          <t>ÖSTERGÖTLANDS LÄN</t>
        </is>
      </c>
      <c r="G610" t="inlineStr">
        <is>
          <t>FINSPÅNG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56420-2023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46255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45660</v>
      </c>
      <c r="E612" s="1" t="n">
        <v>46255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Övriga Aktiebolag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28722-2023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45103</v>
      </c>
      <c r="E613" s="1" t="n">
        <v>46255</v>
      </c>
      <c r="F613" t="inlineStr">
        <is>
          <t>ÖSTERGÖTLANDS LÄN</t>
        </is>
      </c>
      <c r="G613" t="inlineStr">
        <is>
          <t>FINSPÅNG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59287-2023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45253</v>
      </c>
      <c r="E614" s="1" t="n">
        <v>46255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15824-2022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44664</v>
      </c>
      <c r="E615" s="1" t="n">
        <v>46255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8236-2026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46064</v>
      </c>
      <c r="E616" s="1" t="n">
        <v>46255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Sveaskog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63482-2023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45274</v>
      </c>
      <c r="E617" s="1" t="n">
        <v>46255</v>
      </c>
      <c r="F617" t="inlineStr">
        <is>
          <t>ÖSTERGÖTLANDS LÄN</t>
        </is>
      </c>
      <c r="G617" t="inlineStr">
        <is>
          <t>FINSPÅNG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30920-2022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44767</v>
      </c>
      <c r="E618" s="1" t="n">
        <v>46255</v>
      </c>
      <c r="F618" t="inlineStr">
        <is>
          <t>ÖSTERGÖTLANDS LÄN</t>
        </is>
      </c>
      <c r="G618" t="inlineStr">
        <is>
          <t>FINSPÅNG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10252-2025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45720</v>
      </c>
      <c r="E619" s="1" t="n">
        <v>46255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26247-2022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44735</v>
      </c>
      <c r="E620" s="1" t="n">
        <v>46255</v>
      </c>
      <c r="F620" t="inlineStr">
        <is>
          <t>ÖSTERGÖTLANDS LÄN</t>
        </is>
      </c>
      <c r="G620" t="inlineStr">
        <is>
          <t>FINSPÅNG</t>
        </is>
      </c>
      <c r="I620" t="n">
        <v>10.1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20821-2026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46141</v>
      </c>
      <c r="E621" s="1" t="n">
        <v>46255</v>
      </c>
      <c r="F621" t="inlineStr">
        <is>
          <t>ÖSTERGÖTLANDS LÄN</t>
        </is>
      </c>
      <c r="G621" t="inlineStr">
        <is>
          <t>FINSPÅNG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46141</v>
      </c>
      <c r="E622" s="1" t="n">
        <v>46255</v>
      </c>
      <c r="F622" t="inlineStr">
        <is>
          <t>ÖSTERGÖTLANDS LÄN</t>
        </is>
      </c>
      <c r="G622" t="inlineStr">
        <is>
          <t>FINSPÅNG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25195-2022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44729</v>
      </c>
      <c r="E623" s="1" t="n">
        <v>46255</v>
      </c>
      <c r="F623" t="inlineStr">
        <is>
          <t>ÖSTERGÖTLANDS LÄN</t>
        </is>
      </c>
      <c r="G623" t="inlineStr">
        <is>
          <t>FINSPÅNG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36191-2023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45149</v>
      </c>
      <c r="E624" s="1" t="n">
        <v>46255</v>
      </c>
      <c r="F624" t="inlineStr">
        <is>
          <t>ÖSTERGÖTLANDS LÄN</t>
        </is>
      </c>
      <c r="G624" t="inlineStr">
        <is>
          <t>FINSPÅNG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59799-2023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45257</v>
      </c>
      <c r="E625" s="1" t="n">
        <v>46255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2741-2024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45314</v>
      </c>
      <c r="E626" s="1" t="n">
        <v>46255</v>
      </c>
      <c r="F626" t="inlineStr">
        <is>
          <t>ÖSTERGÖTLANDS LÄN</t>
        </is>
      </c>
      <c r="G626" t="inlineStr">
        <is>
          <t>FINSPÅNG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16680-2022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44672</v>
      </c>
      <c r="E627" s="1" t="n">
        <v>46255</v>
      </c>
      <c r="F627" t="inlineStr">
        <is>
          <t>ÖSTERGÖTLANDS LÄN</t>
        </is>
      </c>
      <c r="G627" t="inlineStr">
        <is>
          <t>FINSPÅNG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45308</v>
      </c>
      <c r="E628" s="1" t="n">
        <v>46255</v>
      </c>
      <c r="F628" t="inlineStr">
        <is>
          <t>ÖSTERGÖTLANDS LÄN</t>
        </is>
      </c>
      <c r="G628" t="inlineStr">
        <is>
          <t>FINSPÅNG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40319-2022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44823</v>
      </c>
      <c r="E629" s="1" t="n">
        <v>46255</v>
      </c>
      <c r="F629" t="inlineStr">
        <is>
          <t>ÖSTERGÖTLANDS LÄN</t>
        </is>
      </c>
      <c r="G629" t="inlineStr">
        <is>
          <t>FINSPÅNG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55980-2024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45623</v>
      </c>
      <c r="E630" s="1" t="n">
        <v>46255</v>
      </c>
      <c r="F630" t="inlineStr">
        <is>
          <t>ÖSTERGÖTLANDS LÄN</t>
        </is>
      </c>
      <c r="G630" t="inlineStr">
        <is>
          <t>FINSPÅNG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44813</v>
      </c>
      <c r="E631" s="1" t="n">
        <v>46255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43051-2022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44833</v>
      </c>
      <c r="E632" s="1" t="n">
        <v>46255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26195-2024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45468</v>
      </c>
      <c r="E633" s="1" t="n">
        <v>46255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12483-2024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45379</v>
      </c>
      <c r="E634" s="1" t="n">
        <v>46255</v>
      </c>
      <c r="F634" t="inlineStr">
        <is>
          <t>ÖSTERGÖTLANDS LÄN</t>
        </is>
      </c>
      <c r="G634" t="inlineStr">
        <is>
          <t>FINSPÅNG</t>
        </is>
      </c>
      <c r="I634" t="n">
        <v>11.9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45309</v>
      </c>
      <c r="E635" s="1" t="n">
        <v>46255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45309</v>
      </c>
      <c r="E636" s="1" t="n">
        <v>46255</v>
      </c>
      <c r="F636" t="inlineStr">
        <is>
          <t>ÖSTERGÖTLANDS LÄN</t>
        </is>
      </c>
      <c r="G636" t="inlineStr">
        <is>
          <t>FINSPÅNG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45309</v>
      </c>
      <c r="E637" s="1" t="n">
        <v>46255</v>
      </c>
      <c r="F637" t="inlineStr">
        <is>
          <t>ÖSTERGÖTLANDS LÄN</t>
        </is>
      </c>
      <c r="G637" t="inlineStr">
        <is>
          <t>FINSPÅNG</t>
        </is>
      </c>
      <c r="I637" t="n">
        <v>15.1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57678-2025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45980</v>
      </c>
      <c r="E638" s="1" t="n">
        <v>46255</v>
      </c>
      <c r="F638" t="inlineStr">
        <is>
          <t>ÖSTERGÖTLANDS LÄN</t>
        </is>
      </c>
      <c r="G638" t="inlineStr">
        <is>
          <t>FINSPÅNG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59838-2023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45257</v>
      </c>
      <c r="E639" s="1" t="n">
        <v>46255</v>
      </c>
      <c r="F639" t="inlineStr">
        <is>
          <t>ÖSTERGÖTLANDS LÄN</t>
        </is>
      </c>
      <c r="G639" t="inlineStr">
        <is>
          <t>FINSPÅNG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45302</v>
      </c>
      <c r="E640" s="1" t="n">
        <v>46255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43534-2023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45184</v>
      </c>
      <c r="E641" s="1" t="n">
        <v>46255</v>
      </c>
      <c r="F641" t="inlineStr">
        <is>
          <t>ÖSTERGÖTLANDS LÄN</t>
        </is>
      </c>
      <c r="G641" t="inlineStr">
        <is>
          <t>FINSPÅNG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6731-2023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44966</v>
      </c>
      <c r="E642" s="1" t="n">
        <v>46255</v>
      </c>
      <c r="F642" t="inlineStr">
        <is>
          <t>ÖSTERGÖTLANDS LÄN</t>
        </is>
      </c>
      <c r="G642" t="inlineStr">
        <is>
          <t>FINSPÅNG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30922-2022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44767</v>
      </c>
      <c r="E643" s="1" t="n">
        <v>46255</v>
      </c>
      <c r="F643" t="inlineStr">
        <is>
          <t>ÖSTERGÖTLANDS LÄN</t>
        </is>
      </c>
      <c r="G643" t="inlineStr">
        <is>
          <t>FINSPÅNG</t>
        </is>
      </c>
      <c r="I643" t="n">
        <v>10.6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34119-2025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45845</v>
      </c>
      <c r="E644" s="1" t="n">
        <v>46255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39205-2022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44817</v>
      </c>
      <c r="E645" s="1" t="n">
        <v>46255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45040</v>
      </c>
      <c r="E646" s="1" t="n">
        <v>46255</v>
      </c>
      <c r="F646" t="inlineStr">
        <is>
          <t>ÖSTERGÖTLANDS LÄN</t>
        </is>
      </c>
      <c r="G646" t="inlineStr">
        <is>
          <t>FINSPÅNG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22938-2026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46160</v>
      </c>
      <c r="E647" s="1" t="n">
        <v>46255</v>
      </c>
      <c r="F647" t="inlineStr">
        <is>
          <t>ÖSTERGÖTLANDS LÄN</t>
        </is>
      </c>
      <c r="G647" t="inlineStr">
        <is>
          <t>FINSPÅNG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5616-2022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44595</v>
      </c>
      <c r="E648" s="1" t="n">
        <v>46255</v>
      </c>
      <c r="F648" t="inlineStr">
        <is>
          <t>ÖSTERGÖTLANDS LÄN</t>
        </is>
      </c>
      <c r="G648" t="inlineStr">
        <is>
          <t>FINSPÅNG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8700-2025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45712</v>
      </c>
      <c r="E649" s="1" t="n">
        <v>46255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10485-2026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46255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Kyrkan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14110-2023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45009</v>
      </c>
      <c r="E651" s="1" t="n">
        <v>46255</v>
      </c>
      <c r="F651" t="inlineStr">
        <is>
          <t>ÖSTERGÖTLANDS LÄN</t>
        </is>
      </c>
      <c r="G651" t="inlineStr">
        <is>
          <t>FINSPÅNG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24804-2023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45084</v>
      </c>
      <c r="E652" s="1" t="n">
        <v>46255</v>
      </c>
      <c r="F652" t="inlineStr">
        <is>
          <t>ÖSTERGÖTLANDS LÄN</t>
        </is>
      </c>
      <c r="G652" t="inlineStr">
        <is>
          <t>FINSPÅNG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33027-2022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44782</v>
      </c>
      <c r="E653" s="1" t="n">
        <v>46255</v>
      </c>
      <c r="F653" t="inlineStr">
        <is>
          <t>ÖSTERGÖTLANDS LÄN</t>
        </is>
      </c>
      <c r="G653" t="inlineStr">
        <is>
          <t>FINSPÅNG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22714-2022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44714</v>
      </c>
      <c r="E654" s="1" t="n">
        <v>46255</v>
      </c>
      <c r="F654" t="inlineStr">
        <is>
          <t>ÖSTERGÖTLANDS LÄN</t>
        </is>
      </c>
      <c r="G654" t="inlineStr">
        <is>
          <t>FINSPÅNG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45299</v>
      </c>
      <c r="E655" s="1" t="n">
        <v>46255</v>
      </c>
      <c r="F655" t="inlineStr">
        <is>
          <t>ÖSTERGÖTLANDS LÄN</t>
        </is>
      </c>
      <c r="G655" t="inlineStr">
        <is>
          <t>FINSPÅNG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29078-2022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44749</v>
      </c>
      <c r="E656" s="1" t="n">
        <v>46255</v>
      </c>
      <c r="F656" t="inlineStr">
        <is>
          <t>ÖSTERGÖTLANDS LÄN</t>
        </is>
      </c>
      <c r="G656" t="inlineStr">
        <is>
          <t>FINSPÅNG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49494-2022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44861</v>
      </c>
      <c r="E657" s="1" t="n">
        <v>46255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Naturvårdsverket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10420-2023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44987</v>
      </c>
      <c r="E658" s="1" t="n">
        <v>46255</v>
      </c>
      <c r="F658" t="inlineStr">
        <is>
          <t>ÖSTERGÖTLANDS LÄN</t>
        </is>
      </c>
      <c r="G658" t="inlineStr">
        <is>
          <t>FINSPÅNG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53610-2022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44879</v>
      </c>
      <c r="E659" s="1" t="n">
        <v>46255</v>
      </c>
      <c r="F659" t="inlineStr">
        <is>
          <t>ÖSTERGÖTLANDS LÄN</t>
        </is>
      </c>
      <c r="G659" t="inlineStr">
        <is>
          <t>FINSPÅNG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51610-2022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44871</v>
      </c>
      <c r="E660" s="1" t="n">
        <v>46255</v>
      </c>
      <c r="F660" t="inlineStr">
        <is>
          <t>ÖSTERGÖTLANDS LÄN</t>
        </is>
      </c>
      <c r="G660" t="inlineStr">
        <is>
          <t>FINSPÅNG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68122-2021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44526</v>
      </c>
      <c r="E661" s="1" t="n">
        <v>46255</v>
      </c>
      <c r="F661" t="inlineStr">
        <is>
          <t>ÖSTERGÖTLANDS LÄN</t>
        </is>
      </c>
      <c r="G661" t="inlineStr">
        <is>
          <t>FINSPÅNG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61012-2022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44914</v>
      </c>
      <c r="E662" s="1" t="n">
        <v>46255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39114-2024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45548</v>
      </c>
      <c r="E663" s="1" t="n">
        <v>46255</v>
      </c>
      <c r="F663" t="inlineStr">
        <is>
          <t>ÖSTERGÖTLANDS LÄN</t>
        </is>
      </c>
      <c r="G663" t="inlineStr">
        <is>
          <t>FINSPÅNG</t>
        </is>
      </c>
      <c r="I663" t="n">
        <v>9.699999999999999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18488-2025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45763</v>
      </c>
      <c r="E664" s="1" t="n">
        <v>46255</v>
      </c>
      <c r="F664" t="inlineStr">
        <is>
          <t>ÖSTERGÖTLANDS LÄN</t>
        </is>
      </c>
      <c r="G664" t="inlineStr">
        <is>
          <t>FINSPÅNG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62421-2021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44503</v>
      </c>
      <c r="E665" s="1" t="n">
        <v>46255</v>
      </c>
      <c r="F665" t="inlineStr">
        <is>
          <t>ÖSTERGÖTLANDS LÄN</t>
        </is>
      </c>
      <c r="G665" t="inlineStr">
        <is>
          <t>FINSPÅNG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59062-2024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45636</v>
      </c>
      <c r="E666" s="1" t="n">
        <v>46255</v>
      </c>
      <c r="F666" t="inlineStr">
        <is>
          <t>ÖSTERGÖTLANDS LÄN</t>
        </is>
      </c>
      <c r="G666" t="inlineStr">
        <is>
          <t>FINSPÅNG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7445-2022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44607</v>
      </c>
      <c r="E667" s="1" t="n">
        <v>46255</v>
      </c>
      <c r="F667" t="inlineStr">
        <is>
          <t>ÖSTERGÖTLANDS LÄN</t>
        </is>
      </c>
      <c r="G667" t="inlineStr">
        <is>
          <t>FINSPÅNG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4280-2023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44953</v>
      </c>
      <c r="E668" s="1" t="n">
        <v>46255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39356-2022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44817</v>
      </c>
      <c r="E669" s="1" t="n">
        <v>46255</v>
      </c>
      <c r="F669" t="inlineStr">
        <is>
          <t>ÖSTERGÖTLANDS LÄN</t>
        </is>
      </c>
      <c r="G669" t="inlineStr">
        <is>
          <t>FINSPÅNG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45523</v>
      </c>
      <c r="E670" s="1" t="n">
        <v>46255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45761-2021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44441</v>
      </c>
      <c r="E671" s="1" t="n">
        <v>46255</v>
      </c>
      <c r="F671" t="inlineStr">
        <is>
          <t>ÖSTERGÖTLANDS LÄN</t>
        </is>
      </c>
      <c r="G671" t="inlineStr">
        <is>
          <t>FINSPÅNG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50811-2022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44867</v>
      </c>
      <c r="E672" s="1" t="n">
        <v>46255</v>
      </c>
      <c r="F672" t="inlineStr">
        <is>
          <t>ÖSTERGÖTLANDS LÄN</t>
        </is>
      </c>
      <c r="G672" t="inlineStr">
        <is>
          <t>FINSPÅNG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25356-2022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44732</v>
      </c>
      <c r="E673" s="1" t="n">
        <v>46255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46255</v>
      </c>
      <c r="F674" t="inlineStr">
        <is>
          <t>ÖSTERGÖTLANDS LÄN</t>
        </is>
      </c>
      <c r="G674" t="inlineStr">
        <is>
          <t>FINSPÅNG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46255</v>
      </c>
      <c r="F675" t="inlineStr">
        <is>
          <t>ÖSTERGÖTLANDS LÄN</t>
        </is>
      </c>
      <c r="G675" t="inlineStr">
        <is>
          <t>FINSPÅNG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44949</v>
      </c>
      <c r="E676" s="1" t="n">
        <v>46255</v>
      </c>
      <c r="F676" t="inlineStr">
        <is>
          <t>ÖSTERGÖTLANDS LÄN</t>
        </is>
      </c>
      <c r="G676" t="inlineStr">
        <is>
          <t>FINSPÅNG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44960</v>
      </c>
      <c r="E677" s="1" t="n">
        <v>46255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6733-2023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44966</v>
      </c>
      <c r="E678" s="1" t="n">
        <v>46255</v>
      </c>
      <c r="F678" t="inlineStr">
        <is>
          <t>ÖSTERGÖTLANDS LÄN</t>
        </is>
      </c>
      <c r="G678" t="inlineStr">
        <is>
          <t>FINSPÅNG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31301-2026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46218</v>
      </c>
      <c r="E679" s="1" t="n">
        <v>46255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Sveaskog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25844-2026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46176</v>
      </c>
      <c r="E680" s="1" t="n">
        <v>46255</v>
      </c>
      <c r="F680" t="inlineStr">
        <is>
          <t>ÖSTERGÖTLANDS LÄN</t>
        </is>
      </c>
      <c r="G680" t="inlineStr">
        <is>
          <t>FINSPÅNG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25864-2026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46176</v>
      </c>
      <c r="E681" s="1" t="n">
        <v>46255</v>
      </c>
      <c r="F681" t="inlineStr">
        <is>
          <t>ÖSTERGÖTLANDS LÄN</t>
        </is>
      </c>
      <c r="G681" t="inlineStr">
        <is>
          <t>FINSPÅNG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15473-2022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44662</v>
      </c>
      <c r="E682" s="1" t="n">
        <v>46255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31300-2026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46218</v>
      </c>
      <c r="E683" s="1" t="n">
        <v>46255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Sveaskog</t>
        </is>
      </c>
      <c r="I683" t="n">
        <v>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46176</v>
      </c>
      <c r="E684" s="1" t="n">
        <v>46255</v>
      </c>
      <c r="F684" t="inlineStr">
        <is>
          <t>ÖSTERGÖTLANDS LÄN</t>
        </is>
      </c>
      <c r="G684" t="inlineStr">
        <is>
          <t>FINSPÅNG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40410-2024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45555</v>
      </c>
      <c r="E685" s="1" t="n">
        <v>46255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61994-2022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44918</v>
      </c>
      <c r="E686" s="1" t="n">
        <v>46255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24833-2026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46255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55624-2024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45622</v>
      </c>
      <c r="E688" s="1" t="n">
        <v>46255</v>
      </c>
      <c r="F688" t="inlineStr">
        <is>
          <t>ÖSTERGÖTLANDS LÄN</t>
        </is>
      </c>
      <c r="G688" t="inlineStr">
        <is>
          <t>FINSPÅNG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24835-2026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46255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Sveaskog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25629-2026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46177</v>
      </c>
      <c r="E690" s="1" t="n">
        <v>46255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611-2023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44930</v>
      </c>
      <c r="E691" s="1" t="n">
        <v>46255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31307-2026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46219</v>
      </c>
      <c r="E692" s="1" t="n">
        <v>46255</v>
      </c>
      <c r="F692" t="inlineStr">
        <is>
          <t>ÖSTERGÖTLANDS LÄN</t>
        </is>
      </c>
      <c r="G692" t="inlineStr">
        <is>
          <t>FINSPÅNG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60173-2023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45258</v>
      </c>
      <c r="E693" s="1" t="n">
        <v>46255</v>
      </c>
      <c r="F693" t="inlineStr">
        <is>
          <t>ÖSTERGÖTLANDS LÄN</t>
        </is>
      </c>
      <c r="G693" t="inlineStr">
        <is>
          <t>FINSPÅNG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12472-2024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45379</v>
      </c>
      <c r="E694" s="1" t="n">
        <v>46255</v>
      </c>
      <c r="F694" t="inlineStr">
        <is>
          <t>ÖSTERGÖTLANDS LÄN</t>
        </is>
      </c>
      <c r="G694" t="inlineStr">
        <is>
          <t>FINSPÅNG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60619-2023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45260</v>
      </c>
      <c r="E695" s="1" t="n">
        <v>46255</v>
      </c>
      <c r="F695" t="inlineStr">
        <is>
          <t>ÖSTERGÖTLANDS LÄN</t>
        </is>
      </c>
      <c r="G695" t="inlineStr">
        <is>
          <t>FINSPÅNG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15674-2023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45021</v>
      </c>
      <c r="E696" s="1" t="n">
        <v>46255</v>
      </c>
      <c r="F696" t="inlineStr">
        <is>
          <t>ÖSTERGÖTLANDS LÄN</t>
        </is>
      </c>
      <c r="G696" t="inlineStr">
        <is>
          <t>FINSPÅNG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39740-2023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45167</v>
      </c>
      <c r="E697" s="1" t="n">
        <v>46255</v>
      </c>
      <c r="F697" t="inlineStr">
        <is>
          <t>ÖSTERGÖTLANDS LÄN</t>
        </is>
      </c>
      <c r="G697" t="inlineStr">
        <is>
          <t>FINSPÅNG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14061-2023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45008</v>
      </c>
      <c r="E698" s="1" t="n">
        <v>46255</v>
      </c>
      <c r="F698" t="inlineStr">
        <is>
          <t>ÖSTERGÖTLANDS LÄN</t>
        </is>
      </c>
      <c r="G698" t="inlineStr">
        <is>
          <t>FINSPÅNG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9339-2022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44616</v>
      </c>
      <c r="E699" s="1" t="n">
        <v>46255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25943-2026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46255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73260-2021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44550</v>
      </c>
      <c r="E701" s="1" t="n">
        <v>46255</v>
      </c>
      <c r="F701" t="inlineStr">
        <is>
          <t>ÖSTERGÖTLANDS LÄN</t>
        </is>
      </c>
      <c r="G701" t="inlineStr">
        <is>
          <t>FINSPÅNG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53572-2023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45230</v>
      </c>
      <c r="E702" s="1" t="n">
        <v>46255</v>
      </c>
      <c r="F702" t="inlineStr">
        <is>
          <t>ÖSTERGÖTLANDS LÄN</t>
        </is>
      </c>
      <c r="G702" t="inlineStr">
        <is>
          <t>FINSPÅNG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46178</v>
      </c>
      <c r="E703" s="1" t="n">
        <v>46255</v>
      </c>
      <c r="F703" t="inlineStr">
        <is>
          <t>ÖSTERGÖTLANDS LÄN</t>
        </is>
      </c>
      <c r="G703" t="inlineStr">
        <is>
          <t>FINSPÅNG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25766-2026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46178</v>
      </c>
      <c r="E704" s="1" t="n">
        <v>46255</v>
      </c>
      <c r="F704" t="inlineStr">
        <is>
          <t>ÖSTERGÖTLANDS LÄN</t>
        </is>
      </c>
      <c r="G704" t="inlineStr">
        <is>
          <t>FINSPÅNG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14565-2023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45013</v>
      </c>
      <c r="E705" s="1" t="n">
        <v>46255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47836-2021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44448</v>
      </c>
      <c r="E706" s="1" t="n">
        <v>46255</v>
      </c>
      <c r="F706" t="inlineStr">
        <is>
          <t>ÖSTERGÖTLANDS LÄN</t>
        </is>
      </c>
      <c r="G706" t="inlineStr">
        <is>
          <t>FINSPÅNG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25760-2026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46255</v>
      </c>
      <c r="F707" t="inlineStr">
        <is>
          <t>ÖSTERGÖTLANDS LÄN</t>
        </is>
      </c>
      <c r="G707" t="inlineStr">
        <is>
          <t>FINSPÅNG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40069-2024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45554</v>
      </c>
      <c r="E708" s="1" t="n">
        <v>46255</v>
      </c>
      <c r="F708" t="inlineStr">
        <is>
          <t>ÖSTERGÖTLANDS LÄN</t>
        </is>
      </c>
      <c r="G708" t="inlineStr">
        <is>
          <t>FINSPÅNG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27487-2023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45095</v>
      </c>
      <c r="E709" s="1" t="n">
        <v>46255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46225</v>
      </c>
      <c r="E710" s="1" t="n">
        <v>46255</v>
      </c>
      <c r="F710" t="inlineStr">
        <is>
          <t>ÖSTERGÖTLANDS LÄN</t>
        </is>
      </c>
      <c r="G710" t="inlineStr">
        <is>
          <t>FINSPÅNG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46226</v>
      </c>
      <c r="E711" s="1" t="n">
        <v>46255</v>
      </c>
      <c r="F711" t="inlineStr">
        <is>
          <t>ÖSTERGÖTLANDS LÄN</t>
        </is>
      </c>
      <c r="G711" t="inlineStr">
        <is>
          <t>FINSPÅNG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20157-2023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45055</v>
      </c>
      <c r="E712" s="1" t="n">
        <v>46255</v>
      </c>
      <c r="F712" t="inlineStr">
        <is>
          <t>ÖSTERGÖTLANDS LÄN</t>
        </is>
      </c>
      <c r="G712" t="inlineStr">
        <is>
          <t>FINSPÅNG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46226</v>
      </c>
      <c r="E713" s="1" t="n">
        <v>46255</v>
      </c>
      <c r="F713" t="inlineStr">
        <is>
          <t>ÖSTERGÖTLANDS LÄN</t>
        </is>
      </c>
      <c r="G713" t="inlineStr">
        <is>
          <t>FINSPÅNG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44995</v>
      </c>
      <c r="E714" s="1" t="n">
        <v>46255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28020-2023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45095</v>
      </c>
      <c r="E715" s="1" t="n">
        <v>46255</v>
      </c>
      <c r="F715" t="inlineStr">
        <is>
          <t>ÖSTERGÖTLANDS LÄN</t>
        </is>
      </c>
      <c r="G715" t="inlineStr">
        <is>
          <t>FINSPÅNG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18585-2024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45425</v>
      </c>
      <c r="E716" s="1" t="n">
        <v>46255</v>
      </c>
      <c r="F716" t="inlineStr">
        <is>
          <t>ÖSTERGÖTLANDS LÄN</t>
        </is>
      </c>
      <c r="G716" t="inlineStr">
        <is>
          <t>FINSPÅNG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57854-2022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44898</v>
      </c>
      <c r="E717" s="1" t="n">
        <v>46255</v>
      </c>
      <c r="F717" t="inlineStr">
        <is>
          <t>ÖSTERGÖTLANDS LÄN</t>
        </is>
      </c>
      <c r="G717" t="inlineStr">
        <is>
          <t>FINSPÅNG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46225</v>
      </c>
      <c r="E718" s="1" t="n">
        <v>46255</v>
      </c>
      <c r="F718" t="inlineStr">
        <is>
          <t>ÖSTERGÖTLANDS LÄN</t>
        </is>
      </c>
      <c r="G718" t="inlineStr">
        <is>
          <t>FINSPÅNG</t>
        </is>
      </c>
      <c r="I718" t="n">
        <v>10.5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42106-2023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45177</v>
      </c>
      <c r="E719" s="1" t="n">
        <v>46255</v>
      </c>
      <c r="F719" t="inlineStr">
        <is>
          <t>ÖSTERGÖTLANDS LÄN</t>
        </is>
      </c>
      <c r="G719" t="inlineStr">
        <is>
          <t>FINSPÅNG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46255</v>
      </c>
      <c r="F720" t="inlineStr">
        <is>
          <t>ÖSTERGÖTLANDS LÄN</t>
        </is>
      </c>
      <c r="G720" t="inlineStr">
        <is>
          <t>FINSPÅNG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24015-2024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45456</v>
      </c>
      <c r="E721" s="1" t="n">
        <v>46255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50189-2022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44865</v>
      </c>
      <c r="E722" s="1" t="n">
        <v>46255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9130-2023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44980</v>
      </c>
      <c r="E723" s="1" t="n">
        <v>46255</v>
      </c>
      <c r="F723" t="inlineStr">
        <is>
          <t>ÖSTERGÖTLANDS LÄN</t>
        </is>
      </c>
      <c r="G723" t="inlineStr">
        <is>
          <t>FINSPÅNG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26905-2026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46185</v>
      </c>
      <c r="E724" s="1" t="n">
        <v>46255</v>
      </c>
      <c r="F724" t="inlineStr">
        <is>
          <t>ÖSTERGÖTLANDS LÄN</t>
        </is>
      </c>
      <c r="G724" t="inlineStr">
        <is>
          <t>FINSPÅNG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6628-2023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44966</v>
      </c>
      <c r="E725" s="1" t="n">
        <v>46255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Övriga Aktiebolag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60749-2022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44914</v>
      </c>
      <c r="E726" s="1" t="n">
        <v>46255</v>
      </c>
      <c r="F726" t="inlineStr">
        <is>
          <t>ÖSTERGÖTLANDS LÄN</t>
        </is>
      </c>
      <c r="G726" t="inlineStr">
        <is>
          <t>FINSPÅNG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8317-2023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44974</v>
      </c>
      <c r="E727" s="1" t="n">
        <v>46255</v>
      </c>
      <c r="F727" t="inlineStr">
        <is>
          <t>ÖSTERGÖTLANDS LÄN</t>
        </is>
      </c>
      <c r="G727" t="inlineStr">
        <is>
          <t>FINSPÅNG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44950</v>
      </c>
      <c r="E728" s="1" t="n">
        <v>46255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27369-2026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46188</v>
      </c>
      <c r="E729" s="1" t="n">
        <v>46255</v>
      </c>
      <c r="F729" t="inlineStr">
        <is>
          <t>ÖSTERGÖTLANDS LÄN</t>
        </is>
      </c>
      <c r="G729" t="inlineStr">
        <is>
          <t>FINSPÅNG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50510-2024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45601</v>
      </c>
      <c r="E730" s="1" t="n">
        <v>46255</v>
      </c>
      <c r="F730" t="inlineStr">
        <is>
          <t>ÖSTERGÖTLANDS LÄN</t>
        </is>
      </c>
      <c r="G730" t="inlineStr">
        <is>
          <t>FINSPÅNG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4083-2024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45323</v>
      </c>
      <c r="E731" s="1" t="n">
        <v>46255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42779-2023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45181</v>
      </c>
      <c r="E732" s="1" t="n">
        <v>46255</v>
      </c>
      <c r="F732" t="inlineStr">
        <is>
          <t>ÖSTERGÖTLANDS LÄN</t>
        </is>
      </c>
      <c r="G732" t="inlineStr">
        <is>
          <t>FINSPÅNG</t>
        </is>
      </c>
      <c r="I732" t="n">
        <v>4.9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18445-2023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45042</v>
      </c>
      <c r="E733" s="1" t="n">
        <v>46255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46232</v>
      </c>
      <c r="E734" s="1" t="n">
        <v>46255</v>
      </c>
      <c r="F734" t="inlineStr">
        <is>
          <t>ÖSTERGÖTLANDS LÄN</t>
        </is>
      </c>
      <c r="G734" t="inlineStr">
        <is>
          <t>FINSPÅNG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45257</v>
      </c>
      <c r="E735" s="1" t="n">
        <v>46255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52731-2023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45225</v>
      </c>
      <c r="E736" s="1" t="n">
        <v>46255</v>
      </c>
      <c r="F736" t="inlineStr">
        <is>
          <t>ÖSTERGÖTLANDS LÄN</t>
        </is>
      </c>
      <c r="G736" t="inlineStr">
        <is>
          <t>FINSPÅNG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24458-2023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45082</v>
      </c>
      <c r="E737" s="1" t="n">
        <v>46255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6.6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36110-2023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45149</v>
      </c>
      <c r="E738" s="1" t="n">
        <v>46255</v>
      </c>
      <c r="F738" t="inlineStr">
        <is>
          <t>ÖSTERGÖTLANDS LÄN</t>
        </is>
      </c>
      <c r="G738" t="inlineStr">
        <is>
          <t>FINSPÅNG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46233</v>
      </c>
      <c r="E739" s="1" t="n">
        <v>46255</v>
      </c>
      <c r="F739" t="inlineStr">
        <is>
          <t>ÖSTERGÖTLANDS LÄN</t>
        </is>
      </c>
      <c r="G739" t="inlineStr">
        <is>
          <t>FINSPÅNG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44993</v>
      </c>
      <c r="E740" s="1" t="n">
        <v>46255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10412-2023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44987</v>
      </c>
      <c r="E741" s="1" t="n">
        <v>46255</v>
      </c>
      <c r="F741" t="inlineStr">
        <is>
          <t>ÖSTERGÖTLANDS LÄN</t>
        </is>
      </c>
      <c r="G741" t="inlineStr">
        <is>
          <t>FINSPÅNG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58011-2023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45247</v>
      </c>
      <c r="E742" s="1" t="n">
        <v>46255</v>
      </c>
      <c r="F742" t="inlineStr">
        <is>
          <t>ÖSTERGÖTLANDS LÄN</t>
        </is>
      </c>
      <c r="G742" t="inlineStr">
        <is>
          <t>FINSPÅNG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18356-2024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45422</v>
      </c>
      <c r="E743" s="1" t="n">
        <v>46255</v>
      </c>
      <c r="F743" t="inlineStr">
        <is>
          <t>ÖSTERGÖTLANDS LÄN</t>
        </is>
      </c>
      <c r="G743" t="inlineStr">
        <is>
          <t>FINSPÅNG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49904-2023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45214</v>
      </c>
      <c r="E744" s="1" t="n">
        <v>46255</v>
      </c>
      <c r="F744" t="inlineStr">
        <is>
          <t>ÖSTERGÖTLANDS LÄN</t>
        </is>
      </c>
      <c r="G744" t="inlineStr">
        <is>
          <t>FINSPÅNG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18258-2024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45421</v>
      </c>
      <c r="E745" s="1" t="n">
        <v>46255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18171-2024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45420</v>
      </c>
      <c r="E746" s="1" t="n">
        <v>46255</v>
      </c>
      <c r="F746" t="inlineStr">
        <is>
          <t>ÖSTERGÖTLANDS LÄN</t>
        </is>
      </c>
      <c r="G746" t="inlineStr">
        <is>
          <t>FINSPÅNG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32973-2023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45125</v>
      </c>
      <c r="E747" s="1" t="n">
        <v>46255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Övriga Aktiebolag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16975-2023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45033</v>
      </c>
      <c r="E748" s="1" t="n">
        <v>46255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Naturvårdsverket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28559-2023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45103</v>
      </c>
      <c r="E749" s="1" t="n">
        <v>46255</v>
      </c>
      <c r="F749" t="inlineStr">
        <is>
          <t>ÖSTERGÖTLANDS LÄN</t>
        </is>
      </c>
      <c r="G749" t="inlineStr">
        <is>
          <t>FINSPÅNG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45688</v>
      </c>
      <c r="E750" s="1" t="n">
        <v>46255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15952-2023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45022</v>
      </c>
      <c r="E751" s="1" t="n">
        <v>46255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15129-2025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45744</v>
      </c>
      <c r="E752" s="1" t="n">
        <v>46255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Naturvårdsverket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62186-2023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45267</v>
      </c>
      <c r="E753" s="1" t="n">
        <v>46255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47224-2023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45202</v>
      </c>
      <c r="E754" s="1" t="n">
        <v>46255</v>
      </c>
      <c r="F754" t="inlineStr">
        <is>
          <t>ÖSTERGÖTLANDS LÄN</t>
        </is>
      </c>
      <c r="G754" t="inlineStr">
        <is>
          <t>FINSPÅNG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31801-2023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45118</v>
      </c>
      <c r="E755" s="1" t="n">
        <v>46255</v>
      </c>
      <c r="F755" t="inlineStr">
        <is>
          <t>ÖSTERGÖTLANDS LÄN</t>
        </is>
      </c>
      <c r="G755" t="inlineStr">
        <is>
          <t>FINSPÅNG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52730-2023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45225</v>
      </c>
      <c r="E756" s="1" t="n">
        <v>46255</v>
      </c>
      <c r="F756" t="inlineStr">
        <is>
          <t>ÖSTERGÖTLANDS LÄN</t>
        </is>
      </c>
      <c r="G756" t="inlineStr">
        <is>
          <t>FINSPÅNG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58141-2022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44900</v>
      </c>
      <c r="E757" s="1" t="n">
        <v>46255</v>
      </c>
      <c r="F757" t="inlineStr">
        <is>
          <t>ÖSTERGÖTLANDS LÄN</t>
        </is>
      </c>
      <c r="G757" t="inlineStr">
        <is>
          <t>FINSPÅNG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28386-2026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46196</v>
      </c>
      <c r="E758" s="1" t="n">
        <v>46255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Kommuner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9418-2023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44981</v>
      </c>
      <c r="E759" s="1" t="n">
        <v>46255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62168-2022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44922</v>
      </c>
      <c r="E760" s="1" t="n">
        <v>46255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45311-2023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45191</v>
      </c>
      <c r="E761" s="1" t="n">
        <v>46255</v>
      </c>
      <c r="F761" t="inlineStr">
        <is>
          <t>ÖSTERGÖTLANDS LÄN</t>
        </is>
      </c>
      <c r="G761" t="inlineStr">
        <is>
          <t>FINSPÅNG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42176-2023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45178</v>
      </c>
      <c r="E762" s="1" t="n">
        <v>46255</v>
      </c>
      <c r="F762" t="inlineStr">
        <is>
          <t>ÖSTERGÖTLANDS LÄN</t>
        </is>
      </c>
      <c r="G762" t="inlineStr">
        <is>
          <t>FINSPÅNG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34309-2025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45846</v>
      </c>
      <c r="E763" s="1" t="n">
        <v>46255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42111-2023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45177</v>
      </c>
      <c r="E764" s="1" t="n">
        <v>46255</v>
      </c>
      <c r="F764" t="inlineStr">
        <is>
          <t>ÖSTERGÖTLANDS LÄN</t>
        </is>
      </c>
      <c r="G764" t="inlineStr">
        <is>
          <t>FINSPÅNG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55956-2024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45623</v>
      </c>
      <c r="E765" s="1" t="n">
        <v>46255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59699-2024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45639</v>
      </c>
      <c r="E766" s="1" t="n">
        <v>46255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46317-2023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45197</v>
      </c>
      <c r="E767" s="1" t="n">
        <v>46255</v>
      </c>
      <c r="F767" t="inlineStr">
        <is>
          <t>ÖSTERGÖTLANDS LÄN</t>
        </is>
      </c>
      <c r="G767" t="inlineStr">
        <is>
          <t>FINSPÅNG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61359-2023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45264</v>
      </c>
      <c r="E768" s="1" t="n">
        <v>46255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29018-2026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46255</v>
      </c>
      <c r="F769" t="inlineStr">
        <is>
          <t>ÖSTERGÖTLANDS LÄN</t>
        </is>
      </c>
      <c r="G769" t="inlineStr">
        <is>
          <t>FINSPÅNG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32431-2023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45110</v>
      </c>
      <c r="E770" s="1" t="n">
        <v>46255</v>
      </c>
      <c r="F770" t="inlineStr">
        <is>
          <t>ÖSTERGÖTLANDS LÄN</t>
        </is>
      </c>
      <c r="G770" t="inlineStr">
        <is>
          <t>FINSPÅNG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14022-2023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45008</v>
      </c>
      <c r="E771" s="1" t="n">
        <v>46255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48767-2024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45593</v>
      </c>
      <c r="E772" s="1" t="n">
        <v>46255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29482-2026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46255</v>
      </c>
      <c r="F773" t="inlineStr">
        <is>
          <t>ÖSTERGÖTLANDS LÄN</t>
        </is>
      </c>
      <c r="G773" t="inlineStr">
        <is>
          <t>FINSPÅNG</t>
        </is>
      </c>
      <c r="I773" t="n">
        <v>13.3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2381-2023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44942</v>
      </c>
      <c r="E774" s="1" t="n">
        <v>46255</v>
      </c>
      <c r="F774" t="inlineStr">
        <is>
          <t>ÖSTERGÖTLANDS LÄN</t>
        </is>
      </c>
      <c r="G774" t="inlineStr">
        <is>
          <t>FINSPÅNG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9554-2022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44617</v>
      </c>
      <c r="E775" s="1" t="n">
        <v>46255</v>
      </c>
      <c r="F775" t="inlineStr">
        <is>
          <t>ÖSTERGÖTLANDS LÄN</t>
        </is>
      </c>
      <c r="G775" t="inlineStr">
        <is>
          <t>FINSPÅNG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44939</v>
      </c>
      <c r="E776" s="1" t="n">
        <v>46255</v>
      </c>
      <c r="F776" t="inlineStr">
        <is>
          <t>ÖSTERGÖTLANDS LÄN</t>
        </is>
      </c>
      <c r="G776" t="inlineStr">
        <is>
          <t>FINSPÅNG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47317-2023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45202</v>
      </c>
      <c r="E777" s="1" t="n">
        <v>46255</v>
      </c>
      <c r="F777" t="inlineStr">
        <is>
          <t>ÖSTERGÖTLANDS LÄN</t>
        </is>
      </c>
      <c r="G777" t="inlineStr">
        <is>
          <t>FINSPÅNG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3096-2023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44946</v>
      </c>
      <c r="E778" s="1" t="n">
        <v>46255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3107-2023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44946</v>
      </c>
      <c r="E779" s="1" t="n">
        <v>46255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29731-2026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46255</v>
      </c>
      <c r="F780" t="inlineStr">
        <is>
          <t>ÖSTERGÖTLANDS LÄN</t>
        </is>
      </c>
      <c r="G780" t="inlineStr">
        <is>
          <t>FINSPÅNG</t>
        </is>
      </c>
      <c r="I780" t="n">
        <v>18.6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45082</v>
      </c>
      <c r="E781" s="1" t="n">
        <v>46255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45299</v>
      </c>
      <c r="E782" s="1" t="n">
        <v>46255</v>
      </c>
      <c r="F782" t="inlineStr">
        <is>
          <t>ÖSTERGÖTLANDS LÄN</t>
        </is>
      </c>
      <c r="G782" t="inlineStr">
        <is>
          <t>FINSPÅNG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10258-2025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45720</v>
      </c>
      <c r="E783" s="1" t="n">
        <v>46255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58313-2023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45250</v>
      </c>
      <c r="E784" s="1" t="n">
        <v>46255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48443-2023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45206</v>
      </c>
      <c r="E785" s="1" t="n">
        <v>46255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44964</v>
      </c>
      <c r="E786" s="1" t="n">
        <v>46255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52007-2024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45607</v>
      </c>
      <c r="E787" s="1" t="n">
        <v>46255</v>
      </c>
      <c r="F787" t="inlineStr">
        <is>
          <t>ÖSTERGÖTLANDS LÄN</t>
        </is>
      </c>
      <c r="G787" t="inlineStr">
        <is>
          <t>FINSPÅNG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46255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58991-2021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44490</v>
      </c>
      <c r="E789" s="1" t="n">
        <v>46255</v>
      </c>
      <c r="F789" t="inlineStr">
        <is>
          <t>ÖSTERGÖTLANDS LÄN</t>
        </is>
      </c>
      <c r="G789" t="inlineStr">
        <is>
          <t>FINSPÅNG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31147-2026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46209</v>
      </c>
      <c r="E790" s="1" t="n">
        <v>46255</v>
      </c>
      <c r="F790" t="inlineStr">
        <is>
          <t>ÖSTERGÖTLANDS LÄN</t>
        </is>
      </c>
      <c r="G790" t="inlineStr">
        <is>
          <t>FINSPÅNG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46255</v>
      </c>
      <c r="F791" t="inlineStr">
        <is>
          <t>ÖSTERGÖTLANDS LÄN</t>
        </is>
      </c>
      <c r="G791" t="inlineStr">
        <is>
          <t>FINSPÅNG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45749</v>
      </c>
      <c r="E792" s="1" t="n">
        <v>46255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59702-2024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45639</v>
      </c>
      <c r="E793" s="1" t="n">
        <v>46255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8438-2025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45709</v>
      </c>
      <c r="E794" s="1" t="n">
        <v>46255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46255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42711-2024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45566</v>
      </c>
      <c r="E796" s="1" t="n">
        <v>46255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14031-2025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45740</v>
      </c>
      <c r="E797" s="1" t="n">
        <v>46255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31151-2026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46209</v>
      </c>
      <c r="E798" s="1" t="n">
        <v>46255</v>
      </c>
      <c r="F798" t="inlineStr">
        <is>
          <t>ÖSTERGÖTLANDS LÄN</t>
        </is>
      </c>
      <c r="G798" t="inlineStr">
        <is>
          <t>FINSPÅNG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31152-2026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46209</v>
      </c>
      <c r="E799" s="1" t="n">
        <v>46255</v>
      </c>
      <c r="F799" t="inlineStr">
        <is>
          <t>ÖSTERGÖTLANDS LÄN</t>
        </is>
      </c>
      <c r="G799" t="inlineStr">
        <is>
          <t>FINSPÅNG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28558-2023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45103</v>
      </c>
      <c r="E800" s="1" t="n">
        <v>46255</v>
      </c>
      <c r="F800" t="inlineStr">
        <is>
          <t>ÖSTERGÖTLANDS LÄN</t>
        </is>
      </c>
      <c r="G800" t="inlineStr">
        <is>
          <t>FINSPÅNG</t>
        </is>
      </c>
      <c r="I800" t="n">
        <v>11.1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54299-2023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45232</v>
      </c>
      <c r="E801" s="1" t="n">
        <v>46255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52557-2024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45609</v>
      </c>
      <c r="E802" s="1" t="n">
        <v>46255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30633-2026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46211</v>
      </c>
      <c r="E803" s="1" t="n">
        <v>46255</v>
      </c>
      <c r="F803" t="inlineStr">
        <is>
          <t>ÖSTERGÖTLANDS LÄN</t>
        </is>
      </c>
      <c r="G803" t="inlineStr">
        <is>
          <t>FINSPÅNG</t>
        </is>
      </c>
      <c r="I803" t="n">
        <v>4.2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42678-2024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45566</v>
      </c>
      <c r="E804" s="1" t="n">
        <v>46255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42699-2024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45566</v>
      </c>
      <c r="E805" s="1" t="n">
        <v>46255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46255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30864-2026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46212</v>
      </c>
      <c r="E807" s="1" t="n">
        <v>46255</v>
      </c>
      <c r="F807" t="inlineStr">
        <is>
          <t>ÖSTERGÖTLANDS LÄN</t>
        </is>
      </c>
      <c r="G807" t="inlineStr">
        <is>
          <t>FINSPÅNG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45735</v>
      </c>
      <c r="E808" s="1" t="n">
        <v>46255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13457-2025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45736</v>
      </c>
      <c r="E809" s="1" t="n">
        <v>46255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46255</v>
      </c>
      <c r="F810" t="inlineStr">
        <is>
          <t>ÖSTERGÖTLANDS LÄN</t>
        </is>
      </c>
      <c r="G810" t="inlineStr">
        <is>
          <t>FINSPÅNG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60249-2024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45642</v>
      </c>
      <c r="E811" s="1" t="n">
        <v>46255</v>
      </c>
      <c r="F811" t="inlineStr">
        <is>
          <t>ÖSTERGÖTLANDS LÄN</t>
        </is>
      </c>
      <c r="G811" t="inlineStr">
        <is>
          <t>FINSPÅNG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62155-2023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45267</v>
      </c>
      <c r="E812" s="1" t="n">
        <v>46255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35340-2024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45530</v>
      </c>
      <c r="E813" s="1" t="n">
        <v>46255</v>
      </c>
      <c r="F813" t="inlineStr">
        <is>
          <t>ÖSTERGÖTLANDS LÄN</t>
        </is>
      </c>
      <c r="G813" t="inlineStr">
        <is>
          <t>FINSPÅNG</t>
        </is>
      </c>
      <c r="I813" t="n">
        <v>7.9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46255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11149-2024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45371</v>
      </c>
      <c r="E815" s="1" t="n">
        <v>46255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Kyrkan</t>
        </is>
      </c>
      <c r="I815" t="n">
        <v>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24009-2025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45796</v>
      </c>
      <c r="E816" s="1" t="n">
        <v>46255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24021-2025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45796</v>
      </c>
      <c r="E817" s="1" t="n">
        <v>46255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3169-2024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45316</v>
      </c>
      <c r="E818" s="1" t="n">
        <v>46255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Övriga Aktiebolag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24310-2025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45797</v>
      </c>
      <c r="E819" s="1" t="n">
        <v>46255</v>
      </c>
      <c r="F819" t="inlineStr">
        <is>
          <t>ÖSTERGÖTLANDS LÄN</t>
        </is>
      </c>
      <c r="G819" t="inlineStr">
        <is>
          <t>FINSPÅNG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24328-2025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45797</v>
      </c>
      <c r="E820" s="1" t="n">
        <v>46255</v>
      </c>
      <c r="F820" t="inlineStr">
        <is>
          <t>ÖSTERGÖTLANDS LÄN</t>
        </is>
      </c>
      <c r="G820" t="inlineStr">
        <is>
          <t>FINSPÅNG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45797</v>
      </c>
      <c r="E821" s="1" t="n">
        <v>46255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7131-2025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45702</v>
      </c>
      <c r="E822" s="1" t="n">
        <v>46255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46255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25272-2025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46255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46255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8.199999999999999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25319-2025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45800</v>
      </c>
      <c r="E826" s="1" t="n">
        <v>46255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27258-2025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45812</v>
      </c>
      <c r="E827" s="1" t="n">
        <v>46255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27192-2025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45812</v>
      </c>
      <c r="E828" s="1" t="n">
        <v>46255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27208-2025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45812</v>
      </c>
      <c r="E829" s="1" t="n">
        <v>46255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59701-2024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45639</v>
      </c>
      <c r="E830" s="1" t="n">
        <v>46255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27890-2025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45817</v>
      </c>
      <c r="E831" s="1" t="n">
        <v>46255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27879-2025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45817</v>
      </c>
      <c r="E832" s="1" t="n">
        <v>46255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7.5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5129-2024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45644</v>
      </c>
      <c r="E833" s="1" t="n">
        <v>46255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1605-2024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45428</v>
      </c>
      <c r="E834" s="1" t="n">
        <v>46255</v>
      </c>
      <c r="F834" t="inlineStr">
        <is>
          <t>ÖSTERGÖTLANDS LÄN</t>
        </is>
      </c>
      <c r="G834" t="inlineStr">
        <is>
          <t>FINSPÅNG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1637-2024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45429</v>
      </c>
      <c r="E835" s="1" t="n">
        <v>46255</v>
      </c>
      <c r="F835" t="inlineStr">
        <is>
          <t>ÖSTERGÖTLANDS LÄN</t>
        </is>
      </c>
      <c r="G835" t="inlineStr">
        <is>
          <t>FINSPÅNG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4163-2023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45250</v>
      </c>
      <c r="E836" s="1" t="n">
        <v>46255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Sveaskog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1759-2026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46188</v>
      </c>
      <c r="E837" s="1" t="n">
        <v>46255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Övriga Aktiebolag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2026-08-21T01:47:40Z</dcterms:created>
  <dcterms:modified xmlns:dcterms="http://purl.org/dc/terms/" xmlns:xsi="http://www.w3.org/2001/XMLSchema-instance" xsi:type="dcterms:W3CDTF">2026-08-21T01:47:41Z</dcterms:modified>
</cp:coreProperties>
</file>