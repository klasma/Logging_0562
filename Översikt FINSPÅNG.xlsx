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46294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46294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46294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46294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46294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46294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46294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46294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46294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46294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46294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46294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46294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46294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46294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46294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46294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46294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46294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46294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46294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51549-2025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45950</v>
      </c>
      <c r="E35" s="1" t="n">
        <v>46294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4.1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Svedjenäva
Mattlummer</t>
        </is>
      </c>
      <c r="W35">
        <f>HYPERLINK("https://klasma.github.io/Logging_0562/artfynd/A 51549-2025 artfynd.xlsx", "A 51549-2025")</f>
        <v/>
      </c>
      <c r="X35">
        <f>HYPERLINK("https://klasma.github.io/Logging_0562/kartor/A 51549-2025 karta.png", "A 51549-2025")</f>
        <v/>
      </c>
      <c r="Y35">
        <f>HYPERLINK("https://klasma.github.io/Logging_0562/kartor_geotiff/A 51549-2025 georefererad karta.tif", "A 51549-2025")</f>
        <v/>
      </c>
      <c r="AA35">
        <f>HYPERLINK("https://klasma.github.io/Logging_0562/klagomål/A 51549-2025 FSC-klagomål.docx", "A 51549-2025")</f>
        <v/>
      </c>
      <c r="AB35">
        <f>HYPERLINK("https://klasma.github.io/Logging_0562/klagomålsmail/A 51549-2025 FSC-klagomål mail.docx", "A 51549-2025")</f>
        <v/>
      </c>
      <c r="AC35">
        <f>HYPERLINK("https://klasma.github.io/Logging_0562/tillsyn/A 51549-2025 tillsynsbegäran.docx", "A 51549-2025")</f>
        <v/>
      </c>
      <c r="AD35">
        <f>HYPERLINK("https://klasma.github.io/Logging_0562/tillsynsmail/A 51549-2025 tillsynsbegäran mail.docx", "A 51549-2025")</f>
        <v/>
      </c>
    </row>
    <row r="36" ht="15" customHeight="1">
      <c r="A36" t="inlineStr">
        <is>
          <t>A 38963-2022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46294</v>
      </c>
      <c r="F36" t="inlineStr">
        <is>
          <t>ÖSTERGÖTLANDS LÄN</t>
        </is>
      </c>
      <c r="G36" t="inlineStr">
        <is>
          <t>FINSPÅNG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Gullklöver
Grönvit nattviol</t>
        </is>
      </c>
      <c r="W36">
        <f>HYPERLINK("https://klasma.github.io/Logging_0562/artfynd/A 38963-2022 artfynd.xlsx", "A 38963-2022")</f>
        <v/>
      </c>
      <c r="X36">
        <f>HYPERLINK("https://klasma.github.io/Logging_0562/kartor/A 38963-2022 karta.png", "A 38963-2022")</f>
        <v/>
      </c>
      <c r="Y36">
        <f>HYPERLINK("https://klasma.github.io/Logging_0562/kartor_geotiff/A 38963-2022 georefererad karta.tif", "A 38963-2022")</f>
        <v/>
      </c>
      <c r="AA36">
        <f>HYPERLINK("https://klasma.github.io/Logging_0562/klagomål/A 38963-2022 FSC-klagomål.docx", "A 38963-2022")</f>
        <v/>
      </c>
      <c r="AB36">
        <f>HYPERLINK("https://klasma.github.io/Logging_0562/klagomålsmail/A 38963-2022 FSC-klagomål mail.docx", "A 38963-2022")</f>
        <v/>
      </c>
      <c r="AC36">
        <f>HYPERLINK("https://klasma.github.io/Logging_0562/tillsyn/A 38963-2022 tillsynsbegäran.docx", "A 38963-2022")</f>
        <v/>
      </c>
      <c r="AD36">
        <f>HYPERLINK("https://klasma.github.io/Logging_0562/tillsynsmail/A 38963-2022 tillsynsbegäran mail.docx", "A 38963-2022")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46294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46294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46294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46294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46294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46294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46294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46294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46294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46294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46294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46294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46294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46294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42366-2025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46294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Vit vedfingersvamp</t>
        </is>
      </c>
      <c r="W54">
        <f>HYPERLINK("https://klasma.github.io/Logging_0562/artfynd/A 42366-2025 artfynd.xlsx", "A 42366-2025")</f>
        <v/>
      </c>
      <c r="X54">
        <f>HYPERLINK("https://klasma.github.io/Logging_0562/kartor/A 42366-2025 karta.png", "A 42366-2025")</f>
        <v/>
      </c>
      <c r="Y54">
        <f>HYPERLINK("https://klasma.github.io/Logging_0562/kartor_geotiff/A 42366-2025 georefererad karta.tif", "A 42366-2025")</f>
        <v/>
      </c>
      <c r="AA54">
        <f>HYPERLINK("https://klasma.github.io/Logging_0562/klagomål/A 42366-2025 FSC-klagomål.docx", "A 42366-2025")</f>
        <v/>
      </c>
      <c r="AB54">
        <f>HYPERLINK("https://klasma.github.io/Logging_0562/klagomålsmail/A 42366-2025 FSC-klagomål mail.docx", "A 42366-2025")</f>
        <v/>
      </c>
      <c r="AC54">
        <f>HYPERLINK("https://klasma.github.io/Logging_0562/tillsyn/A 42366-2025 tillsynsbegäran.docx", "A 42366-2025")</f>
        <v/>
      </c>
      <c r="AD54">
        <f>HYPERLINK("https://klasma.github.io/Logging_0562/tillsynsmail/A 42366-2025 tillsynsbegäran mail.docx", "A 42366-2025")</f>
        <v/>
      </c>
    </row>
    <row r="55" ht="15" customHeight="1">
      <c r="A55" t="inlineStr">
        <is>
          <t>A 38229-2025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46294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Lake</t>
        </is>
      </c>
      <c r="W55">
        <f>HYPERLINK("https://klasma.github.io/Logging_0562/artfynd/A 38229-2025 artfynd.xlsx", "A 38229-2025")</f>
        <v/>
      </c>
      <c r="X55">
        <f>HYPERLINK("https://klasma.github.io/Logging_0562/kartor/A 38229-2025 karta.png", "A 38229-2025")</f>
        <v/>
      </c>
      <c r="Y55">
        <f>HYPERLINK("https://klasma.github.io/Logging_0562/kartor_geotiff/A 38229-2025 georefererad karta.tif", "A 38229-2025")</f>
        <v/>
      </c>
      <c r="AA55">
        <f>HYPERLINK("https://klasma.github.io/Logging_0562/klagomål/A 38229-2025 FSC-klagomål.docx", "A 38229-2025")</f>
        <v/>
      </c>
      <c r="AB55">
        <f>HYPERLINK("https://klasma.github.io/Logging_0562/klagomålsmail/A 38229-2025 FSC-klagomål mail.docx", "A 38229-2025")</f>
        <v/>
      </c>
      <c r="AC55">
        <f>HYPERLINK("https://klasma.github.io/Logging_0562/tillsyn/A 38229-2025 tillsynsbegäran.docx", "A 38229-2025")</f>
        <v/>
      </c>
      <c r="AD55">
        <f>HYPERLINK("https://klasma.github.io/Logging_0562/tillsynsmail/A 38229-2025 tillsynsbegäran mail.docx", "A 38229-2025")</f>
        <v/>
      </c>
    </row>
    <row r="56" ht="15" customHeight="1">
      <c r="A56" t="inlineStr">
        <is>
          <t>A 36128-2023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46294</v>
      </c>
      <c r="F56" t="inlineStr">
        <is>
          <t>ÖSTERGÖTLANDS LÄN</t>
        </is>
      </c>
      <c r="G56" t="inlineStr">
        <is>
          <t>FINSPÅNG</t>
        </is>
      </c>
      <c r="I56" t="n">
        <v>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HYPERLINK("https://klasma.github.io/Logging_0562/artfynd/A 36128-2023 artfynd.xlsx", "A 36128-2023")</f>
        <v/>
      </c>
      <c r="X56">
        <f>HYPERLINK("https://klasma.github.io/Logging_0562/kartor/A 36128-2023 karta.png", "A 36128-2023")</f>
        <v/>
      </c>
      <c r="Y56">
        <f>HYPERLINK("https://klasma.github.io/Logging_0562/kartor_geotiff/A 36128-2023 georefererad karta.tif", "A 36128-2023")</f>
        <v/>
      </c>
      <c r="AA56">
        <f>HYPERLINK("https://klasma.github.io/Logging_0562/klagomål/A 36128-2023 FSC-klagomål.docx", "A 36128-2023")</f>
        <v/>
      </c>
      <c r="AB56">
        <f>HYPERLINK("https://klasma.github.io/Logging_0562/klagomålsmail/A 36128-2023 FSC-klagomål mail.docx", "A 36128-2023")</f>
        <v/>
      </c>
      <c r="AC56">
        <f>HYPERLINK("https://klasma.github.io/Logging_0562/tillsyn/A 36128-2023 tillsynsbegäran.docx", "A 36128-2023")</f>
        <v/>
      </c>
      <c r="AD56">
        <f>HYPERLINK("https://klasma.github.io/Logging_0562/tillsynsmail/A 36128-2023 tillsynsbegäran mail.docx", "A 36128-2023")</f>
        <v/>
      </c>
      <c r="AE56">
        <f>HYPERLINK("https://klasma.github.io/Logging_0562/fåglar/A 36128-2023 prioriterade fågelarter.docx", "A 36128-2023")</f>
        <v/>
      </c>
    </row>
    <row r="57" ht="15" customHeight="1">
      <c r="A57" t="inlineStr">
        <is>
          <t>A 53265-2023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46294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HYPERLINK("https://klasma.github.io/Logging_0562/artfynd/A 53265-2023 artfynd.xlsx", "A 53265-2023")</f>
        <v/>
      </c>
      <c r="X57">
        <f>HYPERLINK("https://klasma.github.io/Logging_0562/kartor/A 53265-2023 karta.png", "A 53265-2023")</f>
        <v/>
      </c>
      <c r="Y57">
        <f>HYPERLINK("https://klasma.github.io/Logging_0562/kartor_geotiff/A 53265-2023 georefererad karta.tif", "A 53265-2023")</f>
        <v/>
      </c>
      <c r="AA57">
        <f>HYPERLINK("https://klasma.github.io/Logging_0562/klagomål/A 53265-2023 FSC-klagomål.docx", "A 53265-2023")</f>
        <v/>
      </c>
      <c r="AB57">
        <f>HYPERLINK("https://klasma.github.io/Logging_0562/klagomålsmail/A 53265-2023 FSC-klagomål mail.docx", "A 53265-2023")</f>
        <v/>
      </c>
      <c r="AC57">
        <f>HYPERLINK("https://klasma.github.io/Logging_0562/tillsyn/A 53265-2023 tillsynsbegäran.docx", "A 53265-2023")</f>
        <v/>
      </c>
      <c r="AD57">
        <f>HYPERLINK("https://klasma.github.io/Logging_0562/tillsynsmail/A 53265-2023 tillsynsbegäran mail.docx", "A 53265-2023")</f>
        <v/>
      </c>
    </row>
    <row r="58" ht="15" customHeight="1">
      <c r="A58" t="inlineStr">
        <is>
          <t>A 57662-2022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46294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HYPERLINK("https://klasma.github.io/Logging_0562/artfynd/A 57662-2022 artfynd.xlsx", "A 57662-2022")</f>
        <v/>
      </c>
      <c r="X58">
        <f>HYPERLINK("https://klasma.github.io/Logging_0562/kartor/A 57662-2022 karta.png", "A 57662-2022")</f>
        <v/>
      </c>
      <c r="Y58">
        <f>HYPERLINK("https://klasma.github.io/Logging_0562/kartor_geotiff/A 57662-2022 georefererad karta.tif", "A 57662-2022")</f>
        <v/>
      </c>
      <c r="AA58">
        <f>HYPERLINK("https://klasma.github.io/Logging_0562/klagomål/A 57662-2022 FSC-klagomål.docx", "A 57662-2022")</f>
        <v/>
      </c>
      <c r="AB58">
        <f>HYPERLINK("https://klasma.github.io/Logging_0562/klagomålsmail/A 57662-2022 FSC-klagomål mail.docx", "A 57662-2022")</f>
        <v/>
      </c>
      <c r="AC58">
        <f>HYPERLINK("https://klasma.github.io/Logging_0562/tillsyn/A 57662-2022 tillsynsbegäran.docx", "A 57662-2022")</f>
        <v/>
      </c>
      <c r="AD58">
        <f>HYPERLINK("https://klasma.github.io/Logging_0562/tillsynsmail/A 57662-2022 tillsynsbegäran mail.docx", "A 57662-2022")</f>
        <v/>
      </c>
      <c r="AE58">
        <f>HYPERLINK("https://klasma.github.io/Logging_0562/fåglar/A 57662-2022 prioriterade fågelarter.docx", "A 57662-2022")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46294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61695-2021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44501</v>
      </c>
      <c r="E60" s="1" t="n">
        <v>46294</v>
      </c>
      <c r="F60" t="inlineStr">
        <is>
          <t>ÖSTERGÖTLANDS LÄN</t>
        </is>
      </c>
      <c r="G60" t="inlineStr">
        <is>
          <t>FINSPÅNG</t>
        </is>
      </c>
      <c r="H60" t="inlineStr">
        <is>
          <t>Sveaskog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HYPERLINK("https://klasma.github.io/Logging_0562/artfynd/A 61695-2021 artfynd.xlsx", "A 61695-2021")</f>
        <v/>
      </c>
      <c r="X60">
        <f>HYPERLINK("https://klasma.github.io/Logging_0562/kartor/A 61695-2021 karta.png", "A 61695-2021")</f>
        <v/>
      </c>
      <c r="Y60">
        <f>HYPERLINK("https://klasma.github.io/Logging_0562/kartor_geotiff/A 61695-2021 georefererad karta.tif", "A 61695-2021")</f>
        <v/>
      </c>
      <c r="AA60">
        <f>HYPERLINK("https://klasma.github.io/Logging_0562/klagomål/A 61695-2021 FSC-klagomål.docx", "A 61695-2021")</f>
        <v/>
      </c>
      <c r="AB60">
        <f>HYPERLINK("https://klasma.github.io/Logging_0562/klagomålsmail/A 61695-2021 FSC-klagomål mail.docx", "A 61695-2021")</f>
        <v/>
      </c>
      <c r="AC60">
        <f>HYPERLINK("https://klasma.github.io/Logging_0562/tillsyn/A 61695-2021 tillsynsbegäran.docx", "A 61695-2021")</f>
        <v/>
      </c>
      <c r="AD60">
        <f>HYPERLINK("https://klasma.github.io/Logging_0562/tillsynsmail/A 61695-2021 tillsynsbegäran mail.docx", "A 61695-2021")</f>
        <v/>
      </c>
    </row>
    <row r="61" ht="15" customHeight="1">
      <c r="A61" t="inlineStr">
        <is>
          <t>A 34310-2025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45846</v>
      </c>
      <c r="E61" s="1" t="n">
        <v>46294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HYPERLINK("https://klasma.github.io/Logging_0562/artfynd/A 34310-2025 artfynd.xlsx", "A 34310-2025")</f>
        <v/>
      </c>
      <c r="X61">
        <f>HYPERLINK("https://klasma.github.io/Logging_0562/kartor/A 34310-2025 karta.png", "A 34310-2025")</f>
        <v/>
      </c>
      <c r="Y61">
        <f>HYPERLINK("https://klasma.github.io/Logging_0562/kartor_geotiff/A 34310-2025 georefererad karta.tif", "A 34310-2025")</f>
        <v/>
      </c>
      <c r="AA61">
        <f>HYPERLINK("https://klasma.github.io/Logging_0562/klagomål/A 34310-2025 FSC-klagomål.docx", "A 34310-2025")</f>
        <v/>
      </c>
      <c r="AB61">
        <f>HYPERLINK("https://klasma.github.io/Logging_0562/klagomålsmail/A 34310-2025 FSC-klagomål mail.docx", "A 34310-2025")</f>
        <v/>
      </c>
      <c r="AC61">
        <f>HYPERLINK("https://klasma.github.io/Logging_0562/tillsyn/A 34310-2025 tillsynsbegäran.docx", "A 34310-2025")</f>
        <v/>
      </c>
      <c r="AD61">
        <f>HYPERLINK("https://klasma.github.io/Logging_0562/tillsynsmail/A 34310-2025 tillsynsbegäran mail.docx", "A 34310-2025")</f>
        <v/>
      </c>
    </row>
    <row r="62" ht="15" customHeight="1">
      <c r="A62" t="inlineStr">
        <is>
          <t>A 15123-2025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45744</v>
      </c>
      <c r="E62" s="1" t="n">
        <v>46294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HYPERLINK("https://klasma.github.io/Logging_0562/artfynd/A 15123-2025 artfynd.xlsx", "A 15123-2025")</f>
        <v/>
      </c>
      <c r="X62">
        <f>HYPERLINK("https://klasma.github.io/Logging_0562/kartor/A 15123-2025 karta.png", "A 15123-2025")</f>
        <v/>
      </c>
      <c r="Y62">
        <f>HYPERLINK("https://klasma.github.io/Logging_0562/kartor_geotiff/A 15123-2025 georefererad karta.tif", "A 15123-2025")</f>
        <v/>
      </c>
      <c r="AA62">
        <f>HYPERLINK("https://klasma.github.io/Logging_0562/klagomål/A 15123-2025 FSC-klagomål.docx", "A 15123-2025")</f>
        <v/>
      </c>
      <c r="AB62">
        <f>HYPERLINK("https://klasma.github.io/Logging_0562/klagomålsmail/A 15123-2025 FSC-klagomål mail.docx", "A 15123-2025")</f>
        <v/>
      </c>
      <c r="AC62">
        <f>HYPERLINK("https://klasma.github.io/Logging_0562/tillsyn/A 15123-2025 tillsynsbegäran.docx", "A 15123-2025")</f>
        <v/>
      </c>
      <c r="AD62">
        <f>HYPERLINK("https://klasma.github.io/Logging_0562/tillsynsmail/A 15123-2025 tillsynsbegäran mail.docx", "A 15123-2025")</f>
        <v/>
      </c>
      <c r="AE62">
        <f>HYPERLINK("https://klasma.github.io/Logging_0562/fåglar/A 15123-2025 prioriterade fågelarter.docx", "A 15123-2025")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46294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46294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46294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46294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7265-2026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46294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2.2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Havsörn</t>
        </is>
      </c>
      <c r="W67">
        <f>HYPERLINK("https://klasma.github.io/Logging_0562/artfynd/A 7265-2026 artfynd.xlsx", "A 7265-2026")</f>
        <v/>
      </c>
      <c r="X67">
        <f>HYPERLINK("https://klasma.github.io/Logging_0562/kartor/A 7265-2026 karta.png", "A 7265-2026")</f>
        <v/>
      </c>
      <c r="Y67">
        <f>HYPERLINK("https://klasma.github.io/Logging_0562/kartor_geotiff/A 7265-2026 georefererad karta.tif", "A 7265-2026")</f>
        <v/>
      </c>
      <c r="AA67">
        <f>HYPERLINK("https://klasma.github.io/Logging_0562/klagomål/A 7265-2026 FSC-klagomål.docx", "A 7265-2026")</f>
        <v/>
      </c>
      <c r="AB67">
        <f>HYPERLINK("https://klasma.github.io/Logging_0562/klagomålsmail/A 7265-2026 FSC-klagomål mail.docx", "A 7265-2026")</f>
        <v/>
      </c>
      <c r="AC67">
        <f>HYPERLINK("https://klasma.github.io/Logging_0562/tillsyn/A 7265-2026 tillsynsbegäran.docx", "A 7265-2026")</f>
        <v/>
      </c>
      <c r="AD67">
        <f>HYPERLINK("https://klasma.github.io/Logging_0562/tillsynsmail/A 7265-2026 tillsynsbegäran mail.docx", "A 7265-2026")</f>
        <v/>
      </c>
      <c r="AE67">
        <f>HYPERLINK("https://klasma.github.io/Logging_0562/fåglar/A 7265-2026 prioriterade fågelarter.docx", "A 7265-2026")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46294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22259-2024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46294</v>
      </c>
      <c r="F69" t="inlineStr">
        <is>
          <t>ÖSTERGÖTLANDS LÄN</t>
        </is>
      </c>
      <c r="G69" t="inlineStr">
        <is>
          <t>FINSPÅNG</t>
        </is>
      </c>
      <c r="I69" t="n">
        <v>2.7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Gullklöver</t>
        </is>
      </c>
      <c r="W69">
        <f>HYPERLINK("https://klasma.github.io/Logging_0562/artfynd/A 22259-2024 artfynd.xlsx", "A 22259-2024")</f>
        <v/>
      </c>
      <c r="X69">
        <f>HYPERLINK("https://klasma.github.io/Logging_0562/kartor/A 22259-2024 karta.png", "A 22259-2024")</f>
        <v/>
      </c>
      <c r="Y69">
        <f>HYPERLINK("https://klasma.github.io/Logging_0562/kartor_geotiff/A 22259-2024 georefererad karta.tif", "A 22259-2024")</f>
        <v/>
      </c>
      <c r="AA69">
        <f>HYPERLINK("https://klasma.github.io/Logging_0562/klagomål/A 22259-2024 FSC-klagomål.docx", "A 22259-2024")</f>
        <v/>
      </c>
      <c r="AB69">
        <f>HYPERLINK("https://klasma.github.io/Logging_0562/klagomålsmail/A 22259-2024 FSC-klagomål mail.docx", "A 22259-2024")</f>
        <v/>
      </c>
      <c r="AC69">
        <f>HYPERLINK("https://klasma.github.io/Logging_0562/tillsyn/A 22259-2024 tillsynsbegäran.docx", "A 22259-2024")</f>
        <v/>
      </c>
      <c r="AD69">
        <f>HYPERLINK("https://klasma.github.io/Logging_0562/tillsynsmail/A 22259-2024 tillsynsbegäran mail.docx", "A 22259-2024")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46294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18915-2026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46129</v>
      </c>
      <c r="E71" s="1" t="n">
        <v>46294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6.1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HYPERLINK("https://klasma.github.io/Logging_0562/artfynd/A 18915-2026 artfynd.xlsx", "A 18915-2026")</f>
        <v/>
      </c>
      <c r="X71">
        <f>HYPERLINK("https://klasma.github.io/Logging_0562/kartor/A 18915-2026 karta.png", "A 18915-2026")</f>
        <v/>
      </c>
      <c r="Y71">
        <f>HYPERLINK("https://klasma.github.io/Logging_0562/kartor_geotiff/A 18915-2026 georefererad karta.tif", "A 18915-2026")</f>
        <v/>
      </c>
      <c r="AA71">
        <f>HYPERLINK("https://klasma.github.io/Logging_0562/klagomål/A 18915-2026 FSC-klagomål.docx", "A 18915-2026")</f>
        <v/>
      </c>
      <c r="AB71">
        <f>HYPERLINK("https://klasma.github.io/Logging_0562/klagomålsmail/A 18915-2026 FSC-klagomål mail.docx", "A 18915-2026")</f>
        <v/>
      </c>
      <c r="AC71">
        <f>HYPERLINK("https://klasma.github.io/Logging_0562/tillsyn/A 18915-2026 tillsynsbegäran.docx", "A 18915-2026")</f>
        <v/>
      </c>
      <c r="AD71">
        <f>HYPERLINK("https://klasma.github.io/Logging_0562/tillsynsmail/A 18915-2026 tillsynsbegäran mail.docx", "A 18915-2026")</f>
        <v/>
      </c>
      <c r="AE71">
        <f>HYPERLINK("https://klasma.github.io/Logging_0562/fåglar/A 18915-2026 prioriterade fågelarter.docx", "A 18915-2026")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46294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22555-2024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46294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Hasselsnok</t>
        </is>
      </c>
      <c r="W73">
        <f>HYPERLINK("https://klasma.github.io/Logging_0562/artfynd/A 22555-2024 artfynd.xlsx", "A 22555-2024")</f>
        <v/>
      </c>
      <c r="X73">
        <f>HYPERLINK("https://klasma.github.io/Logging_0562/kartor/A 22555-2024 karta.png", "A 22555-2024")</f>
        <v/>
      </c>
      <c r="Y73">
        <f>HYPERLINK("https://klasma.github.io/Logging_0562/kartor_geotiff/A 22555-2024 georefererad karta.tif", "A 22555-2024")</f>
        <v/>
      </c>
      <c r="AA73">
        <f>HYPERLINK("https://klasma.github.io/Logging_0562/klagomål/A 22555-2024 FSC-klagomål.docx", "A 22555-2024")</f>
        <v/>
      </c>
      <c r="AB73">
        <f>HYPERLINK("https://klasma.github.io/Logging_0562/klagomålsmail/A 22555-2024 FSC-klagomål mail.docx", "A 22555-2024")</f>
        <v/>
      </c>
      <c r="AC73">
        <f>HYPERLINK("https://klasma.github.io/Logging_0562/tillsyn/A 22555-2024 tillsynsbegäran.docx", "A 22555-2024")</f>
        <v/>
      </c>
      <c r="AD73">
        <f>HYPERLINK("https://klasma.github.io/Logging_0562/tillsynsmail/A 22555-2024 tillsynsbegäran mail.docx", "A 22555-2024")</f>
        <v/>
      </c>
    </row>
    <row r="74" ht="15" customHeight="1">
      <c r="A74" t="inlineStr">
        <is>
          <t>A 663-2023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44930</v>
      </c>
      <c r="E74" s="1" t="n">
        <v>46294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663-2023 artfynd.xlsx", "A 663-2023")</f>
        <v/>
      </c>
      <c r="X74">
        <f>HYPERLINK("https://klasma.github.io/Logging_0562/kartor/A 663-2023 karta.png", "A 663-2023")</f>
        <v/>
      </c>
      <c r="Y74">
        <f>HYPERLINK("https://klasma.github.io/Logging_0562/kartor_geotiff/A 663-2023 georefererad karta.tif", "A 663-2023")</f>
        <v/>
      </c>
      <c r="AA74">
        <f>HYPERLINK("https://klasma.github.io/Logging_0562/klagomål/A 663-2023 FSC-klagomål.docx", "A 663-2023")</f>
        <v/>
      </c>
      <c r="AB74">
        <f>HYPERLINK("https://klasma.github.io/Logging_0562/klagomålsmail/A 663-2023 FSC-klagomål mail.docx", "A 663-2023")</f>
        <v/>
      </c>
      <c r="AC74">
        <f>HYPERLINK("https://klasma.github.io/Logging_0562/tillsyn/A 663-2023 tillsynsbegäran.docx", "A 663-2023")</f>
        <v/>
      </c>
      <c r="AD74">
        <f>HYPERLINK("https://klasma.github.io/Logging_0562/tillsynsmail/A 663-2023 tillsynsbegäran mail.docx", "A 663-2023")</f>
        <v/>
      </c>
    </row>
    <row r="75" ht="15" customHeight="1">
      <c r="A75" t="inlineStr">
        <is>
          <t>A 3941-2026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46043</v>
      </c>
      <c r="E75" s="1" t="n">
        <v>46294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1.7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Trana</t>
        </is>
      </c>
      <c r="W75">
        <f>HYPERLINK("https://klasma.github.io/Logging_0562/artfynd/A 3941-2026 artfynd.xlsx", "A 3941-2026")</f>
        <v/>
      </c>
      <c r="X75">
        <f>HYPERLINK("https://klasma.github.io/Logging_0562/kartor/A 3941-2026 karta.png", "A 3941-2026")</f>
        <v/>
      </c>
      <c r="Y75">
        <f>HYPERLINK("https://klasma.github.io/Logging_0562/kartor_geotiff/A 3941-2026 georefererad karta.tif", "A 3941-2026")</f>
        <v/>
      </c>
      <c r="AA75">
        <f>HYPERLINK("https://klasma.github.io/Logging_0562/klagomål/A 3941-2026 FSC-klagomål.docx", "A 3941-2026")</f>
        <v/>
      </c>
      <c r="AB75">
        <f>HYPERLINK("https://klasma.github.io/Logging_0562/klagomålsmail/A 3941-2026 FSC-klagomål mail.docx", "A 3941-2026")</f>
        <v/>
      </c>
      <c r="AC75">
        <f>HYPERLINK("https://klasma.github.io/Logging_0562/tillsyn/A 3941-2026 tillsynsbegäran.docx", "A 3941-2026")</f>
        <v/>
      </c>
      <c r="AD75">
        <f>HYPERLINK("https://klasma.github.io/Logging_0562/tillsynsmail/A 3941-2026 tillsynsbegäran mail.docx", "A 3941-2026")</f>
        <v/>
      </c>
      <c r="AE75">
        <f>HYPERLINK("https://klasma.github.io/Logging_0562/fåglar/A 3941-2026 prioriterade fågelarter.docx", "A 3941-2026")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46294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HYPERLINK("https://klasma.github.io/Logging_0562/artfynd/A 61254-2022 artfynd.xlsx", "A 61254-2022")</f>
        <v/>
      </c>
      <c r="X76">
        <f>HYPERLINK("https://klasma.github.io/Logging_0562/kartor/A 61254-2022 karta.png", "A 61254-2022")</f>
        <v/>
      </c>
      <c r="Y76">
        <f>HYPERLINK("https://klasma.github.io/Logging_0562/kartor_geotiff/A 61254-2022 georefererad karta.tif", "A 61254-2022")</f>
        <v/>
      </c>
      <c r="AA76">
        <f>HYPERLINK("https://klasma.github.io/Logging_0562/klagomål/A 61254-2022 FSC-klagomål.docx", "A 61254-2022")</f>
        <v/>
      </c>
      <c r="AB76">
        <f>HYPERLINK("https://klasma.github.io/Logging_0562/klagomålsmail/A 61254-2022 FSC-klagomål mail.docx", "A 61254-2022")</f>
        <v/>
      </c>
      <c r="AC76">
        <f>HYPERLINK("https://klasma.github.io/Logging_0562/tillsyn/A 61254-2022 tillsynsbegäran.docx", "A 61254-2022")</f>
        <v/>
      </c>
      <c r="AD76">
        <f>HYPERLINK("https://klasma.github.io/Logging_0562/tillsynsmail/A 61254-2022 tillsynsbegäran mail.docx", "A 61254-2022")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46294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1177-2024 artfynd.xlsx", "A 1177-2024")</f>
        <v/>
      </c>
      <c r="X77">
        <f>HYPERLINK("https://klasma.github.io/Logging_0562/kartor/A 1177-2024 karta.png", "A 1177-2024")</f>
        <v/>
      </c>
      <c r="Y77">
        <f>HYPERLINK("https://klasma.github.io/Logging_0562/kartor_geotiff/A 1177-2024 georefererad karta.tif", "A 1177-2024")</f>
        <v/>
      </c>
      <c r="Z77">
        <f>HYPERLINK("https://klasma.github.io/Logging_0562/knärot/A 1177-2024 karta knärot.png", "A 1177-2024")</f>
        <v/>
      </c>
      <c r="AA77">
        <f>HYPERLINK("https://klasma.github.io/Logging_0562/klagomål/A 1177-2024 FSC-klagomål.docx", "A 1177-2024")</f>
        <v/>
      </c>
      <c r="AB77">
        <f>HYPERLINK("https://klasma.github.io/Logging_0562/klagomålsmail/A 1177-2024 FSC-klagomål mail.docx", "A 1177-2024")</f>
        <v/>
      </c>
      <c r="AC77">
        <f>HYPERLINK("https://klasma.github.io/Logging_0562/tillsyn/A 1177-2024 tillsynsbegäran.docx", "A 1177-2024")</f>
        <v/>
      </c>
      <c r="AD77">
        <f>HYPERLINK("https://klasma.github.io/Logging_0562/tillsynsmail/A 1177-2024 tillsynsbegäran mail.docx", "A 1177-2024")</f>
        <v/>
      </c>
    </row>
    <row r="78" ht="15" customHeight="1">
      <c r="A78" t="inlineStr">
        <is>
          <t>A 54302-2023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46294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Lopplummer (aggregat)</t>
        </is>
      </c>
      <c r="W78">
        <f>HYPERLINK("https://klasma.github.io/Logging_0562/artfynd/A 54302-2023 artfynd.xlsx", "A 54302-2023")</f>
        <v/>
      </c>
      <c r="X78">
        <f>HYPERLINK("https://klasma.github.io/Logging_0562/kartor/A 54302-2023 karta.png", "A 54302-2023")</f>
        <v/>
      </c>
      <c r="Y78">
        <f>HYPERLINK("https://klasma.github.io/Logging_0562/kartor_geotiff/A 54302-2023 georefererad karta.tif", "A 54302-2023")</f>
        <v/>
      </c>
      <c r="AA78">
        <f>HYPERLINK("https://klasma.github.io/Logging_0562/klagomål/A 54302-2023 FSC-klagomål.docx", "A 54302-2023")</f>
        <v/>
      </c>
      <c r="AB78">
        <f>HYPERLINK("https://klasma.github.io/Logging_0562/klagomålsmail/A 54302-2023 FSC-klagomål mail.docx", "A 54302-2023")</f>
        <v/>
      </c>
      <c r="AC78">
        <f>HYPERLINK("https://klasma.github.io/Logging_0562/tillsyn/A 54302-2023 tillsynsbegäran.docx", "A 54302-2023")</f>
        <v/>
      </c>
      <c r="AD78">
        <f>HYPERLINK("https://klasma.github.io/Logging_0562/tillsynsmail/A 54302-2023 tillsynsbegäran mail.docx", "A 54302-2023")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46294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22587-2026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46155</v>
      </c>
      <c r="E80" s="1" t="n">
        <v>46294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HYPERLINK("https://klasma.github.io/Logging_0562/artfynd/A 22587-2026 artfynd.xlsx", "A 22587-2026")</f>
        <v/>
      </c>
      <c r="X80">
        <f>HYPERLINK("https://klasma.github.io/Logging_0562/kartor/A 22587-2026 karta.png", "A 22587-2026")</f>
        <v/>
      </c>
      <c r="Y80">
        <f>HYPERLINK("https://klasma.github.io/Logging_0562/kartor_geotiff/A 22587-2026 georefererad karta.tif", "A 22587-2026")</f>
        <v/>
      </c>
      <c r="AA80">
        <f>HYPERLINK("https://klasma.github.io/Logging_0562/klagomål/A 22587-2026 FSC-klagomål.docx", "A 22587-2026")</f>
        <v/>
      </c>
      <c r="AB80">
        <f>HYPERLINK("https://klasma.github.io/Logging_0562/klagomålsmail/A 22587-2026 FSC-klagomål mail.docx", "A 22587-2026")</f>
        <v/>
      </c>
      <c r="AC80">
        <f>HYPERLINK("https://klasma.github.io/Logging_0562/tillsyn/A 22587-2026 tillsynsbegäran.docx", "A 22587-2026")</f>
        <v/>
      </c>
      <c r="AD80">
        <f>HYPERLINK("https://klasma.github.io/Logging_0562/tillsynsmail/A 22587-2026 tillsynsbegäran mail.docx", "A 22587-2026")</f>
        <v/>
      </c>
      <c r="AE80">
        <f>HYPERLINK("https://klasma.github.io/Logging_0562/fåglar/A 22587-2026 prioriterade fågelarter.docx", "A 22587-2026")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46294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27456-2026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46294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HYPERLINK("https://klasma.github.io/Logging_0562/artfynd/A 27456-2026 artfynd.xlsx", "A 27456-2026")</f>
        <v/>
      </c>
      <c r="X82">
        <f>HYPERLINK("https://klasma.github.io/Logging_0562/kartor/A 27456-2026 karta.png", "A 27456-2026")</f>
        <v/>
      </c>
      <c r="Y82">
        <f>HYPERLINK("https://klasma.github.io/Logging_0562/kartor_geotiff/A 27456-2026 georefererad karta.tif", "A 27456-2026")</f>
        <v/>
      </c>
      <c r="AA82">
        <f>HYPERLINK("https://klasma.github.io/Logging_0562/klagomål/A 27456-2026 FSC-klagomål.docx", "A 27456-2026")</f>
        <v/>
      </c>
      <c r="AB82">
        <f>HYPERLINK("https://klasma.github.io/Logging_0562/klagomålsmail/A 27456-2026 FSC-klagomål mail.docx", "A 27456-2026")</f>
        <v/>
      </c>
      <c r="AC82">
        <f>HYPERLINK("https://klasma.github.io/Logging_0562/tillsyn/A 27456-2026 tillsynsbegäran.docx", "A 27456-2026")</f>
        <v/>
      </c>
      <c r="AD82">
        <f>HYPERLINK("https://klasma.github.io/Logging_0562/tillsynsmail/A 27456-2026 tillsynsbegäran mail.docx", "A 27456-2026")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46294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46294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34885-2026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46294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34885-2026 artfynd.xlsx", "A 34885-2026")</f>
        <v/>
      </c>
      <c r="X85">
        <f>HYPERLINK("https://klasma.github.io/Logging_0562/kartor/A 34885-2026 karta.png", "A 34885-2026")</f>
        <v/>
      </c>
      <c r="Y85">
        <f>HYPERLINK("https://klasma.github.io/Logging_0562/kartor_geotiff/A 34885-2026 georefererad karta.tif", "A 34885-2026")</f>
        <v/>
      </c>
      <c r="AA85">
        <f>HYPERLINK("https://klasma.github.io/Logging_0562/klagomål/A 34885-2026 FSC-klagomål.docx", "A 34885-2026")</f>
        <v/>
      </c>
      <c r="AB85">
        <f>HYPERLINK("https://klasma.github.io/Logging_0562/klagomålsmail/A 34885-2026 FSC-klagomål mail.docx", "A 34885-2026")</f>
        <v/>
      </c>
      <c r="AC85">
        <f>HYPERLINK("https://klasma.github.io/Logging_0562/tillsyn/A 34885-2026 tillsynsbegäran.docx", "A 34885-2026")</f>
        <v/>
      </c>
      <c r="AD85">
        <f>HYPERLINK("https://klasma.github.io/Logging_0562/tillsynsmail/A 34885-2026 tillsynsbegäran mail.docx", "A 34885-2026")</f>
        <v/>
      </c>
      <c r="AE85">
        <f>HYPERLINK("https://klasma.github.io/Logging_0562/fåglar/A 34885-2026 prioriterade fågelarter.docx", "A 34885-2026")</f>
        <v/>
      </c>
    </row>
    <row r="86" ht="15" customHeight="1">
      <c r="A86" t="inlineStr">
        <is>
          <t>A 34886-2026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46294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HYPERLINK("https://klasma.github.io/Logging_0562/artfynd/A 34886-2026 artfynd.xlsx", "A 34886-2026")</f>
        <v/>
      </c>
      <c r="X86">
        <f>HYPERLINK("https://klasma.github.io/Logging_0562/kartor/A 34886-2026 karta.png", "A 34886-2026")</f>
        <v/>
      </c>
      <c r="Y86">
        <f>HYPERLINK("https://klasma.github.io/Logging_0562/kartor_geotiff/A 34886-2026 georefererad karta.tif", "A 34886-2026")</f>
        <v/>
      </c>
      <c r="AA86">
        <f>HYPERLINK("https://klasma.github.io/Logging_0562/klagomål/A 34886-2026 FSC-klagomål.docx", "A 34886-2026")</f>
        <v/>
      </c>
      <c r="AB86">
        <f>HYPERLINK("https://klasma.github.io/Logging_0562/klagomålsmail/A 34886-2026 FSC-klagomål mail.docx", "A 34886-2026")</f>
        <v/>
      </c>
      <c r="AC86">
        <f>HYPERLINK("https://klasma.github.io/Logging_0562/tillsyn/A 34886-2026 tillsynsbegäran.docx", "A 34886-2026")</f>
        <v/>
      </c>
      <c r="AD86">
        <f>HYPERLINK("https://klasma.github.io/Logging_0562/tillsynsmail/A 34886-2026 tillsynsbegäran mail.docx", "A 34886-2026")</f>
        <v/>
      </c>
    </row>
    <row r="87" ht="15" customHeight="1">
      <c r="A87" t="inlineStr">
        <is>
          <t>A 25942-2026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46294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HYPERLINK("https://klasma.github.io/Logging_0562/artfynd/A 25942-2026 artfynd.xlsx", "A 25942-2026")</f>
        <v/>
      </c>
      <c r="X87">
        <f>HYPERLINK("https://klasma.github.io/Logging_0562/kartor/A 25942-2026 karta.png", "A 25942-2026")</f>
        <v/>
      </c>
      <c r="Y87">
        <f>HYPERLINK("https://klasma.github.io/Logging_0562/kartor_geotiff/A 25942-2026 georefererad karta.tif", "A 25942-2026")</f>
        <v/>
      </c>
      <c r="AA87">
        <f>HYPERLINK("https://klasma.github.io/Logging_0562/klagomål/A 25942-2026 FSC-klagomål.docx", "A 25942-2026")</f>
        <v/>
      </c>
      <c r="AB87">
        <f>HYPERLINK("https://klasma.github.io/Logging_0562/klagomålsmail/A 25942-2026 FSC-klagomål mail.docx", "A 25942-2026")</f>
        <v/>
      </c>
      <c r="AC87">
        <f>HYPERLINK("https://klasma.github.io/Logging_0562/tillsyn/A 25942-2026 tillsynsbegäran.docx", "A 25942-2026")</f>
        <v/>
      </c>
      <c r="AD87">
        <f>HYPERLINK("https://klasma.github.io/Logging_0562/tillsynsmail/A 25942-2026 tillsynsbegäran mail.docx", "A 25942-2026")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46294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46294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46294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46294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46294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46294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46294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46294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44864</v>
      </c>
      <c r="E97" s="1" t="n">
        <v>46294</v>
      </c>
      <c r="F97" t="inlineStr">
        <is>
          <t>ÖSTERGÖTLANDS LÄN</t>
        </is>
      </c>
      <c r="G97" t="inlineStr">
        <is>
          <t>FINSPÅNG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46294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46294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46294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46294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46294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46294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46294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46294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46294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46294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46294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46294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46294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46294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46294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46294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46294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46294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46294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46294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46294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46294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46294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46294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46294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46294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46294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46294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46294</v>
      </c>
      <c r="F126" t="inlineStr">
        <is>
          <t>ÖSTERGÖTLANDS LÄN</t>
        </is>
      </c>
      <c r="G126" t="inlineStr">
        <is>
          <t>FINSPÅNG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46294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46294</v>
      </c>
      <c r="F128" t="inlineStr">
        <is>
          <t>ÖSTERGÖTLANDS LÄN</t>
        </is>
      </c>
      <c r="G128" t="inlineStr">
        <is>
          <t>FINSPÅNG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46294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46294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46294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44741</v>
      </c>
      <c r="E132" s="1" t="n">
        <v>46294</v>
      </c>
      <c r="F132" t="inlineStr">
        <is>
          <t>ÖSTERGÖTLANDS LÄN</t>
        </is>
      </c>
      <c r="G132" t="inlineStr">
        <is>
          <t>FINSPÅNG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46294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46294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46294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46294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46294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46294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46294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46294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46294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46294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71597-2021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44541</v>
      </c>
      <c r="E143" s="1" t="n">
        <v>46294</v>
      </c>
      <c r="F143" t="inlineStr">
        <is>
          <t>ÖSTERGÖTLANDS LÄN</t>
        </is>
      </c>
      <c r="G143" t="inlineStr">
        <is>
          <t>FINSPÅNG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46294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46294</v>
      </c>
      <c r="F145" t="inlineStr">
        <is>
          <t>ÖSTERGÖTLANDS LÄN</t>
        </is>
      </c>
      <c r="G145" t="inlineStr">
        <is>
          <t>FINSPÅNG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46294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46294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46294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46294</v>
      </c>
      <c r="F149" t="inlineStr">
        <is>
          <t>ÖSTERGÖTLANDS LÄN</t>
        </is>
      </c>
      <c r="G149" t="inlineStr">
        <is>
          <t>FINSPÅNG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46294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46294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46294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46294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46294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46294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46294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46294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46294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46294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46294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46294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46294</v>
      </c>
      <c r="F162" t="inlineStr">
        <is>
          <t>ÖSTERGÖTLANDS LÄN</t>
        </is>
      </c>
      <c r="G162" t="inlineStr">
        <is>
          <t>FINSPÅNG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46294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44630</v>
      </c>
      <c r="E164" s="1" t="n">
        <v>46294</v>
      </c>
      <c r="F164" t="inlineStr">
        <is>
          <t>ÖSTERGÖTLANDS LÄN</t>
        </is>
      </c>
      <c r="G164" t="inlineStr">
        <is>
          <t>FINSPÅNG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46294</v>
      </c>
      <c r="F165" t="inlineStr">
        <is>
          <t>ÖSTERGÖTLANDS LÄN</t>
        </is>
      </c>
      <c r="G165" t="inlineStr">
        <is>
          <t>FINSPÅNG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46294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46294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46294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46294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46294</v>
      </c>
      <c r="F170" t="inlineStr">
        <is>
          <t>ÖSTERGÖTLANDS LÄN</t>
        </is>
      </c>
      <c r="G170" t="inlineStr">
        <is>
          <t>FINSPÅNG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46294</v>
      </c>
      <c r="F171" t="inlineStr">
        <is>
          <t>ÖSTERGÖTLANDS LÄN</t>
        </is>
      </c>
      <c r="G171" t="inlineStr">
        <is>
          <t>FINSPÅNG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46294</v>
      </c>
      <c r="F172" t="inlineStr">
        <is>
          <t>ÖSTERGÖTLANDS LÄN</t>
        </is>
      </c>
      <c r="G172" t="inlineStr">
        <is>
          <t>FINSPÅNG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46294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46294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46294</v>
      </c>
      <c r="F175" t="inlineStr">
        <is>
          <t>ÖSTERGÖTLANDS LÄN</t>
        </is>
      </c>
      <c r="G175" t="inlineStr">
        <is>
          <t>FINSPÅNG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44713</v>
      </c>
      <c r="E176" s="1" t="n">
        <v>46294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46294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44468</v>
      </c>
      <c r="E178" s="1" t="n">
        <v>46294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56883-2021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44481</v>
      </c>
      <c r="E179" s="1" t="n">
        <v>46294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69994-2021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46294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46294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46294</v>
      </c>
      <c r="F182" t="inlineStr">
        <is>
          <t>ÖSTERGÖTLANDS LÄN</t>
        </is>
      </c>
      <c r="G182" t="inlineStr">
        <is>
          <t>FINSPÅNG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44564</v>
      </c>
      <c r="E183" s="1" t="n">
        <v>46294</v>
      </c>
      <c r="F183" t="inlineStr">
        <is>
          <t>ÖSTERGÖTLANDS LÄN</t>
        </is>
      </c>
      <c r="G183" t="inlineStr">
        <is>
          <t>FINSPÅNG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46294</v>
      </c>
      <c r="F184" t="inlineStr">
        <is>
          <t>ÖSTERGÖTLANDS LÄN</t>
        </is>
      </c>
      <c r="G184" t="inlineStr">
        <is>
          <t>FINSPÅNG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46294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46294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45447</v>
      </c>
      <c r="E187" s="1" t="n">
        <v>46294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44656</v>
      </c>
      <c r="E188" s="1" t="n">
        <v>46294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28722-2023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45103</v>
      </c>
      <c r="E189" s="1" t="n">
        <v>46294</v>
      </c>
      <c r="F189" t="inlineStr">
        <is>
          <t>ÖSTERGÖTLANDS LÄN</t>
        </is>
      </c>
      <c r="G189" t="inlineStr">
        <is>
          <t>FINSPÅNG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46294</v>
      </c>
      <c r="F190" t="inlineStr">
        <is>
          <t>ÖSTERGÖTLANDS LÄN</t>
        </is>
      </c>
      <c r="G190" t="inlineStr">
        <is>
          <t>FINSPÅNG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50542-2022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46294</v>
      </c>
      <c r="F191" t="inlineStr">
        <is>
          <t>ÖSTERGÖTLANDS LÄN</t>
        </is>
      </c>
      <c r="G191" t="inlineStr">
        <is>
          <t>FINSPÅNG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46294</v>
      </c>
      <c r="F192" t="inlineStr">
        <is>
          <t>ÖSTERGÖTLANDS LÄN</t>
        </is>
      </c>
      <c r="G192" t="inlineStr">
        <is>
          <t>FINSPÅNG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53123-2021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46294</v>
      </c>
      <c r="F193" t="inlineStr">
        <is>
          <t>ÖSTERGÖTLANDS LÄN</t>
        </is>
      </c>
      <c r="G193" t="inlineStr">
        <is>
          <t>FINSPÅNG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44966</v>
      </c>
      <c r="E194" s="1" t="n">
        <v>46294</v>
      </c>
      <c r="F194" t="inlineStr">
        <is>
          <t>ÖSTERGÖTLANDS LÄN</t>
        </is>
      </c>
      <c r="G194" t="inlineStr">
        <is>
          <t>FINSPÅNG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16975-2023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46294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Naturvårdsverket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45009</v>
      </c>
      <c r="E196" s="1" t="n">
        <v>46294</v>
      </c>
      <c r="F196" t="inlineStr">
        <is>
          <t>ÖSTERGÖTLANDS LÄN</t>
        </is>
      </c>
      <c r="G196" t="inlineStr">
        <is>
          <t>FINSPÅNG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44677</v>
      </c>
      <c r="E197" s="1" t="n">
        <v>46294</v>
      </c>
      <c r="F197" t="inlineStr">
        <is>
          <t>ÖSTERGÖTLANDS LÄN</t>
        </is>
      </c>
      <c r="G197" t="inlineStr">
        <is>
          <t>FINSPÅNG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44898</v>
      </c>
      <c r="E198" s="1" t="n">
        <v>46294</v>
      </c>
      <c r="F198" t="inlineStr">
        <is>
          <t>ÖSTERGÖTLANDS LÄN</t>
        </is>
      </c>
      <c r="G198" t="inlineStr">
        <is>
          <t>FINSPÅNG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44476</v>
      </c>
      <c r="E199" s="1" t="n">
        <v>46294</v>
      </c>
      <c r="F199" t="inlineStr">
        <is>
          <t>ÖSTERGÖTLANDS LÄN</t>
        </is>
      </c>
      <c r="G199" t="inlineStr">
        <is>
          <t>FINSPÅNG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46294</v>
      </c>
      <c r="F200" t="inlineStr">
        <is>
          <t>ÖSTERGÖTLANDS LÄN</t>
        </is>
      </c>
      <c r="G200" t="inlineStr">
        <is>
          <t>FINSPÅNG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46294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Övriga Aktiebolag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46294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44918</v>
      </c>
      <c r="E203" s="1" t="n">
        <v>46294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46294</v>
      </c>
      <c r="F204" t="inlineStr">
        <is>
          <t>ÖSTERGÖTLANDS LÄN</t>
        </is>
      </c>
      <c r="G204" t="inlineStr">
        <is>
          <t>FINSPÅNG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44672</v>
      </c>
      <c r="E205" s="1" t="n">
        <v>46294</v>
      </c>
      <c r="F205" t="inlineStr">
        <is>
          <t>ÖSTERGÖTLANDS LÄN</t>
        </is>
      </c>
      <c r="G205" t="inlineStr">
        <is>
          <t>FINSPÅNG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46294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46294</v>
      </c>
      <c r="F207" t="inlineStr">
        <is>
          <t>ÖSTERGÖTLANDS LÄN</t>
        </is>
      </c>
      <c r="G207" t="inlineStr">
        <is>
          <t>FINSPÅNG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46294</v>
      </c>
      <c r="F208" t="inlineStr">
        <is>
          <t>ÖSTERGÖTLANDS LÄN</t>
        </is>
      </c>
      <c r="G208" t="inlineStr">
        <is>
          <t>FINSPÅNG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46294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46294</v>
      </c>
      <c r="F210" t="inlineStr">
        <is>
          <t>ÖSTERGÖTLANDS LÄN</t>
        </is>
      </c>
      <c r="G210" t="inlineStr">
        <is>
          <t>FINSPÅNG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46294</v>
      </c>
      <c r="F211" t="inlineStr">
        <is>
          <t>ÖSTERGÖTLANDS LÄN</t>
        </is>
      </c>
      <c r="G211" t="inlineStr">
        <is>
          <t>FINSPÅNG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44767</v>
      </c>
      <c r="E212" s="1" t="n">
        <v>46294</v>
      </c>
      <c r="F212" t="inlineStr">
        <is>
          <t>ÖSTERGÖTLANDS LÄN</t>
        </is>
      </c>
      <c r="G212" t="inlineStr">
        <is>
          <t>FINSPÅNG</t>
        </is>
      </c>
      <c r="I212" t="n">
        <v>10.6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46294</v>
      </c>
      <c r="F213" t="inlineStr">
        <is>
          <t>ÖSTERGÖTLANDS LÄN</t>
        </is>
      </c>
      <c r="G213" t="inlineStr">
        <is>
          <t>FINSPÅNG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45293</v>
      </c>
      <c r="E214" s="1" t="n">
        <v>46294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45428</v>
      </c>
      <c r="E215" s="1" t="n">
        <v>46294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45206</v>
      </c>
      <c r="E216" s="1" t="n">
        <v>46294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46294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45623</v>
      </c>
      <c r="E218" s="1" t="n">
        <v>46294</v>
      </c>
      <c r="F218" t="inlineStr">
        <is>
          <t>ÖSTERGÖTLANDS LÄN</t>
        </is>
      </c>
      <c r="G218" t="inlineStr">
        <is>
          <t>FINSPÅNG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46294</v>
      </c>
      <c r="F219" t="inlineStr">
        <is>
          <t>ÖSTERGÖTLANDS LÄN</t>
        </is>
      </c>
      <c r="G219" t="inlineStr">
        <is>
          <t>FINSPÅNG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46294</v>
      </c>
      <c r="F220" t="inlineStr">
        <is>
          <t>ÖSTERGÖTLANDS LÄN</t>
        </is>
      </c>
      <c r="G220" t="inlineStr">
        <is>
          <t>FINSPÅNG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46294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46294</v>
      </c>
      <c r="F222" t="inlineStr">
        <is>
          <t>ÖSTERGÖTLANDS LÄN</t>
        </is>
      </c>
      <c r="G222" t="inlineStr">
        <is>
          <t>FINSPÅNG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46294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46002</v>
      </c>
      <c r="E224" s="1" t="n">
        <v>46294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46294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46294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46294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45095</v>
      </c>
      <c r="E228" s="1" t="n">
        <v>46294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Övriga Aktiebolag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44993</v>
      </c>
      <c r="E229" s="1" t="n">
        <v>46294</v>
      </c>
      <c r="F229" t="inlineStr">
        <is>
          <t>ÖSTERGÖTLANDS LÄN</t>
        </is>
      </c>
      <c r="G229" t="inlineStr">
        <is>
          <t>FINSPÅNG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46294</v>
      </c>
      <c r="F230" t="inlineStr">
        <is>
          <t>ÖSTERGÖTLANDS LÄN</t>
        </is>
      </c>
      <c r="G230" t="inlineStr">
        <is>
          <t>FINSPÅNG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46294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46006</v>
      </c>
      <c r="E232" s="1" t="n">
        <v>46294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44914</v>
      </c>
      <c r="E233" s="1" t="n">
        <v>46294</v>
      </c>
      <c r="F233" t="inlineStr">
        <is>
          <t>ÖSTERGÖTLANDS LÄN</t>
        </is>
      </c>
      <c r="G233" t="inlineStr">
        <is>
          <t>FINSPÅNG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46294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46294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24328-2025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45797</v>
      </c>
      <c r="E236" s="1" t="n">
        <v>46294</v>
      </c>
      <c r="F236" t="inlineStr">
        <is>
          <t>ÖSTERGÖTLANDS LÄN</t>
        </is>
      </c>
      <c r="G236" t="inlineStr">
        <is>
          <t>FINSPÅNG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46294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63321-2021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44508</v>
      </c>
      <c r="E238" s="1" t="n">
        <v>46294</v>
      </c>
      <c r="F238" t="inlineStr">
        <is>
          <t>ÖSTERGÖTLANDS LÄN</t>
        </is>
      </c>
      <c r="G238" t="inlineStr">
        <is>
          <t>FINSPÅNG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46294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45407-2022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44844</v>
      </c>
      <c r="E240" s="1" t="n">
        <v>46294</v>
      </c>
      <c r="F240" t="inlineStr">
        <is>
          <t>ÖSTERGÖTLANDS LÄN</t>
        </is>
      </c>
      <c r="G240" t="inlineStr">
        <is>
          <t>FINSPÅNG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44844</v>
      </c>
      <c r="E241" s="1" t="n">
        <v>46294</v>
      </c>
      <c r="F241" t="inlineStr">
        <is>
          <t>ÖSTERGÖTLANDS LÄN</t>
        </is>
      </c>
      <c r="G241" t="inlineStr">
        <is>
          <t>FINSPÅNG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46294</v>
      </c>
      <c r="F242" t="inlineStr">
        <is>
          <t>ÖSTERGÖTLANDS LÄN</t>
        </is>
      </c>
      <c r="G242" t="inlineStr">
        <is>
          <t>FINSPÅNG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24310-2025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45797</v>
      </c>
      <c r="E243" s="1" t="n">
        <v>46294</v>
      </c>
      <c r="F243" t="inlineStr">
        <is>
          <t>ÖSTERGÖTLANDS LÄN</t>
        </is>
      </c>
      <c r="G243" t="inlineStr">
        <is>
          <t>FINSPÅNG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46294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46294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45796</v>
      </c>
      <c r="E246" s="1" t="n">
        <v>46294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Naturvårdsverket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46294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46294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Övriga Aktiebolag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46294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46294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46294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39826-2025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45891</v>
      </c>
      <c r="E252" s="1" t="n">
        <v>46294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46294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Allmännings- och besparingsskogar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46294</v>
      </c>
      <c r="F254" t="inlineStr">
        <is>
          <t>ÖSTERGÖTLANDS LÄN</t>
        </is>
      </c>
      <c r="G254" t="inlineStr">
        <is>
          <t>FINSPÅNG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46294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45316</v>
      </c>
      <c r="E256" s="1" t="n">
        <v>46294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46294</v>
      </c>
      <c r="F257" t="inlineStr">
        <is>
          <t>ÖSTERGÖTLANDS LÄN</t>
        </is>
      </c>
      <c r="G257" t="inlineStr">
        <is>
          <t>FINSPÅNG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46294</v>
      </c>
      <c r="F258" t="inlineStr">
        <is>
          <t>ÖSTERGÖTLANDS LÄN</t>
        </is>
      </c>
      <c r="G258" t="inlineStr">
        <is>
          <t>FINSPÅNG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46294</v>
      </c>
      <c r="F259" t="inlineStr">
        <is>
          <t>ÖSTERGÖTLANDS LÄN</t>
        </is>
      </c>
      <c r="G259" t="inlineStr">
        <is>
          <t>FINSPÅNG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44778</v>
      </c>
      <c r="E260" s="1" t="n">
        <v>46294</v>
      </c>
      <c r="F260" t="inlineStr">
        <is>
          <t>ÖSTERGÖTLANDS LÄN</t>
        </is>
      </c>
      <c r="G260" t="inlineStr">
        <is>
          <t>FINSPÅNG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46294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46294</v>
      </c>
      <c r="F262" t="inlineStr">
        <is>
          <t>ÖSTERGÖTLANDS LÄN</t>
        </is>
      </c>
      <c r="G262" t="inlineStr">
        <is>
          <t>FINSPÅNG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46294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46294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46294</v>
      </c>
      <c r="F265" t="inlineStr">
        <is>
          <t>ÖSTERGÖTLANDS LÄN</t>
        </is>
      </c>
      <c r="G265" t="inlineStr">
        <is>
          <t>FINSPÅNG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46294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46294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Naturvårdsverket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45800</v>
      </c>
      <c r="E268" s="1" t="n">
        <v>46294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Naturvårdsverket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49494-2022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46294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Naturvårdsverket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46294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46294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46294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46294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58141-2022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46294</v>
      </c>
      <c r="F274" t="inlineStr">
        <is>
          <t>ÖSTERGÖTLANDS LÄN</t>
        </is>
      </c>
      <c r="G274" t="inlineStr">
        <is>
          <t>FINSPÅNG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46294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46294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46294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46294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45677</v>
      </c>
      <c r="E279" s="1" t="n">
        <v>46294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44942</v>
      </c>
      <c r="E280" s="1" t="n">
        <v>46294</v>
      </c>
      <c r="F280" t="inlineStr">
        <is>
          <t>ÖSTERGÖTLANDS LÄN</t>
        </is>
      </c>
      <c r="G280" t="inlineStr">
        <is>
          <t>FINSPÅNG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46294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46294</v>
      </c>
      <c r="F282" t="inlineStr">
        <is>
          <t>ÖSTERGÖTLANDS LÄN</t>
        </is>
      </c>
      <c r="G282" t="inlineStr">
        <is>
          <t>FINSPÅNG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45095</v>
      </c>
      <c r="E283" s="1" t="n">
        <v>46294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Övriga Aktiebolag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45095</v>
      </c>
      <c r="E284" s="1" t="n">
        <v>46294</v>
      </c>
      <c r="F284" t="inlineStr">
        <is>
          <t>ÖSTERGÖTLANDS LÄN</t>
        </is>
      </c>
      <c r="G284" t="inlineStr">
        <is>
          <t>FINSPÅNG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46294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46294</v>
      </c>
      <c r="F286" t="inlineStr">
        <is>
          <t>ÖSTERGÖTLANDS LÄN</t>
        </is>
      </c>
      <c r="G286" t="inlineStr">
        <is>
          <t>FINSPÅNG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46294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46294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46294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46294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45819</v>
      </c>
      <c r="E291" s="1" t="n">
        <v>46294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46294</v>
      </c>
      <c r="F292" t="inlineStr">
        <is>
          <t>ÖSTERGÖTLANDS LÄN</t>
        </is>
      </c>
      <c r="G292" t="inlineStr">
        <is>
          <t>FINSPÅNG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46294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46294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45824</v>
      </c>
      <c r="E295" s="1" t="n">
        <v>46294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45824</v>
      </c>
      <c r="E296" s="1" t="n">
        <v>46294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46294</v>
      </c>
      <c r="F297" t="inlineStr">
        <is>
          <t>ÖSTERGÖTLANDS LÄN</t>
        </is>
      </c>
      <c r="G297" t="inlineStr">
        <is>
          <t>FINSPÅNG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46294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53821-2022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44880</v>
      </c>
      <c r="E299" s="1" t="n">
        <v>46294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46294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47567-2025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45931</v>
      </c>
      <c r="E301" s="1" t="n">
        <v>46294</v>
      </c>
      <c r="F301" t="inlineStr">
        <is>
          <t>ÖSTERGÖTLANDS LÄN</t>
        </is>
      </c>
      <c r="G301" t="inlineStr">
        <is>
          <t>FINSPÅNG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46294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8317-2023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46294</v>
      </c>
      <c r="F303" t="inlineStr">
        <is>
          <t>ÖSTERGÖTLANDS LÄN</t>
        </is>
      </c>
      <c r="G303" t="inlineStr">
        <is>
          <t>FINSPÅNG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46294</v>
      </c>
      <c r="F304" t="inlineStr">
        <is>
          <t>ÖSTERGÖTLANDS LÄN</t>
        </is>
      </c>
      <c r="G304" t="inlineStr">
        <is>
          <t>FINSPÅNG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46294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45720</v>
      </c>
      <c r="E306" s="1" t="n">
        <v>46294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46294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45935</v>
      </c>
      <c r="E308" s="1" t="n">
        <v>46294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Övriga Aktiebolag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46294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Övriga Aktiebolag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45840</v>
      </c>
      <c r="E310" s="1" t="n">
        <v>46294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46294</v>
      </c>
      <c r="F311" t="inlineStr">
        <is>
          <t>ÖSTERGÖTLANDS LÄN</t>
        </is>
      </c>
      <c r="G311" t="inlineStr">
        <is>
          <t>FINSPÅNG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18134-2023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45040</v>
      </c>
      <c r="E312" s="1" t="n">
        <v>46294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46294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45710</v>
      </c>
      <c r="E314" s="1" t="n">
        <v>46294</v>
      </c>
      <c r="F314" t="inlineStr">
        <is>
          <t>ÖSTERGÖTLANDS LÄN</t>
        </is>
      </c>
      <c r="G314" t="inlineStr">
        <is>
          <t>FINSPÅNG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50395-2025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45944</v>
      </c>
      <c r="E315" s="1" t="n">
        <v>46294</v>
      </c>
      <c r="F315" t="inlineStr">
        <is>
          <t>ÖSTERGÖTLANDS LÄN</t>
        </is>
      </c>
      <c r="G315" t="inlineStr">
        <is>
          <t>FINSPÅNG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45554</v>
      </c>
      <c r="E316" s="1" t="n">
        <v>46294</v>
      </c>
      <c r="F316" t="inlineStr">
        <is>
          <t>ÖSTERGÖTLANDS LÄN</t>
        </is>
      </c>
      <c r="G316" t="inlineStr">
        <is>
          <t>FINSPÅNG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45337</v>
      </c>
      <c r="E317" s="1" t="n">
        <v>46294</v>
      </c>
      <c r="F317" t="inlineStr">
        <is>
          <t>ÖSTERGÖTLANDS LÄN</t>
        </is>
      </c>
      <c r="G317" t="inlineStr">
        <is>
          <t>FINSPÅNG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45776</v>
      </c>
      <c r="E318" s="1" t="n">
        <v>46294</v>
      </c>
      <c r="F318" t="inlineStr">
        <is>
          <t>ÖSTERGÖTLANDS LÄN</t>
        </is>
      </c>
      <c r="G318" t="inlineStr">
        <is>
          <t>FINSPÅNG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46294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46294</v>
      </c>
      <c r="F320" t="inlineStr">
        <is>
          <t>ÖSTERGÖTLANDS LÄN</t>
        </is>
      </c>
      <c r="G320" t="inlineStr">
        <is>
          <t>FINSPÅNG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45274</v>
      </c>
      <c r="E321" s="1" t="n">
        <v>46294</v>
      </c>
      <c r="F321" t="inlineStr">
        <is>
          <t>ÖSTERGÖTLANDS LÄN</t>
        </is>
      </c>
      <c r="G321" t="inlineStr">
        <is>
          <t>FINSPÅNG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45854</v>
      </c>
      <c r="E322" s="1" t="n">
        <v>46294</v>
      </c>
      <c r="F322" t="inlineStr">
        <is>
          <t>ÖSTERGÖTLANDS LÄN</t>
        </is>
      </c>
      <c r="G322" t="inlineStr">
        <is>
          <t>FINSPÅNG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45854</v>
      </c>
      <c r="E323" s="1" t="n">
        <v>46294</v>
      </c>
      <c r="F323" t="inlineStr">
        <is>
          <t>ÖSTERGÖTLANDS LÄN</t>
        </is>
      </c>
      <c r="G323" t="inlineStr">
        <is>
          <t>FINSPÅNG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45853</v>
      </c>
      <c r="E324" s="1" t="n">
        <v>46294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45855</v>
      </c>
      <c r="E325" s="1" t="n">
        <v>46294</v>
      </c>
      <c r="F325" t="inlineStr">
        <is>
          <t>ÖSTERGÖTLANDS LÄN</t>
        </is>
      </c>
      <c r="G325" t="inlineStr">
        <is>
          <t>FINSPÅNG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45853</v>
      </c>
      <c r="E326" s="1" t="n">
        <v>46294</v>
      </c>
      <c r="F326" t="inlineStr">
        <is>
          <t>ÖSTERGÖTLANDS LÄN</t>
        </is>
      </c>
      <c r="G326" t="inlineStr">
        <is>
          <t>FINSPÅNG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45523</v>
      </c>
      <c r="E327" s="1" t="n">
        <v>46294</v>
      </c>
      <c r="F327" t="inlineStr">
        <is>
          <t>ÖSTERGÖTLANDS LÄN</t>
        </is>
      </c>
      <c r="G327" t="inlineStr">
        <is>
          <t>FINSPÅNG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46294</v>
      </c>
      <c r="F328" t="inlineStr">
        <is>
          <t>ÖSTERGÖTLANDS LÄN</t>
        </is>
      </c>
      <c r="G328" t="inlineStr">
        <is>
          <t>FINSPÅNG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58991-2021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44490</v>
      </c>
      <c r="E329" s="1" t="n">
        <v>46294</v>
      </c>
      <c r="F329" t="inlineStr">
        <is>
          <t>ÖSTERGÖTLANDS LÄN</t>
        </is>
      </c>
      <c r="G329" t="inlineStr">
        <is>
          <t>FINSPÅNG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52659-2025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45955</v>
      </c>
      <c r="E330" s="1" t="n">
        <v>46294</v>
      </c>
      <c r="F330" t="inlineStr">
        <is>
          <t>ÖSTERGÖTLANDS LÄN</t>
        </is>
      </c>
      <c r="G330" t="inlineStr">
        <is>
          <t>FINSPÅNG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17578-2024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45415</v>
      </c>
      <c r="E331" s="1" t="n">
        <v>46294</v>
      </c>
      <c r="F331" t="inlineStr">
        <is>
          <t>ÖSTERGÖTLANDS LÄN</t>
        </is>
      </c>
      <c r="G331" t="inlineStr">
        <is>
          <t>FINSPÅNG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45328</v>
      </c>
      <c r="E332" s="1" t="n">
        <v>46294</v>
      </c>
      <c r="F332" t="inlineStr">
        <is>
          <t>ÖSTERGÖTLANDS LÄN</t>
        </is>
      </c>
      <c r="G332" t="inlineStr">
        <is>
          <t>FINSPÅNG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46294</v>
      </c>
      <c r="F333" t="inlineStr">
        <is>
          <t>ÖSTERGÖTLANDS LÄN</t>
        </is>
      </c>
      <c r="G333" t="inlineStr">
        <is>
          <t>FINSPÅNG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46294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45095</v>
      </c>
      <c r="E335" s="1" t="n">
        <v>46294</v>
      </c>
      <c r="F335" t="inlineStr">
        <is>
          <t>ÖSTERGÖTLANDS LÄN</t>
        </is>
      </c>
      <c r="G335" t="inlineStr">
        <is>
          <t>FINSPÅNG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44950</v>
      </c>
      <c r="E336" s="1" t="n">
        <v>46294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46030</v>
      </c>
      <c r="E337" s="1" t="n">
        <v>46294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46294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Kyrkan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44949</v>
      </c>
      <c r="E339" s="1" t="n">
        <v>46294</v>
      </c>
      <c r="F339" t="inlineStr">
        <is>
          <t>ÖSTERGÖTLANDS LÄN</t>
        </is>
      </c>
      <c r="G339" t="inlineStr">
        <is>
          <t>FINSPÅNG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46294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45870</v>
      </c>
      <c r="E341" s="1" t="n">
        <v>46294</v>
      </c>
      <c r="F341" t="inlineStr">
        <is>
          <t>ÖSTERGÖTLANDS LÄN</t>
        </is>
      </c>
      <c r="G341" t="inlineStr">
        <is>
          <t>FINSPÅNG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50063-2022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44860</v>
      </c>
      <c r="E342" s="1" t="n">
        <v>46294</v>
      </c>
      <c r="F342" t="inlineStr">
        <is>
          <t>ÖSTERGÖTLANDS LÄN</t>
        </is>
      </c>
      <c r="G342" t="inlineStr">
        <is>
          <t>FINSPÅNG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45456</v>
      </c>
      <c r="E343" s="1" t="n">
        <v>46294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45744</v>
      </c>
      <c r="E344" s="1" t="n">
        <v>46294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Naturvårdsverket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46294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46294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46294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46294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46294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37742-2025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46294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28732-2023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46294</v>
      </c>
      <c r="F351" t="inlineStr">
        <is>
          <t>ÖSTERGÖTLANDS LÄN</t>
        </is>
      </c>
      <c r="G351" t="inlineStr">
        <is>
          <t>FINSPÅNG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46294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45881</v>
      </c>
      <c r="E353" s="1" t="n">
        <v>46294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Naturvårdsverket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46294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46294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55292-2025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45969</v>
      </c>
      <c r="E356" s="1" t="n">
        <v>46294</v>
      </c>
      <c r="F356" t="inlineStr">
        <is>
          <t>ÖSTERGÖTLANDS LÄN</t>
        </is>
      </c>
      <c r="G356" t="inlineStr">
        <is>
          <t>FINSPÅNG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42176-2023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45178</v>
      </c>
      <c r="E357" s="1" t="n">
        <v>46294</v>
      </c>
      <c r="F357" t="inlineStr">
        <is>
          <t>ÖSTERGÖTLANDS LÄN</t>
        </is>
      </c>
      <c r="G357" t="inlineStr">
        <is>
          <t>FINSPÅNG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46294</v>
      </c>
      <c r="F358" t="inlineStr">
        <is>
          <t>ÖSTERGÖTLANDS LÄN</t>
        </is>
      </c>
      <c r="G358" t="inlineStr">
        <is>
          <t>FINSPÅNG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46294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46294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45002</v>
      </c>
      <c r="E361" s="1" t="n">
        <v>46294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62421-2021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44503</v>
      </c>
      <c r="E362" s="1" t="n">
        <v>46294</v>
      </c>
      <c r="F362" t="inlineStr">
        <is>
          <t>ÖSTERGÖTLANDS LÄN</t>
        </is>
      </c>
      <c r="G362" t="inlineStr">
        <is>
          <t>FINSPÅNG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46294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46294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45125</v>
      </c>
      <c r="E365" s="1" t="n">
        <v>46294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Övriga Aktiebolag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46040</v>
      </c>
      <c r="E366" s="1" t="n">
        <v>46294</v>
      </c>
      <c r="F366" t="inlineStr">
        <is>
          <t>ÖSTERGÖTLANDS LÄN</t>
        </is>
      </c>
      <c r="G366" t="inlineStr">
        <is>
          <t>FINSPÅNG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18258-2024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45421</v>
      </c>
      <c r="E367" s="1" t="n">
        <v>46294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46294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45257</v>
      </c>
      <c r="E369" s="1" t="n">
        <v>46294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45206</v>
      </c>
      <c r="E370" s="1" t="n">
        <v>46294</v>
      </c>
      <c r="F370" t="inlineStr">
        <is>
          <t>ÖSTERGÖTLANDS LÄN</t>
        </is>
      </c>
      <c r="G370" t="inlineStr">
        <is>
          <t>FINSPÅNG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46040</v>
      </c>
      <c r="E371" s="1" t="n">
        <v>46294</v>
      </c>
      <c r="F371" t="inlineStr">
        <is>
          <t>ÖSTERGÖTLANDS LÄN</t>
        </is>
      </c>
      <c r="G371" t="inlineStr">
        <is>
          <t>FINSPÅNG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15614-2023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45020</v>
      </c>
      <c r="E372" s="1" t="n">
        <v>46294</v>
      </c>
      <c r="F372" t="inlineStr">
        <is>
          <t>ÖSTERGÖTLANDS LÄN</t>
        </is>
      </c>
      <c r="G372" t="inlineStr">
        <is>
          <t>FINSPÅNG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73260-2021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44550</v>
      </c>
      <c r="E373" s="1" t="n">
        <v>46294</v>
      </c>
      <c r="F373" t="inlineStr">
        <is>
          <t>ÖSTERGÖTLANDS LÄN</t>
        </is>
      </c>
      <c r="G373" t="inlineStr">
        <is>
          <t>FINSPÅNG</t>
        </is>
      </c>
      <c r="I373" t="n">
        <v>10.3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45243-2022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44840</v>
      </c>
      <c r="E374" s="1" t="n">
        <v>46294</v>
      </c>
      <c r="F374" t="inlineStr">
        <is>
          <t>ÖSTERGÖTLANDS LÄN</t>
        </is>
      </c>
      <c r="G374" t="inlineStr">
        <is>
          <t>FINSPÅNG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45041</v>
      </c>
      <c r="E375" s="1" t="n">
        <v>46294</v>
      </c>
      <c r="F375" t="inlineStr">
        <is>
          <t>ÖSTERGÖTLANDS LÄN</t>
        </is>
      </c>
      <c r="G375" t="inlineStr">
        <is>
          <t>FINSPÅNG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65742-2021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44516</v>
      </c>
      <c r="E376" s="1" t="n">
        <v>46294</v>
      </c>
      <c r="F376" t="inlineStr">
        <is>
          <t>ÖSTERGÖTLANDS LÄN</t>
        </is>
      </c>
      <c r="G376" t="inlineStr">
        <is>
          <t>FINSPÅNG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46294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46294</v>
      </c>
      <c r="F378" t="inlineStr">
        <is>
          <t>ÖSTERGÖTLANDS LÄN</t>
        </is>
      </c>
      <c r="G378" t="inlineStr">
        <is>
          <t>FINSPÅNG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46294</v>
      </c>
      <c r="F379" t="inlineStr">
        <is>
          <t>ÖSTERGÖTLANDS LÄN</t>
        </is>
      </c>
      <c r="G379" t="inlineStr">
        <is>
          <t>FINSPÅNG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25679-2024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45463</v>
      </c>
      <c r="E380" s="1" t="n">
        <v>46294</v>
      </c>
      <c r="F380" t="inlineStr">
        <is>
          <t>ÖSTERGÖTLANDS LÄN</t>
        </is>
      </c>
      <c r="G380" t="inlineStr">
        <is>
          <t>FINSPÅNG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44993</v>
      </c>
      <c r="E381" s="1" t="n">
        <v>46294</v>
      </c>
      <c r="F381" t="inlineStr">
        <is>
          <t>ÖSTERGÖTLANDS LÄN</t>
        </is>
      </c>
      <c r="G381" t="inlineStr">
        <is>
          <t>FINSPÅNG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39655-2023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45167</v>
      </c>
      <c r="E382" s="1" t="n">
        <v>46294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Kyrkan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44767</v>
      </c>
      <c r="E383" s="1" t="n">
        <v>46294</v>
      </c>
      <c r="F383" t="inlineStr">
        <is>
          <t>ÖSTERGÖTLANDS LÄN</t>
        </is>
      </c>
      <c r="G383" t="inlineStr">
        <is>
          <t>FINSPÅNG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45983</v>
      </c>
      <c r="E384" s="1" t="n">
        <v>46294</v>
      </c>
      <c r="F384" t="inlineStr">
        <is>
          <t>ÖSTERGÖTLANDS LÄN</t>
        </is>
      </c>
      <c r="G384" t="inlineStr">
        <is>
          <t>FINSPÅNG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45983</v>
      </c>
      <c r="E385" s="1" t="n">
        <v>46294</v>
      </c>
      <c r="F385" t="inlineStr">
        <is>
          <t>ÖSTERGÖTLANDS LÄN</t>
        </is>
      </c>
      <c r="G385" t="inlineStr">
        <is>
          <t>FINSPÅNG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45983</v>
      </c>
      <c r="E386" s="1" t="n">
        <v>46294</v>
      </c>
      <c r="F386" t="inlineStr">
        <is>
          <t>ÖSTERGÖTLANDS LÄN</t>
        </is>
      </c>
      <c r="G386" t="inlineStr">
        <is>
          <t>FINSPÅNG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58698-2025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45985</v>
      </c>
      <c r="E387" s="1" t="n">
        <v>46294</v>
      </c>
      <c r="F387" t="inlineStr">
        <is>
          <t>ÖSTERGÖTLANDS LÄN</t>
        </is>
      </c>
      <c r="G387" t="inlineStr">
        <is>
          <t>FINSPÅNG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46294</v>
      </c>
      <c r="F388" t="inlineStr">
        <is>
          <t>ÖSTERGÖTLANDS LÄN</t>
        </is>
      </c>
      <c r="G388" t="inlineStr">
        <is>
          <t>FINSPÅNG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44957</v>
      </c>
      <c r="E389" s="1" t="n">
        <v>46294</v>
      </c>
      <c r="F389" t="inlineStr">
        <is>
          <t>ÖSTERGÖTLANDS LÄN</t>
        </is>
      </c>
      <c r="G389" t="inlineStr">
        <is>
          <t>FINSPÅNG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45986</v>
      </c>
      <c r="E390" s="1" t="n">
        <v>46294</v>
      </c>
      <c r="F390" t="inlineStr">
        <is>
          <t>ÖSTERGÖTLANDS LÄN</t>
        </is>
      </c>
      <c r="G390" t="inlineStr">
        <is>
          <t>FINSPÅNG</t>
        </is>
      </c>
      <c r="I390" t="n">
        <v>9.300000000000001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44662</v>
      </c>
      <c r="E391" s="1" t="n">
        <v>46294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45463</v>
      </c>
      <c r="E392" s="1" t="n">
        <v>46294</v>
      </c>
      <c r="F392" t="inlineStr">
        <is>
          <t>ÖSTERGÖTLANDS LÄN</t>
        </is>
      </c>
      <c r="G392" t="inlineStr">
        <is>
          <t>FINSPÅNG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46294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58709-2025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45986</v>
      </c>
      <c r="E394" s="1" t="n">
        <v>46294</v>
      </c>
      <c r="F394" t="inlineStr">
        <is>
          <t>ÖSTERGÖTLANDS LÄN</t>
        </is>
      </c>
      <c r="G394" t="inlineStr">
        <is>
          <t>FINSPÅNG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45084</v>
      </c>
      <c r="E395" s="1" t="n">
        <v>46294</v>
      </c>
      <c r="F395" t="inlineStr">
        <is>
          <t>ÖSTERGÖTLANDS LÄN</t>
        </is>
      </c>
      <c r="G395" t="inlineStr">
        <is>
          <t>FINSPÅNG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25356-2022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44732</v>
      </c>
      <c r="E396" s="1" t="n">
        <v>46294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46294</v>
      </c>
      <c r="F397" t="inlineStr">
        <is>
          <t>ÖSTERGÖTLANDS LÄN</t>
        </is>
      </c>
      <c r="G397" t="inlineStr">
        <is>
          <t>FINSPÅNG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50670-2024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45601</v>
      </c>
      <c r="E398" s="1" t="n">
        <v>46294</v>
      </c>
      <c r="F398" t="inlineStr">
        <is>
          <t>ÖSTERGÖTLANDS LÄN</t>
        </is>
      </c>
      <c r="G398" t="inlineStr">
        <is>
          <t>FINSPÅNG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61012-2022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44914</v>
      </c>
      <c r="E399" s="1" t="n">
        <v>46294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46294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46294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70505-2021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44536</v>
      </c>
      <c r="E402" s="1" t="n">
        <v>46294</v>
      </c>
      <c r="F402" t="inlineStr">
        <is>
          <t>ÖSTERGÖTLANDS LÄN</t>
        </is>
      </c>
      <c r="G402" t="inlineStr">
        <is>
          <t>FINSPÅNG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44734</v>
      </c>
      <c r="E403" s="1" t="n">
        <v>46294</v>
      </c>
      <c r="F403" t="inlineStr">
        <is>
          <t>ÖSTERGÖTLANDS LÄN</t>
        </is>
      </c>
      <c r="G403" t="inlineStr">
        <is>
          <t>FINSPÅNG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46294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21719-2024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45442</v>
      </c>
      <c r="E405" s="1" t="n">
        <v>46294</v>
      </c>
      <c r="F405" t="inlineStr">
        <is>
          <t>ÖSTERGÖTLANDS LÄN</t>
        </is>
      </c>
      <c r="G405" t="inlineStr">
        <is>
          <t>FINSPÅNG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46294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44887</v>
      </c>
      <c r="E407" s="1" t="n">
        <v>46294</v>
      </c>
      <c r="F407" t="inlineStr">
        <is>
          <t>ÖSTERGÖTLANDS LÄN</t>
        </is>
      </c>
      <c r="G407" t="inlineStr">
        <is>
          <t>FINSPÅNG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46294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45615</v>
      </c>
      <c r="E409" s="1" t="n">
        <v>46294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46294</v>
      </c>
      <c r="F410" t="inlineStr">
        <is>
          <t>ÖSTERGÖTLANDS LÄN</t>
        </is>
      </c>
      <c r="G410" t="inlineStr">
        <is>
          <t>FINSPÅNG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44614</v>
      </c>
      <c r="E411" s="1" t="n">
        <v>46294</v>
      </c>
      <c r="F411" t="inlineStr">
        <is>
          <t>ÖSTERGÖTLANDS LÄN</t>
        </is>
      </c>
      <c r="G411" t="inlineStr">
        <is>
          <t>FINSPÅNG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45468</v>
      </c>
      <c r="E412" s="1" t="n">
        <v>46294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46294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44833</v>
      </c>
      <c r="E414" s="1" t="n">
        <v>46294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Övriga Aktiebolag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46294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Övriga Aktiebolag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39356-2022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44817</v>
      </c>
      <c r="E416" s="1" t="n">
        <v>46294</v>
      </c>
      <c r="F416" t="inlineStr">
        <is>
          <t>ÖSTERGÖTLANDS LÄN</t>
        </is>
      </c>
      <c r="G416" t="inlineStr">
        <is>
          <t>FINSPÅNG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46294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46058</v>
      </c>
      <c r="E418" s="1" t="n">
        <v>46294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46294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Övriga Aktiebolag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46060</v>
      </c>
      <c r="E420" s="1" t="n">
        <v>46294</v>
      </c>
      <c r="F420" t="inlineStr">
        <is>
          <t>ÖSTERGÖTLANDS LÄN</t>
        </is>
      </c>
      <c r="G420" t="inlineStr">
        <is>
          <t>FINSPÅNG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46294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46294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44980</v>
      </c>
      <c r="E423" s="1" t="n">
        <v>46294</v>
      </c>
      <c r="F423" t="inlineStr">
        <is>
          <t>ÖSTERGÖTLANDS LÄN</t>
        </is>
      </c>
      <c r="G423" t="inlineStr">
        <is>
          <t>FINSPÅNG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46063</v>
      </c>
      <c r="E424" s="1" t="n">
        <v>46294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45118</v>
      </c>
      <c r="E425" s="1" t="n">
        <v>46294</v>
      </c>
      <c r="F425" t="inlineStr">
        <is>
          <t>ÖSTERGÖTLANDS LÄN</t>
        </is>
      </c>
      <c r="G425" t="inlineStr">
        <is>
          <t>FINSPÅNG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46294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Sveaskog</t>
        </is>
      </c>
      <c r="I426" t="n">
        <v>10.5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8529-2026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46294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8553-2026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46294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8270-2026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46294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Sveaskog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46064</v>
      </c>
      <c r="E430" s="1" t="n">
        <v>46294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46294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Sveaskog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46294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Sveaskog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8238-2026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46064</v>
      </c>
      <c r="E433" s="1" t="n">
        <v>46294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Sveaskog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46294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Övriga Aktiebolag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46294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45467</v>
      </c>
      <c r="E436" s="1" t="n">
        <v>46294</v>
      </c>
      <c r="F436" t="inlineStr">
        <is>
          <t>ÖSTERGÖTLANDS LÄN</t>
        </is>
      </c>
      <c r="G436" t="inlineStr">
        <is>
          <t>FINSPÅNG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44735</v>
      </c>
      <c r="E437" s="1" t="n">
        <v>46294</v>
      </c>
      <c r="F437" t="inlineStr">
        <is>
          <t>ÖSTERGÖTLANDS LÄN</t>
        </is>
      </c>
      <c r="G437" t="inlineStr">
        <is>
          <t>FINSPÅNG</t>
        </is>
      </c>
      <c r="I437" t="n">
        <v>10.1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46070</v>
      </c>
      <c r="E438" s="1" t="n">
        <v>46294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46294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45600</v>
      </c>
      <c r="E440" s="1" t="n">
        <v>46294</v>
      </c>
      <c r="F440" t="inlineStr">
        <is>
          <t>ÖSTERGÖTLANDS LÄN</t>
        </is>
      </c>
      <c r="G440" t="inlineStr">
        <is>
          <t>FINSPÅNG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46294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9934-2026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46073</v>
      </c>
      <c r="E442" s="1" t="n">
        <v>46294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58142-2022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44900</v>
      </c>
      <c r="E443" s="1" t="n">
        <v>46294</v>
      </c>
      <c r="F443" t="inlineStr">
        <is>
          <t>ÖSTERGÖTLANDS LÄN</t>
        </is>
      </c>
      <c r="G443" t="inlineStr">
        <is>
          <t>FINSPÅNG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45103</v>
      </c>
      <c r="E444" s="1" t="n">
        <v>46294</v>
      </c>
      <c r="F444" t="inlineStr">
        <is>
          <t>ÖSTERGÖTLANDS LÄN</t>
        </is>
      </c>
      <c r="G444" t="inlineStr">
        <is>
          <t>FINSPÅNG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46294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46294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45343</v>
      </c>
      <c r="E447" s="1" t="n">
        <v>46294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45082</v>
      </c>
      <c r="E448" s="1" t="n">
        <v>46294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45299</v>
      </c>
      <c r="E449" s="1" t="n">
        <v>46294</v>
      </c>
      <c r="F449" t="inlineStr">
        <is>
          <t>ÖSTERGÖTLANDS LÄN</t>
        </is>
      </c>
      <c r="G449" t="inlineStr">
        <is>
          <t>FINSPÅNG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45006</v>
      </c>
      <c r="E450" s="1" t="n">
        <v>46294</v>
      </c>
      <c r="F450" t="inlineStr">
        <is>
          <t>ÖSTERGÖTLANDS LÄN</t>
        </is>
      </c>
      <c r="G450" t="inlineStr">
        <is>
          <t>FINSPÅNG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46078</v>
      </c>
      <c r="E451" s="1" t="n">
        <v>46294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46294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46294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46079</v>
      </c>
      <c r="E454" s="1" t="n">
        <v>46294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46294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46080</v>
      </c>
      <c r="E456" s="1" t="n">
        <v>46294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45379</v>
      </c>
      <c r="E457" s="1" t="n">
        <v>46294</v>
      </c>
      <c r="F457" t="inlineStr">
        <is>
          <t>ÖSTERGÖTLANDS LÄN</t>
        </is>
      </c>
      <c r="G457" t="inlineStr">
        <is>
          <t>FINSPÅNG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44840</v>
      </c>
      <c r="E458" s="1" t="n">
        <v>46294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17992-2023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45040</v>
      </c>
      <c r="E459" s="1" t="n">
        <v>46294</v>
      </c>
      <c r="F459" t="inlineStr">
        <is>
          <t>ÖSTERGÖTLANDS LÄN</t>
        </is>
      </c>
      <c r="G459" t="inlineStr">
        <is>
          <t>FINSPÅNG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23249-2023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45075</v>
      </c>
      <c r="E460" s="1" t="n">
        <v>46294</v>
      </c>
      <c r="F460" t="inlineStr">
        <is>
          <t>ÖSTERGÖTLANDS LÄN</t>
        </is>
      </c>
      <c r="G460" t="inlineStr">
        <is>
          <t>FINSPÅNG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54581-2024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45617</v>
      </c>
      <c r="E461" s="1" t="n">
        <v>46294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11839-2026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46085</v>
      </c>
      <c r="E462" s="1" t="n">
        <v>46294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11814-2026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46085</v>
      </c>
      <c r="E463" s="1" t="n">
        <v>46294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24192-2022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44725</v>
      </c>
      <c r="E464" s="1" t="n">
        <v>46294</v>
      </c>
      <c r="F464" t="inlineStr">
        <is>
          <t>ÖSTERGÖTLANDS LÄN</t>
        </is>
      </c>
      <c r="G464" t="inlineStr">
        <is>
          <t>FINSPÅNG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45082</v>
      </c>
      <c r="E465" s="1" t="n">
        <v>46294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11813-2026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46294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46294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20157-2023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45055</v>
      </c>
      <c r="E468" s="1" t="n">
        <v>46294</v>
      </c>
      <c r="F468" t="inlineStr">
        <is>
          <t>ÖSTERGÖTLANDS LÄN</t>
        </is>
      </c>
      <c r="G468" t="inlineStr">
        <is>
          <t>FINSPÅNG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45688</v>
      </c>
      <c r="E469" s="1" t="n">
        <v>46294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58313-2023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45250</v>
      </c>
      <c r="E470" s="1" t="n">
        <v>46294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45250</v>
      </c>
      <c r="E471" s="1" t="n">
        <v>46294</v>
      </c>
      <c r="F471" t="inlineStr">
        <is>
          <t>ÖSTERGÖTLANDS LÄN</t>
        </is>
      </c>
      <c r="G471" t="inlineStr">
        <is>
          <t>FINSPÅNG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33804-2023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45133</v>
      </c>
      <c r="E472" s="1" t="n">
        <v>46294</v>
      </c>
      <c r="F472" t="inlineStr">
        <is>
          <t>ÖSTERGÖTLANDS LÄN</t>
        </is>
      </c>
      <c r="G472" t="inlineStr">
        <is>
          <t>FINSPÅNG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58984-2022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46294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39114-2024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45548</v>
      </c>
      <c r="E474" s="1" t="n">
        <v>46294</v>
      </c>
      <c r="F474" t="inlineStr">
        <is>
          <t>ÖSTERGÖTLANDS LÄN</t>
        </is>
      </c>
      <c r="G474" t="inlineStr">
        <is>
          <t>FINSPÅNG</t>
        </is>
      </c>
      <c r="I474" t="n">
        <v>9.699999999999999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62186-2023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45267</v>
      </c>
      <c r="E475" s="1" t="n">
        <v>46294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45008</v>
      </c>
      <c r="E476" s="1" t="n">
        <v>46294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54609-2021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44473</v>
      </c>
      <c r="E477" s="1" t="n">
        <v>46294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46294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7269-2024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45344</v>
      </c>
      <c r="E479" s="1" t="n">
        <v>46294</v>
      </c>
      <c r="F479" t="inlineStr">
        <is>
          <t>ÖSTERGÖTLANDS LÄN</t>
        </is>
      </c>
      <c r="G479" t="inlineStr">
        <is>
          <t>FINSPÅNG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45362</v>
      </c>
      <c r="E480" s="1" t="n">
        <v>46294</v>
      </c>
      <c r="F480" t="inlineStr">
        <is>
          <t>ÖSTERGÖTLANDS LÄN</t>
        </is>
      </c>
      <c r="G480" t="inlineStr">
        <is>
          <t>FINSPÅNG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11730-2022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44634</v>
      </c>
      <c r="E481" s="1" t="n">
        <v>46294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58905-2023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45252</v>
      </c>
      <c r="E482" s="1" t="n">
        <v>46294</v>
      </c>
      <c r="F482" t="inlineStr">
        <is>
          <t>ÖSTERGÖTLANDS LÄN</t>
        </is>
      </c>
      <c r="G482" t="inlineStr">
        <is>
          <t>FINSPÅNG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46294</v>
      </c>
      <c r="F483" t="inlineStr">
        <is>
          <t>ÖSTERGÖTLANDS LÄN</t>
        </is>
      </c>
      <c r="G483" t="inlineStr">
        <is>
          <t>FINSPÅNG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48790-2023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46294</v>
      </c>
      <c r="F484" t="inlineStr">
        <is>
          <t>ÖSTERGÖTLANDS LÄN</t>
        </is>
      </c>
      <c r="G484" t="inlineStr">
        <is>
          <t>FINSPÅNG</t>
        </is>
      </c>
      <c r="I484" t="n">
        <v>14.6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48793-2023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45209</v>
      </c>
      <c r="E485" s="1" t="n">
        <v>46294</v>
      </c>
      <c r="F485" t="inlineStr">
        <is>
          <t>ÖSTERGÖTLANDS LÄN</t>
        </is>
      </c>
      <c r="G485" t="inlineStr">
        <is>
          <t>FINSPÅNG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46294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46099</v>
      </c>
      <c r="E487" s="1" t="n">
        <v>46294</v>
      </c>
      <c r="F487" t="inlineStr">
        <is>
          <t>ÖSTERGÖTLANDS LÄN</t>
        </is>
      </c>
      <c r="G487" t="inlineStr">
        <is>
          <t>FINSPÅNG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46294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46294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Sveaskog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46294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46294</v>
      </c>
      <c r="F491" t="inlineStr">
        <is>
          <t>ÖSTERGÖTLANDS LÄN</t>
        </is>
      </c>
      <c r="G491" t="inlineStr">
        <is>
          <t>FINSPÅNG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44664</v>
      </c>
      <c r="E492" s="1" t="n">
        <v>46294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44946</v>
      </c>
      <c r="E493" s="1" t="n">
        <v>46294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44946</v>
      </c>
      <c r="E494" s="1" t="n">
        <v>46294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46106</v>
      </c>
      <c r="E495" s="1" t="n">
        <v>46294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44944</v>
      </c>
      <c r="E496" s="1" t="n">
        <v>46294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14241-2023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45009</v>
      </c>
      <c r="E497" s="1" t="n">
        <v>46294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58011-2023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45247</v>
      </c>
      <c r="E498" s="1" t="n">
        <v>46294</v>
      </c>
      <c r="F498" t="inlineStr">
        <is>
          <t>ÖSTERGÖTLANDS LÄN</t>
        </is>
      </c>
      <c r="G498" t="inlineStr">
        <is>
          <t>FINSPÅNG</t>
        </is>
      </c>
      <c r="I498" t="n">
        <v>5.9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28020-2023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45095</v>
      </c>
      <c r="E499" s="1" t="n">
        <v>46294</v>
      </c>
      <c r="F499" t="inlineStr">
        <is>
          <t>ÖSTERGÖTLANDS LÄN</t>
        </is>
      </c>
      <c r="G499" t="inlineStr">
        <is>
          <t>FINSPÅNG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34001-2024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45523</v>
      </c>
      <c r="E500" s="1" t="n">
        <v>46294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16355-2026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46111</v>
      </c>
      <c r="E501" s="1" t="n">
        <v>46294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30921-2022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44767</v>
      </c>
      <c r="E502" s="1" t="n">
        <v>46294</v>
      </c>
      <c r="F502" t="inlineStr">
        <is>
          <t>ÖSTERGÖTLANDS LÄN</t>
        </is>
      </c>
      <c r="G502" t="inlineStr">
        <is>
          <t>FINSPÅNG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46294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44759</v>
      </c>
      <c r="E504" s="1" t="n">
        <v>46294</v>
      </c>
      <c r="F504" t="inlineStr">
        <is>
          <t>ÖSTERGÖTLANDS LÄN</t>
        </is>
      </c>
      <c r="G504" t="inlineStr">
        <is>
          <t>FINSPÅNG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46294</v>
      </c>
      <c r="F505" t="inlineStr">
        <is>
          <t>ÖSTERGÖTLANDS LÄN</t>
        </is>
      </c>
      <c r="G505" t="inlineStr">
        <is>
          <t>FINSPÅNG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46294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60169-2023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45258</v>
      </c>
      <c r="E507" s="1" t="n">
        <v>46294</v>
      </c>
      <c r="F507" t="inlineStr">
        <is>
          <t>ÖSTERGÖTLANDS LÄN</t>
        </is>
      </c>
      <c r="G507" t="inlineStr">
        <is>
          <t>FINSPÅNG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16996-2026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46294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44617</v>
      </c>
      <c r="E509" s="1" t="n">
        <v>46294</v>
      </c>
      <c r="F509" t="inlineStr">
        <is>
          <t>ÖSTERGÖTLANDS LÄN</t>
        </is>
      </c>
      <c r="G509" t="inlineStr">
        <is>
          <t>FINSPÅNG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17008-2026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46114</v>
      </c>
      <c r="E510" s="1" t="n">
        <v>46294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46113</v>
      </c>
      <c r="E511" s="1" t="n">
        <v>46294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18445-2023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45042</v>
      </c>
      <c r="E512" s="1" t="n">
        <v>46294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46294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1628-2023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44937</v>
      </c>
      <c r="E514" s="1" t="n">
        <v>46294</v>
      </c>
      <c r="F514" t="inlineStr">
        <is>
          <t>ÖSTERGÖTLANDS LÄN</t>
        </is>
      </c>
      <c r="G514" t="inlineStr">
        <is>
          <t>FINSPÅNG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46294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Sveaskog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46294</v>
      </c>
      <c r="F516" t="inlineStr">
        <is>
          <t>ÖSTERGÖTLANDS LÄN</t>
        </is>
      </c>
      <c r="G516" t="inlineStr">
        <is>
          <t>FINSPÅNG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45709</v>
      </c>
      <c r="E517" s="1" t="n">
        <v>46294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18086-2026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46125</v>
      </c>
      <c r="E518" s="1" t="n">
        <v>46294</v>
      </c>
      <c r="F518" t="inlineStr">
        <is>
          <t>ÖSTERGÖTLANDS LÄN</t>
        </is>
      </c>
      <c r="G518" t="inlineStr">
        <is>
          <t>FINSPÅNG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11541-2023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44993</v>
      </c>
      <c r="E519" s="1" t="n">
        <v>46294</v>
      </c>
      <c r="F519" t="inlineStr">
        <is>
          <t>ÖSTERGÖTLANDS LÄN</t>
        </is>
      </c>
      <c r="G519" t="inlineStr">
        <is>
          <t>FINSPÅNG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45095</v>
      </c>
      <c r="E520" s="1" t="n">
        <v>46294</v>
      </c>
      <c r="F520" t="inlineStr">
        <is>
          <t>ÖSTERGÖTLANDS LÄN</t>
        </is>
      </c>
      <c r="G520" t="inlineStr">
        <is>
          <t>FINSPÅNG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44564</v>
      </c>
      <c r="E521" s="1" t="n">
        <v>46294</v>
      </c>
      <c r="F521" t="inlineStr">
        <is>
          <t>ÖSTERGÖTLANDS LÄN</t>
        </is>
      </c>
      <c r="G521" t="inlineStr">
        <is>
          <t>FINSPÅNG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52007-2024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45607</v>
      </c>
      <c r="E522" s="1" t="n">
        <v>46294</v>
      </c>
      <c r="F522" t="inlineStr">
        <is>
          <t>ÖSTERGÖTLANDS LÄN</t>
        </is>
      </c>
      <c r="G522" t="inlineStr">
        <is>
          <t>FINSPÅNG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52008-2024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46294</v>
      </c>
      <c r="F523" t="inlineStr">
        <is>
          <t>ÖSTERGÖTLANDS LÄN</t>
        </is>
      </c>
      <c r="G523" t="inlineStr">
        <is>
          <t>FINSPÅNG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52557-2024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45609</v>
      </c>
      <c r="E524" s="1" t="n">
        <v>46294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45665</v>
      </c>
      <c r="E525" s="1" t="n">
        <v>46294</v>
      </c>
      <c r="F525" t="inlineStr">
        <is>
          <t>ÖSTERGÖTLANDS LÄN</t>
        </is>
      </c>
      <c r="G525" t="inlineStr">
        <is>
          <t>FINSPÅNG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39415-2024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46294</v>
      </c>
      <c r="F526" t="inlineStr">
        <is>
          <t>ÖSTERGÖTLANDS LÄN</t>
        </is>
      </c>
      <c r="G526" t="inlineStr">
        <is>
          <t>FINSPÅNG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31323-2022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44774</v>
      </c>
      <c r="E527" s="1" t="n">
        <v>46294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46129</v>
      </c>
      <c r="E528" s="1" t="n">
        <v>46294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45744</v>
      </c>
      <c r="E529" s="1" t="n">
        <v>46294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Naturvårdsverket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46128</v>
      </c>
      <c r="E530" s="1" t="n">
        <v>46294</v>
      </c>
      <c r="F530" t="inlineStr">
        <is>
          <t>ÖSTERGÖTLANDS LÄN</t>
        </is>
      </c>
      <c r="G530" t="inlineStr">
        <is>
          <t>FINSPÅNG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46294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46294</v>
      </c>
      <c r="F532" t="inlineStr">
        <is>
          <t>ÖSTERGÖTLANDS LÄN</t>
        </is>
      </c>
      <c r="G532" t="inlineStr">
        <is>
          <t>FINSPÅNG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7825-2025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45706</v>
      </c>
      <c r="E533" s="1" t="n">
        <v>46294</v>
      </c>
      <c r="F533" t="inlineStr">
        <is>
          <t>ÖSTERGÖTLANDS LÄN</t>
        </is>
      </c>
      <c r="G533" t="inlineStr">
        <is>
          <t>FINSPÅNG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45688</v>
      </c>
      <c r="E534" s="1" t="n">
        <v>46294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19263-2024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45428</v>
      </c>
      <c r="E535" s="1" t="n">
        <v>46294</v>
      </c>
      <c r="F535" t="inlineStr">
        <is>
          <t>ÖSTERGÖTLANDS LÄN</t>
        </is>
      </c>
      <c r="G535" t="inlineStr">
        <is>
          <t>FINSPÅNG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19710-2026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46294</v>
      </c>
      <c r="F536" t="inlineStr">
        <is>
          <t>ÖSTERGÖTLANDS LÄN</t>
        </is>
      </c>
      <c r="G536" t="inlineStr">
        <is>
          <t>FINSPÅNG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45086</v>
      </c>
      <c r="E537" s="1" t="n">
        <v>46294</v>
      </c>
      <c r="F537" t="inlineStr">
        <is>
          <t>ÖSTERGÖTLANDS LÄN</t>
        </is>
      </c>
      <c r="G537" t="inlineStr">
        <is>
          <t>FINSPÅNG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45744</v>
      </c>
      <c r="E538" s="1" t="n">
        <v>46294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14142-2025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45740</v>
      </c>
      <c r="E539" s="1" t="n">
        <v>46294</v>
      </c>
      <c r="F539" t="inlineStr">
        <is>
          <t>ÖSTERGÖTLANDS LÄN</t>
        </is>
      </c>
      <c r="G539" t="inlineStr">
        <is>
          <t>FINSPÅNG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45783</v>
      </c>
      <c r="E540" s="1" t="n">
        <v>46294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45719</v>
      </c>
      <c r="E541" s="1" t="n">
        <v>46294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23724-2023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45077</v>
      </c>
      <c r="E542" s="1" t="n">
        <v>46294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46294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Kyrkan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45068</v>
      </c>
      <c r="E544" s="1" t="n">
        <v>46294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50811-2022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44867</v>
      </c>
      <c r="E545" s="1" t="n">
        <v>46294</v>
      </c>
      <c r="F545" t="inlineStr">
        <is>
          <t>ÖSTERGÖTLANDS LÄN</t>
        </is>
      </c>
      <c r="G545" t="inlineStr">
        <is>
          <t>FINSPÅNG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54923-2022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44886</v>
      </c>
      <c r="E546" s="1" t="n">
        <v>46294</v>
      </c>
      <c r="F546" t="inlineStr">
        <is>
          <t>ÖSTERGÖTLANDS LÄN</t>
        </is>
      </c>
      <c r="G546" t="inlineStr">
        <is>
          <t>FINSPÅNG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59062-2024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45636</v>
      </c>
      <c r="E547" s="1" t="n">
        <v>46294</v>
      </c>
      <c r="F547" t="inlineStr">
        <is>
          <t>ÖSTERGÖTLANDS LÄN</t>
        </is>
      </c>
      <c r="G547" t="inlineStr">
        <is>
          <t>FINSPÅNG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46294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64408-2023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45280</v>
      </c>
      <c r="E549" s="1" t="n">
        <v>46294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45832</v>
      </c>
      <c r="E550" s="1" t="n">
        <v>46294</v>
      </c>
      <c r="F550" t="inlineStr">
        <is>
          <t>ÖSTERGÖTLANDS LÄN</t>
        </is>
      </c>
      <c r="G550" t="inlineStr">
        <is>
          <t>FINSPÅNG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46294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32789-2024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45516</v>
      </c>
      <c r="E552" s="1" t="n">
        <v>46294</v>
      </c>
      <c r="F552" t="inlineStr">
        <is>
          <t>ÖSTERGÖTLANDS LÄN</t>
        </is>
      </c>
      <c r="G552" t="inlineStr">
        <is>
          <t>FINSPÅNG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44987</v>
      </c>
      <c r="E553" s="1" t="n">
        <v>46294</v>
      </c>
      <c r="F553" t="inlineStr">
        <is>
          <t>ÖSTERGÖTLANDS LÄN</t>
        </is>
      </c>
      <c r="G553" t="inlineStr">
        <is>
          <t>FINSPÅNG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46294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43950-2025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45915</v>
      </c>
      <c r="E555" s="1" t="n">
        <v>46294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42651-2024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45566</v>
      </c>
      <c r="E556" s="1" t="n">
        <v>46294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42106-2023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45177</v>
      </c>
      <c r="E557" s="1" t="n">
        <v>46294</v>
      </c>
      <c r="F557" t="inlineStr">
        <is>
          <t>ÖSTERGÖTLANDS LÄN</t>
        </is>
      </c>
      <c r="G557" t="inlineStr">
        <is>
          <t>FINSPÅNG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45700</v>
      </c>
      <c r="E558" s="1" t="n">
        <v>46294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11950-2023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44995</v>
      </c>
      <c r="E559" s="1" t="n">
        <v>46294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41513-2024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45560</v>
      </c>
      <c r="E560" s="1" t="n">
        <v>46294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35598-2023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46294</v>
      </c>
      <c r="F561" t="inlineStr">
        <is>
          <t>ÖSTERGÖTLANDS LÄN</t>
        </is>
      </c>
      <c r="G561" t="inlineStr">
        <is>
          <t>FINSPÅNG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44966</v>
      </c>
      <c r="E562" s="1" t="n">
        <v>46294</v>
      </c>
      <c r="F562" t="inlineStr">
        <is>
          <t>ÖSTERGÖTLANDS LÄN</t>
        </is>
      </c>
      <c r="G562" t="inlineStr">
        <is>
          <t>FINSPÅNG</t>
        </is>
      </c>
      <c r="I562" t="n">
        <v>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45692</v>
      </c>
      <c r="E563" s="1" t="n">
        <v>46294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53572-2023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45230</v>
      </c>
      <c r="E564" s="1" t="n">
        <v>46294</v>
      </c>
      <c r="F564" t="inlineStr">
        <is>
          <t>ÖSTERGÖTLANDS LÄN</t>
        </is>
      </c>
      <c r="G564" t="inlineStr">
        <is>
          <t>FINSPÅNG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17994-2023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45040</v>
      </c>
      <c r="E565" s="1" t="n">
        <v>46294</v>
      </c>
      <c r="F565" t="inlineStr">
        <is>
          <t>ÖSTERGÖTLANDS LÄN</t>
        </is>
      </c>
      <c r="G565" t="inlineStr">
        <is>
          <t>FINSPÅNG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45853</v>
      </c>
      <c r="E566" s="1" t="n">
        <v>46294</v>
      </c>
      <c r="F566" t="inlineStr">
        <is>
          <t>ÖSTERGÖTLANDS LÄN</t>
        </is>
      </c>
      <c r="G566" t="inlineStr">
        <is>
          <t>FINSPÅNG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53246-2022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44876</v>
      </c>
      <c r="E567" s="1" t="n">
        <v>46294</v>
      </c>
      <c r="F567" t="inlineStr">
        <is>
          <t>ÖSTERGÖTLANDS LÄN</t>
        </is>
      </c>
      <c r="G567" t="inlineStr">
        <is>
          <t>FINSPÅNG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45179</v>
      </c>
      <c r="E568" s="1" t="n">
        <v>46294</v>
      </c>
      <c r="F568" t="inlineStr">
        <is>
          <t>ÖSTERGÖTLANDS LÄN</t>
        </is>
      </c>
      <c r="G568" t="inlineStr">
        <is>
          <t>FINSPÅNG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42205-2023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45179</v>
      </c>
      <c r="E569" s="1" t="n">
        <v>46294</v>
      </c>
      <c r="F569" t="inlineStr">
        <is>
          <t>ÖSTERGÖTLANDS LÄN</t>
        </is>
      </c>
      <c r="G569" t="inlineStr">
        <is>
          <t>FINSPÅNG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46064</v>
      </c>
      <c r="E570" s="1" t="n">
        <v>46294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8403-2025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45709</v>
      </c>
      <c r="E571" s="1" t="n">
        <v>46294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45309</v>
      </c>
      <c r="E572" s="1" t="n">
        <v>46294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45309</v>
      </c>
      <c r="E573" s="1" t="n">
        <v>46294</v>
      </c>
      <c r="F573" t="inlineStr">
        <is>
          <t>ÖSTERGÖTLANDS LÄN</t>
        </is>
      </c>
      <c r="G573" t="inlineStr">
        <is>
          <t>FINSPÅNG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2164-2024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45309</v>
      </c>
      <c r="E574" s="1" t="n">
        <v>46294</v>
      </c>
      <c r="F574" t="inlineStr">
        <is>
          <t>ÖSTERGÖTLANDS LÄN</t>
        </is>
      </c>
      <c r="G574" t="inlineStr">
        <is>
          <t>FINSPÅNG</t>
        </is>
      </c>
      <c r="I574" t="n">
        <v>15.1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44949</v>
      </c>
      <c r="E575" s="1" t="n">
        <v>46294</v>
      </c>
      <c r="F575" t="inlineStr">
        <is>
          <t>ÖSTERGÖTLANDS LÄN</t>
        </is>
      </c>
      <c r="G575" t="inlineStr">
        <is>
          <t>FINSPÅNG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46294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14565-2023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45013</v>
      </c>
      <c r="E577" s="1" t="n">
        <v>46294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44981</v>
      </c>
      <c r="E578" s="1" t="n">
        <v>46294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611-2023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44930</v>
      </c>
      <c r="E579" s="1" t="n">
        <v>46294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45086</v>
      </c>
      <c r="E580" s="1" t="n">
        <v>46294</v>
      </c>
      <c r="F580" t="inlineStr">
        <is>
          <t>ÖSTERGÖTLANDS LÄN</t>
        </is>
      </c>
      <c r="G580" t="inlineStr">
        <is>
          <t>FINSPÅNG</t>
        </is>
      </c>
      <c r="I580" t="n">
        <v>10.1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18439-2023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45042</v>
      </c>
      <c r="E581" s="1" t="n">
        <v>46294</v>
      </c>
      <c r="F581" t="inlineStr">
        <is>
          <t>ÖSTERGÖTLANDS LÄN</t>
        </is>
      </c>
      <c r="G581" t="inlineStr">
        <is>
          <t>FINSPÅNG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45042</v>
      </c>
      <c r="E582" s="1" t="n">
        <v>46294</v>
      </c>
      <c r="F582" t="inlineStr">
        <is>
          <t>ÖSTERGÖTLANDS LÄN</t>
        </is>
      </c>
      <c r="G582" t="inlineStr">
        <is>
          <t>FINSPÅNG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44939</v>
      </c>
      <c r="E583" s="1" t="n">
        <v>46294</v>
      </c>
      <c r="F583" t="inlineStr">
        <is>
          <t>ÖSTERGÖTLANDS LÄN</t>
        </is>
      </c>
      <c r="G583" t="inlineStr">
        <is>
          <t>FINSPÅNG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52004-2024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45607</v>
      </c>
      <c r="E584" s="1" t="n">
        <v>46294</v>
      </c>
      <c r="F584" t="inlineStr">
        <is>
          <t>ÖSTERGÖTLANDS LÄN</t>
        </is>
      </c>
      <c r="G584" t="inlineStr">
        <is>
          <t>FINSPÅNG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25420-2022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44732</v>
      </c>
      <c r="E585" s="1" t="n">
        <v>46294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18585-2024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45425</v>
      </c>
      <c r="E586" s="1" t="n">
        <v>46294</v>
      </c>
      <c r="F586" t="inlineStr">
        <is>
          <t>ÖSTERGÖTLANDS LÄN</t>
        </is>
      </c>
      <c r="G586" t="inlineStr">
        <is>
          <t>FINSPÅNG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42111-2023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45177</v>
      </c>
      <c r="E587" s="1" t="n">
        <v>46294</v>
      </c>
      <c r="F587" t="inlineStr">
        <is>
          <t>ÖSTERGÖTLANDS LÄN</t>
        </is>
      </c>
      <c r="G587" t="inlineStr">
        <is>
          <t>FINSPÅNG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45302</v>
      </c>
      <c r="E588" s="1" t="n">
        <v>46294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45678</v>
      </c>
      <c r="E589" s="1" t="n">
        <v>46294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55624-2024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45622</v>
      </c>
      <c r="E590" s="1" t="n">
        <v>46294</v>
      </c>
      <c r="F590" t="inlineStr">
        <is>
          <t>ÖSTERGÖTLANDS LÄN</t>
        </is>
      </c>
      <c r="G590" t="inlineStr">
        <is>
          <t>FINSPÅNG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46141</v>
      </c>
      <c r="E591" s="1" t="n">
        <v>46294</v>
      </c>
      <c r="F591" t="inlineStr">
        <is>
          <t>ÖSTERGÖTLANDS LÄN</t>
        </is>
      </c>
      <c r="G591" t="inlineStr">
        <is>
          <t>FINSPÅNG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55052-2023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45237</v>
      </c>
      <c r="E592" s="1" t="n">
        <v>46294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Kyrkan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12814-2022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44642</v>
      </c>
      <c r="E593" s="1" t="n">
        <v>46294</v>
      </c>
      <c r="F593" t="inlineStr">
        <is>
          <t>ÖSTERGÖTLANDS LÄN</t>
        </is>
      </c>
      <c r="G593" t="inlineStr">
        <is>
          <t>FINSPÅNG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45770</v>
      </c>
      <c r="E594" s="1" t="n">
        <v>46294</v>
      </c>
      <c r="F594" t="inlineStr">
        <is>
          <t>ÖSTERGÖTLANDS LÄN</t>
        </is>
      </c>
      <c r="G594" t="inlineStr">
        <is>
          <t>FINSPÅNG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24012-2024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45456</v>
      </c>
      <c r="E595" s="1" t="n">
        <v>46294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29078-2022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44749</v>
      </c>
      <c r="E596" s="1" t="n">
        <v>46294</v>
      </c>
      <c r="F596" t="inlineStr">
        <is>
          <t>ÖSTERGÖTLANDS LÄN</t>
        </is>
      </c>
      <c r="G596" t="inlineStr">
        <is>
          <t>FINSPÅNG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24503-2023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45082</v>
      </c>
      <c r="E597" s="1" t="n">
        <v>46294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45082</v>
      </c>
      <c r="E598" s="1" t="n">
        <v>46294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39740-2023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45167</v>
      </c>
      <c r="E599" s="1" t="n">
        <v>46294</v>
      </c>
      <c r="F599" t="inlineStr">
        <is>
          <t>ÖSTERGÖTLANDS LÄN</t>
        </is>
      </c>
      <c r="G599" t="inlineStr">
        <is>
          <t>FINSPÅNG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44930</v>
      </c>
      <c r="E600" s="1" t="n">
        <v>46294</v>
      </c>
      <c r="F600" t="inlineStr">
        <is>
          <t>ÖSTERGÖTLANDS LÄN</t>
        </is>
      </c>
      <c r="G600" t="inlineStr">
        <is>
          <t>FINSPÅNG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33027-2022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44782</v>
      </c>
      <c r="E601" s="1" t="n">
        <v>46294</v>
      </c>
      <c r="F601" t="inlineStr">
        <is>
          <t>ÖSTERGÖTLANDS LÄN</t>
        </is>
      </c>
      <c r="G601" t="inlineStr">
        <is>
          <t>FINSPÅNG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43534-2023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45184</v>
      </c>
      <c r="E602" s="1" t="n">
        <v>46294</v>
      </c>
      <c r="F602" t="inlineStr">
        <is>
          <t>ÖSTERGÖTLANDS LÄN</t>
        </is>
      </c>
      <c r="G602" t="inlineStr">
        <is>
          <t>FINSPÅNG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45980</v>
      </c>
      <c r="E603" s="1" t="n">
        <v>46294</v>
      </c>
      <c r="F603" t="inlineStr">
        <is>
          <t>ÖSTERGÖTLANDS LÄN</t>
        </is>
      </c>
      <c r="G603" t="inlineStr">
        <is>
          <t>FINSPÅNG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61447-2024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46294</v>
      </c>
      <c r="F604" t="inlineStr">
        <is>
          <t>ÖSTERGÖTLANDS LÄN</t>
        </is>
      </c>
      <c r="G604" t="inlineStr">
        <is>
          <t>FINSPÅNG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42779-2023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46294</v>
      </c>
      <c r="F605" t="inlineStr">
        <is>
          <t>ÖSTERGÖTLANDS LÄN</t>
        </is>
      </c>
      <c r="G605" t="inlineStr">
        <is>
          <t>FINSPÅNG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52731-2023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45225</v>
      </c>
      <c r="E606" s="1" t="n">
        <v>46294</v>
      </c>
      <c r="F606" t="inlineStr">
        <is>
          <t>ÖSTERGÖTLANDS LÄN</t>
        </is>
      </c>
      <c r="G606" t="inlineStr">
        <is>
          <t>FINSPÅNG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29630-2022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44754</v>
      </c>
      <c r="E607" s="1" t="n">
        <v>46294</v>
      </c>
      <c r="F607" t="inlineStr">
        <is>
          <t>ÖSTERGÖTLANDS LÄN</t>
        </is>
      </c>
      <c r="G607" t="inlineStr">
        <is>
          <t>FINSPÅNG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18261-2024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45421</v>
      </c>
      <c r="E608" s="1" t="n">
        <v>46294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34119-2025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46294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39467-2024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45551</v>
      </c>
      <c r="E610" s="1" t="n">
        <v>46294</v>
      </c>
      <c r="F610" t="inlineStr">
        <is>
          <t>ÖSTERGÖTLANDS LÄN</t>
        </is>
      </c>
      <c r="G610" t="inlineStr">
        <is>
          <t>FINSPÅNG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35346-2024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46294</v>
      </c>
      <c r="F611" t="inlineStr">
        <is>
          <t>ÖSTERGÖTLANDS LÄN</t>
        </is>
      </c>
      <c r="G611" t="inlineStr">
        <is>
          <t>FINSPÅNG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10184-2023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44986</v>
      </c>
      <c r="E612" s="1" t="n">
        <v>46294</v>
      </c>
      <c r="F612" t="inlineStr">
        <is>
          <t>ÖSTERGÖTLANDS LÄN</t>
        </is>
      </c>
      <c r="G612" t="inlineStr">
        <is>
          <t>FINSPÅNG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31176-2022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44770</v>
      </c>
      <c r="E613" s="1" t="n">
        <v>46294</v>
      </c>
      <c r="F613" t="inlineStr">
        <is>
          <t>ÖSTERGÖTLANDS LÄN</t>
        </is>
      </c>
      <c r="G613" t="inlineStr">
        <is>
          <t>FINSPÅNG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45566</v>
      </c>
      <c r="E614" s="1" t="n">
        <v>46294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10485-2026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46077</v>
      </c>
      <c r="E615" s="1" t="n">
        <v>46294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Kyrkan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1137-2024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45302</v>
      </c>
      <c r="E616" s="1" t="n">
        <v>46294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50510-2024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45601</v>
      </c>
      <c r="E617" s="1" t="n">
        <v>46294</v>
      </c>
      <c r="F617" t="inlineStr">
        <is>
          <t>ÖSTERGÖTLANDS LÄN</t>
        </is>
      </c>
      <c r="G617" t="inlineStr">
        <is>
          <t>FINSPÅNG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22938-2026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46160</v>
      </c>
      <c r="E618" s="1" t="n">
        <v>46294</v>
      </c>
      <c r="F618" t="inlineStr">
        <is>
          <t>ÖSTERGÖTLANDS LÄN</t>
        </is>
      </c>
      <c r="G618" t="inlineStr">
        <is>
          <t>FINSPÅNG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17321-2022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44678</v>
      </c>
      <c r="E619" s="1" t="n">
        <v>46294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12216-2022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44637</v>
      </c>
      <c r="E620" s="1" t="n">
        <v>46294</v>
      </c>
      <c r="F620" t="inlineStr">
        <is>
          <t>ÖSTERGÖTLANDS LÄN</t>
        </is>
      </c>
      <c r="G620" t="inlineStr">
        <is>
          <t>FINSPÅNG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64103-2023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45279</v>
      </c>
      <c r="E621" s="1" t="n">
        <v>46294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52561-2024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46294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22437-2023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45070</v>
      </c>
      <c r="E623" s="1" t="n">
        <v>46294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7743-2023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44973</v>
      </c>
      <c r="E624" s="1" t="n">
        <v>46294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56425-2022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44891</v>
      </c>
      <c r="E625" s="1" t="n">
        <v>46294</v>
      </c>
      <c r="F625" t="inlineStr">
        <is>
          <t>ÖSTERGÖTLANDS LÄN</t>
        </is>
      </c>
      <c r="G625" t="inlineStr">
        <is>
          <t>FINSPÅNG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53945-2024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45616</v>
      </c>
      <c r="E626" s="1" t="n">
        <v>46294</v>
      </c>
      <c r="F626" t="inlineStr">
        <is>
          <t>ÖSTERGÖTLANDS LÄN</t>
        </is>
      </c>
      <c r="G626" t="inlineStr">
        <is>
          <t>FINSPÅNG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44949</v>
      </c>
      <c r="E627" s="1" t="n">
        <v>46294</v>
      </c>
      <c r="F627" t="inlineStr">
        <is>
          <t>ÖSTERGÖTLANDS LÄN</t>
        </is>
      </c>
      <c r="G627" t="inlineStr">
        <is>
          <t>FINSPÅNG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44966</v>
      </c>
      <c r="E628" s="1" t="n">
        <v>46294</v>
      </c>
      <c r="F628" t="inlineStr">
        <is>
          <t>ÖSTERGÖTLANDS LÄN</t>
        </is>
      </c>
      <c r="G628" t="inlineStr">
        <is>
          <t>FINSPÅNG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4280-2023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44953</v>
      </c>
      <c r="E629" s="1" t="n">
        <v>46294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40319-2022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44823</v>
      </c>
      <c r="E630" s="1" t="n">
        <v>46294</v>
      </c>
      <c r="F630" t="inlineStr">
        <is>
          <t>ÖSTERGÖTLANDS LÄN</t>
        </is>
      </c>
      <c r="G630" t="inlineStr">
        <is>
          <t>FINSPÅNG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24833-2026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46294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Sveaskog</t>
        </is>
      </c>
      <c r="I631" t="n">
        <v>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24835-2026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46174</v>
      </c>
      <c r="E632" s="1" t="n">
        <v>46294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Sveaskog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47317-2023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45202</v>
      </c>
      <c r="E633" s="1" t="n">
        <v>46294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12483-2024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45379</v>
      </c>
      <c r="E634" s="1" t="n">
        <v>46294</v>
      </c>
      <c r="F634" t="inlineStr">
        <is>
          <t>ÖSTERGÖTLANDS LÄN</t>
        </is>
      </c>
      <c r="G634" t="inlineStr">
        <is>
          <t>FINSPÅNG</t>
        </is>
      </c>
      <c r="I634" t="n">
        <v>11.9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19160-2024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45428</v>
      </c>
      <c r="E635" s="1" t="n">
        <v>46294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41328-2023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46294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Kyrkan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46176</v>
      </c>
      <c r="E637" s="1" t="n">
        <v>46294</v>
      </c>
      <c r="F637" t="inlineStr">
        <is>
          <t>ÖSTERGÖTLANDS LÄN</t>
        </is>
      </c>
      <c r="G637" t="inlineStr">
        <is>
          <t>FINSPÅNG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19529-2025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45770</v>
      </c>
      <c r="E638" s="1" t="n">
        <v>46294</v>
      </c>
      <c r="F638" t="inlineStr">
        <is>
          <t>ÖSTERGÖTLANDS LÄN</t>
        </is>
      </c>
      <c r="G638" t="inlineStr">
        <is>
          <t>FINSPÅNG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46176</v>
      </c>
      <c r="E639" s="1" t="n">
        <v>46294</v>
      </c>
      <c r="F639" t="inlineStr">
        <is>
          <t>ÖSTERGÖTLANDS LÄN</t>
        </is>
      </c>
      <c r="G639" t="inlineStr">
        <is>
          <t>FINSPÅNG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46176</v>
      </c>
      <c r="E640" s="1" t="n">
        <v>46294</v>
      </c>
      <c r="F640" t="inlineStr">
        <is>
          <t>ÖSTERGÖTLANDS LÄN</t>
        </is>
      </c>
      <c r="G640" t="inlineStr">
        <is>
          <t>FINSPÅNG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54727-2023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45236</v>
      </c>
      <c r="E641" s="1" t="n">
        <v>46294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54730-2023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45236</v>
      </c>
      <c r="E642" s="1" t="n">
        <v>46294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9003-2024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45357</v>
      </c>
      <c r="E643" s="1" t="n">
        <v>46294</v>
      </c>
      <c r="F643" t="inlineStr">
        <is>
          <t>ÖSTERGÖTLANDS LÄN</t>
        </is>
      </c>
      <c r="G643" t="inlineStr">
        <is>
          <t>FINSPÅNG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56420-2023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45243</v>
      </c>
      <c r="E644" s="1" t="n">
        <v>46294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15952-2023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45022</v>
      </c>
      <c r="E645" s="1" t="n">
        <v>46294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46294</v>
      </c>
      <c r="F646" t="inlineStr">
        <is>
          <t>ÖSTERGÖTLANDS LÄN</t>
        </is>
      </c>
      <c r="G646" t="inlineStr">
        <is>
          <t>FINSPÅNG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46294</v>
      </c>
      <c r="F647" t="inlineStr">
        <is>
          <t>ÖSTERGÖTLANDS LÄN</t>
        </is>
      </c>
      <c r="G647" t="inlineStr">
        <is>
          <t>FINSPÅNG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25629-2026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46294</v>
      </c>
      <c r="F648" t="inlineStr">
        <is>
          <t>ÖSTERGÖTLANDS LÄN</t>
        </is>
      </c>
      <c r="G648" t="inlineStr">
        <is>
          <t>FINSPÅNG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46294</v>
      </c>
      <c r="F649" t="inlineStr">
        <is>
          <t>ÖSTERGÖTLANDS LÄN</t>
        </is>
      </c>
      <c r="G649" t="inlineStr">
        <is>
          <t>FINSPÅNG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38964-2022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44816</v>
      </c>
      <c r="E650" s="1" t="n">
        <v>46294</v>
      </c>
      <c r="F650" t="inlineStr">
        <is>
          <t>ÖSTERGÖTLANDS LÄN</t>
        </is>
      </c>
      <c r="G650" t="inlineStr">
        <is>
          <t>FINSPÅNG</t>
        </is>
      </c>
      <c r="I650" t="n">
        <v>7.3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2744-2024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45314</v>
      </c>
      <c r="E651" s="1" t="n">
        <v>46294</v>
      </c>
      <c r="F651" t="inlineStr">
        <is>
          <t>ÖSTERGÖTLANDS LÄN</t>
        </is>
      </c>
      <c r="G651" t="inlineStr">
        <is>
          <t>FINSPÅNG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40194-2022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44820</v>
      </c>
      <c r="E652" s="1" t="n">
        <v>46294</v>
      </c>
      <c r="F652" t="inlineStr">
        <is>
          <t>ÖSTERGÖTLANDS LÄN</t>
        </is>
      </c>
      <c r="G652" t="inlineStr">
        <is>
          <t>FINSPÅNG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25943-2026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46294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Sveaskog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36406-2024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45535</v>
      </c>
      <c r="E654" s="1" t="n">
        <v>46294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Kommuner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58367-2023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45250</v>
      </c>
      <c r="E655" s="1" t="n">
        <v>46294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46317-2023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45197</v>
      </c>
      <c r="E656" s="1" t="n">
        <v>46294</v>
      </c>
      <c r="F656" t="inlineStr">
        <is>
          <t>ÖSTERGÖTLANDS LÄN</t>
        </is>
      </c>
      <c r="G656" t="inlineStr">
        <is>
          <t>FINSPÅNG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46294</v>
      </c>
      <c r="F657" t="inlineStr">
        <is>
          <t>ÖSTERGÖTLANDS LÄN</t>
        </is>
      </c>
      <c r="G657" t="inlineStr">
        <is>
          <t>FINSPÅNG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26905-2026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46185</v>
      </c>
      <c r="E658" s="1" t="n">
        <v>46294</v>
      </c>
      <c r="F658" t="inlineStr">
        <is>
          <t>ÖSTERGÖTLANDS LÄN</t>
        </is>
      </c>
      <c r="G658" t="inlineStr">
        <is>
          <t>FINSPÅNG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36994-2022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44806</v>
      </c>
      <c r="E659" s="1" t="n">
        <v>46294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27018-2026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46294</v>
      </c>
      <c r="F660" t="inlineStr">
        <is>
          <t>ÖSTERGÖTLANDS LÄN</t>
        </is>
      </c>
      <c r="G660" t="inlineStr">
        <is>
          <t>FINSPÅNG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27369-2026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46188</v>
      </c>
      <c r="E661" s="1" t="n">
        <v>46294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31130-2023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45113</v>
      </c>
      <c r="E662" s="1" t="n">
        <v>46294</v>
      </c>
      <c r="F662" t="inlineStr">
        <is>
          <t>ÖSTERGÖTLANDS LÄN</t>
        </is>
      </c>
      <c r="G662" t="inlineStr">
        <is>
          <t>FINSPÅNG</t>
        </is>
      </c>
      <c r="I662" t="n">
        <v>5.4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44964</v>
      </c>
      <c r="E663" s="1" t="n">
        <v>46294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18171-2024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45420</v>
      </c>
      <c r="E664" s="1" t="n">
        <v>46294</v>
      </c>
      <c r="F664" t="inlineStr">
        <is>
          <t>ÖSTERGÖTLANDS LÄN</t>
        </is>
      </c>
      <c r="G664" t="inlineStr">
        <is>
          <t>FINSPÅNG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43318-2022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44834</v>
      </c>
      <c r="E665" s="1" t="n">
        <v>46294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53944-2024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46294</v>
      </c>
      <c r="F666" t="inlineStr">
        <is>
          <t>ÖSTERGÖTLANDS LÄN</t>
        </is>
      </c>
      <c r="G666" t="inlineStr">
        <is>
          <t>FINSPÅNG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60038-2023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45258</v>
      </c>
      <c r="E667" s="1" t="n">
        <v>46294</v>
      </c>
      <c r="F667" t="inlineStr">
        <is>
          <t>ÖSTERGÖTLANDS LÄN</t>
        </is>
      </c>
      <c r="G667" t="inlineStr">
        <is>
          <t>FINSPÅNG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50341-2022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44865</v>
      </c>
      <c r="E668" s="1" t="n">
        <v>46294</v>
      </c>
      <c r="F668" t="inlineStr">
        <is>
          <t>ÖSTERGÖTLANDS LÄN</t>
        </is>
      </c>
      <c r="G668" t="inlineStr">
        <is>
          <t>FINSPÅNG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46196</v>
      </c>
      <c r="E669" s="1" t="n">
        <v>46294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Kommuner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4139-2023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44953</v>
      </c>
      <c r="E670" s="1" t="n">
        <v>46294</v>
      </c>
      <c r="F670" t="inlineStr">
        <is>
          <t>ÖSTERGÖTLANDS LÄN</t>
        </is>
      </c>
      <c r="G670" t="inlineStr">
        <is>
          <t>FINSPÅNG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54505-2024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45617</v>
      </c>
      <c r="E671" s="1" t="n">
        <v>46294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53610-2022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44879</v>
      </c>
      <c r="E672" s="1" t="n">
        <v>46294</v>
      </c>
      <c r="F672" t="inlineStr">
        <is>
          <t>ÖSTERGÖTLANDS LÄN</t>
        </is>
      </c>
      <c r="G672" t="inlineStr">
        <is>
          <t>FINSPÅNG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8924-2025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46294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13378-2025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45735</v>
      </c>
      <c r="E674" s="1" t="n">
        <v>46294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49677-2022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44862</v>
      </c>
      <c r="E675" s="1" t="n">
        <v>46294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9.6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56309-2022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44887</v>
      </c>
      <c r="E676" s="1" t="n">
        <v>46294</v>
      </c>
      <c r="F676" t="inlineStr">
        <is>
          <t>ÖSTERGÖTLANDS LÄN</t>
        </is>
      </c>
      <c r="G676" t="inlineStr">
        <is>
          <t>FINSPÅNG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56264-2022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44887</v>
      </c>
      <c r="E677" s="1" t="n">
        <v>46294</v>
      </c>
      <c r="F677" t="inlineStr">
        <is>
          <t>ÖSTERGÖTLANDS LÄN</t>
        </is>
      </c>
      <c r="G677" t="inlineStr">
        <is>
          <t>FINSPÅNG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18657-2024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45426</v>
      </c>
      <c r="E678" s="1" t="n">
        <v>46294</v>
      </c>
      <c r="F678" t="inlineStr">
        <is>
          <t>ÖSTERGÖTLANDS LÄN</t>
        </is>
      </c>
      <c r="G678" t="inlineStr">
        <is>
          <t>FINSPÅNG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9339-2022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44616</v>
      </c>
      <c r="E679" s="1" t="n">
        <v>46294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29018-2026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46294</v>
      </c>
      <c r="F680" t="inlineStr">
        <is>
          <t>ÖSTERGÖTLANDS LÄN</t>
        </is>
      </c>
      <c r="G680" t="inlineStr">
        <is>
          <t>FINSPÅNG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34309-2025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45846</v>
      </c>
      <c r="E681" s="1" t="n">
        <v>46294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44949</v>
      </c>
      <c r="E682" s="1" t="n">
        <v>46294</v>
      </c>
      <c r="F682" t="inlineStr">
        <is>
          <t>ÖSTERGÖTLANDS LÄN</t>
        </is>
      </c>
      <c r="G682" t="inlineStr">
        <is>
          <t>FINSPÅNG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11974-2023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44995</v>
      </c>
      <c r="E683" s="1" t="n">
        <v>46294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38613-2022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44813</v>
      </c>
      <c r="E684" s="1" t="n">
        <v>46294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46294</v>
      </c>
      <c r="F685" t="inlineStr">
        <is>
          <t>ÖSTERGÖTLANDS LÄN</t>
        </is>
      </c>
      <c r="G685" t="inlineStr">
        <is>
          <t>FINSPÅNG</t>
        </is>
      </c>
      <c r="I685" t="n">
        <v>18.6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46294</v>
      </c>
      <c r="F686" t="inlineStr">
        <is>
          <t>ÖSTERGÖTLANDS LÄN</t>
        </is>
      </c>
      <c r="G686" t="inlineStr">
        <is>
          <t>FINSPÅNG</t>
        </is>
      </c>
      <c r="I686" t="n">
        <v>13.3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34941-2023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45142</v>
      </c>
      <c r="E687" s="1" t="n">
        <v>46294</v>
      </c>
      <c r="F687" t="inlineStr">
        <is>
          <t>ÖSTERGÖTLANDS LÄN</t>
        </is>
      </c>
      <c r="G687" t="inlineStr">
        <is>
          <t>FINSPÅNG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31147-2026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46209</v>
      </c>
      <c r="E688" s="1" t="n">
        <v>46294</v>
      </c>
      <c r="F688" t="inlineStr">
        <is>
          <t>ÖSTERGÖTLANDS LÄN</t>
        </is>
      </c>
      <c r="G688" t="inlineStr">
        <is>
          <t>FINSPÅNG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9635-2025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45715</v>
      </c>
      <c r="E689" s="1" t="n">
        <v>46294</v>
      </c>
      <c r="F689" t="inlineStr">
        <is>
          <t>ÖSTERGÖTLANDS LÄN</t>
        </is>
      </c>
      <c r="G689" t="inlineStr">
        <is>
          <t>FINSPÅNG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14454-2022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44653</v>
      </c>
      <c r="E690" s="1" t="n">
        <v>46294</v>
      </c>
      <c r="F690" t="inlineStr">
        <is>
          <t>ÖSTERGÖTLANDS LÄN</t>
        </is>
      </c>
      <c r="G690" t="inlineStr">
        <is>
          <t>FINSPÅNG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31151-2026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46294</v>
      </c>
      <c r="F691" t="inlineStr">
        <is>
          <t>ÖSTERGÖTLANDS LÄN</t>
        </is>
      </c>
      <c r="G691" t="inlineStr">
        <is>
          <t>FINSPÅNG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31152-2026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46294</v>
      </c>
      <c r="F692" t="inlineStr">
        <is>
          <t>ÖSTERGÖTLANDS LÄN</t>
        </is>
      </c>
      <c r="G692" t="inlineStr">
        <is>
          <t>FINSPÅNG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61114-2024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45645</v>
      </c>
      <c r="E693" s="1" t="n">
        <v>46294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48767-2024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45593</v>
      </c>
      <c r="E694" s="1" t="n">
        <v>46294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10420-2023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44987</v>
      </c>
      <c r="E695" s="1" t="n">
        <v>46294</v>
      </c>
      <c r="F695" t="inlineStr">
        <is>
          <t>ÖSTERGÖTLANDS LÄN</t>
        </is>
      </c>
      <c r="G695" t="inlineStr">
        <is>
          <t>FINSPÅNG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40410-2024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45555</v>
      </c>
      <c r="E696" s="1" t="n">
        <v>46294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45639</v>
      </c>
      <c r="E697" s="1" t="n">
        <v>46294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2741-2024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45314</v>
      </c>
      <c r="E698" s="1" t="n">
        <v>46294</v>
      </c>
      <c r="F698" t="inlineStr">
        <is>
          <t>ÖSTERGÖTLANDS LÄN</t>
        </is>
      </c>
      <c r="G698" t="inlineStr">
        <is>
          <t>FINSPÅNG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22579-2024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45447</v>
      </c>
      <c r="E699" s="1" t="n">
        <v>46294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25195-2022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44729</v>
      </c>
      <c r="E700" s="1" t="n">
        <v>46294</v>
      </c>
      <c r="F700" t="inlineStr">
        <is>
          <t>ÖSTERGÖTLANDS LÄN</t>
        </is>
      </c>
      <c r="G700" t="inlineStr">
        <is>
          <t>FINSPÅNG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44844</v>
      </c>
      <c r="E701" s="1" t="n">
        <v>46294</v>
      </c>
      <c r="F701" t="inlineStr">
        <is>
          <t>ÖSTERGÖTLANDS LÄN</t>
        </is>
      </c>
      <c r="G701" t="inlineStr">
        <is>
          <t>FINSPÅNG</t>
        </is>
      </c>
      <c r="I701" t="n">
        <v>16.6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7788-2023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44973</v>
      </c>
      <c r="E702" s="1" t="n">
        <v>46294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23350-2023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45076</v>
      </c>
      <c r="E703" s="1" t="n">
        <v>46294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27892-2023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45095</v>
      </c>
      <c r="E704" s="1" t="n">
        <v>46294</v>
      </c>
      <c r="F704" t="inlineStr">
        <is>
          <t>ÖSTERGÖTLANDS LÄN</t>
        </is>
      </c>
      <c r="G704" t="inlineStr">
        <is>
          <t>FINSPÅNG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59672-2024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45639</v>
      </c>
      <c r="E705" s="1" t="n">
        <v>46294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68122-2021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44526</v>
      </c>
      <c r="E706" s="1" t="n">
        <v>46294</v>
      </c>
      <c r="F706" t="inlineStr">
        <is>
          <t>ÖSTERGÖTLANDS LÄN</t>
        </is>
      </c>
      <c r="G706" t="inlineStr">
        <is>
          <t>FINSPÅNG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62158-2022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44922</v>
      </c>
      <c r="E707" s="1" t="n">
        <v>46294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34758-2022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44795</v>
      </c>
      <c r="E708" s="1" t="n">
        <v>46294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34555-2026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46255</v>
      </c>
      <c r="E709" s="1" t="n">
        <v>46294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Sveaskog</t>
        </is>
      </c>
      <c r="I709" t="n">
        <v>8.4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61076-2023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45260</v>
      </c>
      <c r="E710" s="1" t="n">
        <v>46294</v>
      </c>
      <c r="F710" t="inlineStr">
        <is>
          <t>ÖSTERGÖTLANDS LÄN</t>
        </is>
      </c>
      <c r="G710" t="inlineStr">
        <is>
          <t>FINSPÅNG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59468-2021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44491</v>
      </c>
      <c r="E711" s="1" t="n">
        <v>46294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18306-2023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45041</v>
      </c>
      <c r="E712" s="1" t="n">
        <v>46294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Naturvårdsverket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59838-2023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45257</v>
      </c>
      <c r="E713" s="1" t="n">
        <v>46294</v>
      </c>
      <c r="F713" t="inlineStr">
        <is>
          <t>ÖSTERGÖTLANDS LÄN</t>
        </is>
      </c>
      <c r="G713" t="inlineStr">
        <is>
          <t>FINSPÅNG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46212</v>
      </c>
      <c r="E714" s="1" t="n">
        <v>46294</v>
      </c>
      <c r="F714" t="inlineStr">
        <is>
          <t>ÖSTERGÖTLANDS LÄN</t>
        </is>
      </c>
      <c r="G714" t="inlineStr">
        <is>
          <t>FINSPÅNG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51610-2022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44871</v>
      </c>
      <c r="E715" s="1" t="n">
        <v>46294</v>
      </c>
      <c r="F715" t="inlineStr">
        <is>
          <t>ÖSTERGÖTLANDS LÄN</t>
        </is>
      </c>
      <c r="G715" t="inlineStr">
        <is>
          <t>FINSPÅNG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46211</v>
      </c>
      <c r="E716" s="1" t="n">
        <v>46294</v>
      </c>
      <c r="F716" t="inlineStr">
        <is>
          <t>ÖSTERGÖTLANDS LÄN</t>
        </is>
      </c>
      <c r="G716" t="inlineStr">
        <is>
          <t>FINSPÅNG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13826-2024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45391</v>
      </c>
      <c r="E717" s="1" t="n">
        <v>46294</v>
      </c>
      <c r="F717" t="inlineStr">
        <is>
          <t>ÖSTERGÖTLANDS LÄN</t>
        </is>
      </c>
      <c r="G717" t="inlineStr">
        <is>
          <t>FINSPÅNG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45692</v>
      </c>
      <c r="E718" s="1" t="n">
        <v>46294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22354-2023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45070</v>
      </c>
      <c r="E719" s="1" t="n">
        <v>46294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47224-2023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45202</v>
      </c>
      <c r="E720" s="1" t="n">
        <v>46294</v>
      </c>
      <c r="F720" t="inlineStr">
        <is>
          <t>ÖSTERGÖTLANDS LÄN</t>
        </is>
      </c>
      <c r="G720" t="inlineStr">
        <is>
          <t>FINSPÅNG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6527-2023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44966</v>
      </c>
      <c r="E721" s="1" t="n">
        <v>46294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46258</v>
      </c>
      <c r="E722" s="1" t="n">
        <v>46294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Övriga Aktiebolag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34884-2026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46258</v>
      </c>
      <c r="E723" s="1" t="n">
        <v>46294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4071-2024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45323</v>
      </c>
      <c r="E724" s="1" t="n">
        <v>46294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6575-2024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45341</v>
      </c>
      <c r="E725" s="1" t="n">
        <v>46294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Övriga Aktiebolag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73260-2021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44550</v>
      </c>
      <c r="E726" s="1" t="n">
        <v>46294</v>
      </c>
      <c r="F726" t="inlineStr">
        <is>
          <t>ÖSTERGÖTLANDS LÄN</t>
        </is>
      </c>
      <c r="G726" t="inlineStr">
        <is>
          <t>FINSPÅNG</t>
        </is>
      </c>
      <c r="I726" t="n">
        <v>10.3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42705-2024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45566</v>
      </c>
      <c r="E727" s="1" t="n">
        <v>46294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42711-2024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45566</v>
      </c>
      <c r="E728" s="1" t="n">
        <v>46294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31301-2026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46218</v>
      </c>
      <c r="E729" s="1" t="n">
        <v>46294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Sveaskog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55612-2021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44476</v>
      </c>
      <c r="E730" s="1" t="n">
        <v>46294</v>
      </c>
      <c r="F730" t="inlineStr">
        <is>
          <t>ÖSTERGÖTLANDS LÄN</t>
        </is>
      </c>
      <c r="G730" t="inlineStr">
        <is>
          <t>FINSPÅNG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21517-2024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45441</v>
      </c>
      <c r="E731" s="1" t="n">
        <v>46294</v>
      </c>
      <c r="F731" t="inlineStr">
        <is>
          <t>ÖSTERGÖTLANDS LÄN</t>
        </is>
      </c>
      <c r="G731" t="inlineStr">
        <is>
          <t>FINSPÅNG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31300-2026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46218</v>
      </c>
      <c r="E732" s="1" t="n">
        <v>46294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Sveaskog</t>
        </is>
      </c>
      <c r="I732" t="n">
        <v>9.5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11785-2024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45374</v>
      </c>
      <c r="E733" s="1" t="n">
        <v>46294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Kyrkan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13821-2024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45391</v>
      </c>
      <c r="E734" s="1" t="n">
        <v>46294</v>
      </c>
      <c r="F734" t="inlineStr">
        <is>
          <t>ÖSTERGÖTLANDS LÄN</t>
        </is>
      </c>
      <c r="G734" t="inlineStr">
        <is>
          <t>FINSPÅNG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44981</v>
      </c>
      <c r="E735" s="1" t="n">
        <v>46294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17557-2022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44679</v>
      </c>
      <c r="E736" s="1" t="n">
        <v>46294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Övriga Aktiebolag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45293</v>
      </c>
      <c r="E737" s="1" t="n">
        <v>46294</v>
      </c>
      <c r="F737" t="inlineStr">
        <is>
          <t>ÖSTERGÖTLANDS LÄN</t>
        </is>
      </c>
      <c r="G737" t="inlineStr">
        <is>
          <t>FINSPÅNG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40296-2024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45554</v>
      </c>
      <c r="E738" s="1" t="n">
        <v>46294</v>
      </c>
      <c r="F738" t="inlineStr">
        <is>
          <t>ÖSTERGÖTLANDS LÄN</t>
        </is>
      </c>
      <c r="G738" t="inlineStr">
        <is>
          <t>FINSPÅNG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49904-2023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45214</v>
      </c>
      <c r="E739" s="1" t="n">
        <v>46294</v>
      </c>
      <c r="F739" t="inlineStr">
        <is>
          <t>ÖSTERGÖTLANDS LÄN</t>
        </is>
      </c>
      <c r="G739" t="inlineStr">
        <is>
          <t>FINSPÅNG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32431-2023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45110</v>
      </c>
      <c r="E740" s="1" t="n">
        <v>46294</v>
      </c>
      <c r="F740" t="inlineStr">
        <is>
          <t>ÖSTERGÖTLANDS LÄN</t>
        </is>
      </c>
      <c r="G740" t="inlineStr">
        <is>
          <t>FINSPÅNG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45660</v>
      </c>
      <c r="E741" s="1" t="n">
        <v>46294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Övriga Aktiebolag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31307-2026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46219</v>
      </c>
      <c r="E742" s="1" t="n">
        <v>46294</v>
      </c>
      <c r="F742" t="inlineStr">
        <is>
          <t>ÖSTERGÖTLANDS LÄN</t>
        </is>
      </c>
      <c r="G742" t="inlineStr">
        <is>
          <t>FINSPÅNG</t>
        </is>
      </c>
      <c r="I742" t="n">
        <v>6.1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45735</v>
      </c>
      <c r="E743" s="1" t="n">
        <v>46294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32795-2024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45516</v>
      </c>
      <c r="E744" s="1" t="n">
        <v>46294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Kommuner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46294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23821-2023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45078</v>
      </c>
      <c r="E746" s="1" t="n">
        <v>46294</v>
      </c>
      <c r="F746" t="inlineStr">
        <is>
          <t>ÖSTERGÖTLANDS LÄN</t>
        </is>
      </c>
      <c r="G746" t="inlineStr">
        <is>
          <t>FINSPÅNG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31025-2023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45113</v>
      </c>
      <c r="E747" s="1" t="n">
        <v>46294</v>
      </c>
      <c r="F747" t="inlineStr">
        <is>
          <t>ÖSTERGÖTLANDS LÄN</t>
        </is>
      </c>
      <c r="G747" t="inlineStr">
        <is>
          <t>FINSPÅNG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45311-2023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45191</v>
      </c>
      <c r="E748" s="1" t="n">
        <v>46294</v>
      </c>
      <c r="F748" t="inlineStr">
        <is>
          <t>ÖSTERGÖTLANDS LÄN</t>
        </is>
      </c>
      <c r="G748" t="inlineStr">
        <is>
          <t>FINSPÅNG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18488-2025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45763</v>
      </c>
      <c r="E749" s="1" t="n">
        <v>46294</v>
      </c>
      <c r="F749" t="inlineStr">
        <is>
          <t>ÖSTERGÖTLANDS LÄN</t>
        </is>
      </c>
      <c r="G749" t="inlineStr">
        <is>
          <t>FINSPÅNG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73655-2021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44551</v>
      </c>
      <c r="E750" s="1" t="n">
        <v>46294</v>
      </c>
      <c r="F750" t="inlineStr">
        <is>
          <t>ÖSTERGÖTLANDS LÄN</t>
        </is>
      </c>
      <c r="G750" t="inlineStr">
        <is>
          <t>FINSPÅNG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43051-2022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44833</v>
      </c>
      <c r="E751" s="1" t="n">
        <v>46294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28558-2023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45103</v>
      </c>
      <c r="E752" s="1" t="n">
        <v>46294</v>
      </c>
      <c r="F752" t="inlineStr">
        <is>
          <t>ÖSTERGÖTLANDS LÄN</t>
        </is>
      </c>
      <c r="G752" t="inlineStr">
        <is>
          <t>FINSPÅNG</t>
        </is>
      </c>
      <c r="I752" t="n">
        <v>11.1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46294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54916-2024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45618</v>
      </c>
      <c r="E754" s="1" t="n">
        <v>46294</v>
      </c>
      <c r="F754" t="inlineStr">
        <is>
          <t>ÖSTERGÖTLANDS LÄN</t>
        </is>
      </c>
      <c r="G754" t="inlineStr">
        <is>
          <t>FINSPÅNG</t>
        </is>
      </c>
      <c r="I754" t="n">
        <v>11.8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36479-2026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46294</v>
      </c>
      <c r="F755" t="inlineStr">
        <is>
          <t>ÖSTERGÖTLANDS LÄN</t>
        </is>
      </c>
      <c r="G755" t="inlineStr">
        <is>
          <t>FINSPÅNG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59702-2024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45639</v>
      </c>
      <c r="E756" s="1" t="n">
        <v>46294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45299</v>
      </c>
      <c r="E757" s="1" t="n">
        <v>46294</v>
      </c>
      <c r="F757" t="inlineStr">
        <is>
          <t>ÖSTERGÖTLANDS LÄN</t>
        </is>
      </c>
      <c r="G757" t="inlineStr">
        <is>
          <t>FINSPÅNG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45301</v>
      </c>
      <c r="E758" s="1" t="n">
        <v>46294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36267-2026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46268</v>
      </c>
      <c r="E759" s="1" t="n">
        <v>46294</v>
      </c>
      <c r="F759" t="inlineStr">
        <is>
          <t>ÖSTERGÖTLANDS LÄN</t>
        </is>
      </c>
      <c r="G759" t="inlineStr">
        <is>
          <t>FINSPÅNG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46225</v>
      </c>
      <c r="E760" s="1" t="n">
        <v>46294</v>
      </c>
      <c r="F760" t="inlineStr">
        <is>
          <t>ÖSTERGÖTLANDS LÄN</t>
        </is>
      </c>
      <c r="G760" t="inlineStr">
        <is>
          <t>FINSPÅNG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36498-2026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46294</v>
      </c>
      <c r="F761" t="inlineStr">
        <is>
          <t>ÖSTERGÖTLANDS LÄN</t>
        </is>
      </c>
      <c r="G761" t="inlineStr">
        <is>
          <t>FINSPÅNG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36503-2026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46269</v>
      </c>
      <c r="E762" s="1" t="n">
        <v>46294</v>
      </c>
      <c r="F762" t="inlineStr">
        <is>
          <t>ÖSTERGÖTLANDS LÄN</t>
        </is>
      </c>
      <c r="G762" t="inlineStr">
        <is>
          <t>FINSPÅNG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22714-2022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44714</v>
      </c>
      <c r="E763" s="1" t="n">
        <v>46294</v>
      </c>
      <c r="F763" t="inlineStr">
        <is>
          <t>ÖSTERGÖTLANDS LÄN</t>
        </is>
      </c>
      <c r="G763" t="inlineStr">
        <is>
          <t>FINSPÅNG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31675-2026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46226</v>
      </c>
      <c r="E764" s="1" t="n">
        <v>46294</v>
      </c>
      <c r="F764" t="inlineStr">
        <is>
          <t>ÖSTERGÖTLANDS LÄN</t>
        </is>
      </c>
      <c r="G764" t="inlineStr">
        <is>
          <t>FINSPÅNG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31682-2026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46226</v>
      </c>
      <c r="E765" s="1" t="n">
        <v>46294</v>
      </c>
      <c r="F765" t="inlineStr">
        <is>
          <t>ÖSTERGÖTLANDS LÄN</t>
        </is>
      </c>
      <c r="G765" t="inlineStr">
        <is>
          <t>FINSPÅNG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36486-2026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46269</v>
      </c>
      <c r="E766" s="1" t="n">
        <v>46294</v>
      </c>
      <c r="F766" t="inlineStr">
        <is>
          <t>ÖSTERGÖTLANDS LÄN</t>
        </is>
      </c>
      <c r="G766" t="inlineStr">
        <is>
          <t>FINSPÅNG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31668-2026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46225</v>
      </c>
      <c r="E767" s="1" t="n">
        <v>46294</v>
      </c>
      <c r="F767" t="inlineStr">
        <is>
          <t>ÖSTERGÖTLANDS LÄN</t>
        </is>
      </c>
      <c r="G767" t="inlineStr">
        <is>
          <t>FINSPÅNG</t>
        </is>
      </c>
      <c r="I767" t="n">
        <v>10.5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44622</v>
      </c>
      <c r="E768" s="1" t="n">
        <v>46294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54299-2023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45232</v>
      </c>
      <c r="E769" s="1" t="n">
        <v>46294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56288-2022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44887</v>
      </c>
      <c r="E770" s="1" t="n">
        <v>46294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18356-2024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45422</v>
      </c>
      <c r="E771" s="1" t="n">
        <v>46294</v>
      </c>
      <c r="F771" t="inlineStr">
        <is>
          <t>ÖSTERGÖTLANDS LÄN</t>
        </is>
      </c>
      <c r="G771" t="inlineStr">
        <is>
          <t>FINSPÅNG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10206-2022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44622</v>
      </c>
      <c r="E772" s="1" t="n">
        <v>46294</v>
      </c>
      <c r="F772" t="inlineStr">
        <is>
          <t>ÖSTERGÖTLANDS LÄN</t>
        </is>
      </c>
      <c r="G772" t="inlineStr">
        <is>
          <t>FINSPÅNG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45314-2023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45191</v>
      </c>
      <c r="E773" s="1" t="n">
        <v>46294</v>
      </c>
      <c r="F773" t="inlineStr">
        <is>
          <t>ÖSTERGÖTLANDS LÄN</t>
        </is>
      </c>
      <c r="G773" t="inlineStr">
        <is>
          <t>FINSPÅNG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5616-2022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44595</v>
      </c>
      <c r="E774" s="1" t="n">
        <v>46294</v>
      </c>
      <c r="F774" t="inlineStr">
        <is>
          <t>ÖSTERGÖTLANDS LÄN</t>
        </is>
      </c>
      <c r="G774" t="inlineStr">
        <is>
          <t>FINSPÅNG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44589</v>
      </c>
      <c r="E775" s="1" t="n">
        <v>46294</v>
      </c>
      <c r="F775" t="inlineStr">
        <is>
          <t>ÖSTERGÖTLANDS LÄN</t>
        </is>
      </c>
      <c r="G775" t="inlineStr">
        <is>
          <t>FINSPÅNG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2047-2024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45308</v>
      </c>
      <c r="E776" s="1" t="n">
        <v>46294</v>
      </c>
      <c r="F776" t="inlineStr">
        <is>
          <t>ÖSTERGÖTLANDS LÄN</t>
        </is>
      </c>
      <c r="G776" t="inlineStr">
        <is>
          <t>FINSPÅNG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62168-2022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44922</v>
      </c>
      <c r="E777" s="1" t="n">
        <v>46294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53670-2024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46294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36110-2023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45149</v>
      </c>
      <c r="E779" s="1" t="n">
        <v>46294</v>
      </c>
      <c r="F779" t="inlineStr">
        <is>
          <t>ÖSTERGÖTLANDS LÄN</t>
        </is>
      </c>
      <c r="G779" t="inlineStr">
        <is>
          <t>FINSPÅNG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46232</v>
      </c>
      <c r="E780" s="1" t="n">
        <v>46294</v>
      </c>
      <c r="F780" t="inlineStr">
        <is>
          <t>ÖSTERGÖTLANDS LÄN</t>
        </is>
      </c>
      <c r="G780" t="inlineStr">
        <is>
          <t>FINSPÅNG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18349-2025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45762</v>
      </c>
      <c r="E781" s="1" t="n">
        <v>46294</v>
      </c>
      <c r="F781" t="inlineStr">
        <is>
          <t>ÖSTERGÖTLANDS LÄN</t>
        </is>
      </c>
      <c r="G781" t="inlineStr">
        <is>
          <t>FINSPÅNG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39358-2022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44817</v>
      </c>
      <c r="E782" s="1" t="n">
        <v>46294</v>
      </c>
      <c r="F782" t="inlineStr">
        <is>
          <t>ÖSTERGÖTLANDS LÄN</t>
        </is>
      </c>
      <c r="G782" t="inlineStr">
        <is>
          <t>FINSPÅNG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37814-2026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46279</v>
      </c>
      <c r="E783" s="1" t="n">
        <v>46294</v>
      </c>
      <c r="F783" t="inlineStr">
        <is>
          <t>ÖSTERGÖTLANDS LÄN</t>
        </is>
      </c>
      <c r="G783" t="inlineStr">
        <is>
          <t>FINSPÅNG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36191-2023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46294</v>
      </c>
      <c r="F784" t="inlineStr">
        <is>
          <t>ÖSTERGÖTLANDS LÄN</t>
        </is>
      </c>
      <c r="G784" t="inlineStr">
        <is>
          <t>FINSPÅNG</t>
        </is>
      </c>
      <c r="I784" t="n">
        <v>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55457-2024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45622</v>
      </c>
      <c r="E785" s="1" t="n">
        <v>46294</v>
      </c>
      <c r="F785" t="inlineStr">
        <is>
          <t>ÖSTERGÖTLANDS LÄN</t>
        </is>
      </c>
      <c r="G785" t="inlineStr">
        <is>
          <t>FINSPÅNG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46294</v>
      </c>
      <c r="F786" t="inlineStr">
        <is>
          <t>ÖSTERGÖTLANDS LÄN</t>
        </is>
      </c>
      <c r="G786" t="inlineStr">
        <is>
          <t>FINSPÅNG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46294</v>
      </c>
      <c r="F787" t="inlineStr">
        <is>
          <t>ÖSTERGÖTLANDS LÄN</t>
        </is>
      </c>
      <c r="G787" t="inlineStr">
        <is>
          <t>FINSPÅNG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46279</v>
      </c>
      <c r="E788" s="1" t="n">
        <v>46294</v>
      </c>
      <c r="F788" t="inlineStr">
        <is>
          <t>ÖSTERGÖTLANDS LÄN</t>
        </is>
      </c>
      <c r="G788" t="inlineStr">
        <is>
          <t>FINSPÅNG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40065-2024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45554</v>
      </c>
      <c r="E789" s="1" t="n">
        <v>46294</v>
      </c>
      <c r="F789" t="inlineStr">
        <is>
          <t>ÖSTERGÖTLANDS LÄN</t>
        </is>
      </c>
      <c r="G789" t="inlineStr">
        <is>
          <t>FINSPÅNG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27698-2023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45095</v>
      </c>
      <c r="E790" s="1" t="n">
        <v>46294</v>
      </c>
      <c r="F790" t="inlineStr">
        <is>
          <t>ÖSTERGÖTLANDS LÄN</t>
        </is>
      </c>
      <c r="G790" t="inlineStr">
        <is>
          <t>FINSPÅNG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48691-2024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45593</v>
      </c>
      <c r="E791" s="1" t="n">
        <v>46294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63585-2023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45275</v>
      </c>
      <c r="E792" s="1" t="n">
        <v>46294</v>
      </c>
      <c r="F792" t="inlineStr">
        <is>
          <t>ÖSTERGÖTLANDS LÄN</t>
        </is>
      </c>
      <c r="G792" t="inlineStr">
        <is>
          <t>FINSPÅNG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44564</v>
      </c>
      <c r="E793" s="1" t="n">
        <v>46294</v>
      </c>
      <c r="F793" t="inlineStr">
        <is>
          <t>ÖSTERGÖTLANDS LÄN</t>
        </is>
      </c>
      <c r="G793" t="inlineStr">
        <is>
          <t>FINSPÅNG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15129-2025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45744</v>
      </c>
      <c r="E794" s="1" t="n">
        <v>46294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Naturvårdsverket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16229-2024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45407</v>
      </c>
      <c r="E795" s="1" t="n">
        <v>46294</v>
      </c>
      <c r="F795" t="inlineStr">
        <is>
          <t>ÖSTERGÖTLANDS LÄN</t>
        </is>
      </c>
      <c r="G795" t="inlineStr">
        <is>
          <t>FINSPÅNG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22586-2023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46294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59777-2023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45257</v>
      </c>
      <c r="E797" s="1" t="n">
        <v>46294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59827-2023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46294</v>
      </c>
      <c r="F798" t="inlineStr">
        <is>
          <t>ÖSTERGÖTLANDS LÄN</t>
        </is>
      </c>
      <c r="G798" t="inlineStr">
        <is>
          <t>FINSPÅNG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42682-2024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45566</v>
      </c>
      <c r="E799" s="1" t="n">
        <v>46294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42678-2024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45566</v>
      </c>
      <c r="E800" s="1" t="n">
        <v>46294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42699-2024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46294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13392-2025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45735</v>
      </c>
      <c r="E802" s="1" t="n">
        <v>46294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13457-2025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45736</v>
      </c>
      <c r="E803" s="1" t="n">
        <v>46294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38441-2026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46282</v>
      </c>
      <c r="E804" s="1" t="n">
        <v>46294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Sveaskog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60249-2024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45642</v>
      </c>
      <c r="E805" s="1" t="n">
        <v>46294</v>
      </c>
      <c r="F805" t="inlineStr">
        <is>
          <t>ÖSTERGÖTLANDS LÄN</t>
        </is>
      </c>
      <c r="G805" t="inlineStr">
        <is>
          <t>FINSPÅNG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35340-2024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45530</v>
      </c>
      <c r="E806" s="1" t="n">
        <v>46294</v>
      </c>
      <c r="F806" t="inlineStr">
        <is>
          <t>ÖSTERGÖTLANDS LÄN</t>
        </is>
      </c>
      <c r="G806" t="inlineStr">
        <is>
          <t>FINSPÅNG</t>
        </is>
      </c>
      <c r="I806" t="n">
        <v>7.9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38414-2026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46282</v>
      </c>
      <c r="E807" s="1" t="n">
        <v>46294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Sveaskog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38444-2026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46282</v>
      </c>
      <c r="E808" s="1" t="n">
        <v>46294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Sveaskog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38445-2026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46282</v>
      </c>
      <c r="E809" s="1" t="n">
        <v>46294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Sveaskog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46294</v>
      </c>
      <c r="F810" t="inlineStr">
        <is>
          <t>ÖSTERGÖTLANDS LÄN</t>
        </is>
      </c>
      <c r="G810" t="inlineStr">
        <is>
          <t>FINSPÅNG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11149-2024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45371</v>
      </c>
      <c r="E811" s="1" t="n">
        <v>46294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Kyrkan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38421-2026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46282</v>
      </c>
      <c r="E812" s="1" t="n">
        <v>46294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Sveaskog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38625-2026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46281</v>
      </c>
      <c r="E813" s="1" t="n">
        <v>46294</v>
      </c>
      <c r="F813" t="inlineStr">
        <is>
          <t>ÖSTERGÖTLANDS LÄN</t>
        </is>
      </c>
      <c r="G813" t="inlineStr">
        <is>
          <t>FINSPÅNG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38422-2026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46282</v>
      </c>
      <c r="E814" s="1" t="n">
        <v>46294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Sveaskog</t>
        </is>
      </c>
      <c r="I814" t="n">
        <v>7.2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38442-2026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46282</v>
      </c>
      <c r="E815" s="1" t="n">
        <v>46294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Sveaskog</t>
        </is>
      </c>
      <c r="I815" t="n">
        <v>5.5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38417-2026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46282</v>
      </c>
      <c r="E816" s="1" t="n">
        <v>46294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38419-2026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46282</v>
      </c>
      <c r="E817" s="1" t="n">
        <v>46294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38765-2026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46286</v>
      </c>
      <c r="E818" s="1" t="n">
        <v>46294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Övriga Aktiebolag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35970-2025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45863</v>
      </c>
      <c r="E819" s="1" t="n">
        <v>46294</v>
      </c>
      <c r="F819" t="inlineStr">
        <is>
          <t>ÖSTERGÖTLANDS LÄN</t>
        </is>
      </c>
      <c r="G819" t="inlineStr">
        <is>
          <t>FINSPÅNG</t>
        </is>
      </c>
      <c r="I819" t="n">
        <v>22.6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36592-2025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45870</v>
      </c>
      <c r="E820" s="1" t="n">
        <v>46294</v>
      </c>
      <c r="F820" t="inlineStr">
        <is>
          <t>ÖSTERGÖTLANDS LÄN</t>
        </is>
      </c>
      <c r="G820" t="inlineStr">
        <is>
          <t>FINSPÅNG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5129-2024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45644</v>
      </c>
      <c r="E821" s="1" t="n">
        <v>46294</v>
      </c>
      <c r="F821" t="inlineStr">
        <is>
          <t>ÖSTERGÖTLANDS LÄN</t>
        </is>
      </c>
      <c r="G821" t="inlineStr">
        <is>
          <t>FINSPÅNG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1605-2024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45428</v>
      </c>
      <c r="E822" s="1" t="n">
        <v>46294</v>
      </c>
      <c r="F822" t="inlineStr">
        <is>
          <t>ÖSTERGÖTLANDS LÄN</t>
        </is>
      </c>
      <c r="G822" t="inlineStr">
        <is>
          <t>FINSPÅNG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1637-2024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45429</v>
      </c>
      <c r="E823" s="1" t="n">
        <v>46294</v>
      </c>
      <c r="F823" t="inlineStr">
        <is>
          <t>ÖSTERGÖTLANDS LÄN</t>
        </is>
      </c>
      <c r="G823" t="inlineStr">
        <is>
          <t>FINSPÅNG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4163-2023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45250</v>
      </c>
      <c r="E824" s="1" t="n">
        <v>46294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Sveaskog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1759-2026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46188</v>
      </c>
      <c r="E825" s="1" t="n">
        <v>46294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Övriga Aktiebolag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2208-2026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46258</v>
      </c>
      <c r="E826" s="1" t="n">
        <v>46294</v>
      </c>
      <c r="F826" t="inlineStr">
        <is>
          <t>ÖSTERGÖTLANDS LÄN</t>
        </is>
      </c>
      <c r="G826" t="inlineStr">
        <is>
          <t>FINSPÅNG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2026-09-29T02:00:40Z</dcterms:created>
  <dcterms:modified xmlns:dcterms="http://purl.org/dc/terms/" xmlns:xsi="http://www.w3.org/2001/XMLSchema-instance" xsi:type="dcterms:W3CDTF">2026-09-29T02:00:41Z</dcterms:modified>
</cp:coreProperties>
</file>