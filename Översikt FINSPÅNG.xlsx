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45707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45707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45707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45707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45707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45707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45707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45707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45707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45707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45707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45707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45707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45707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45707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45707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45707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45707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45707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45707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45707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45707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45707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45707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45707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42654-2019</t>
        </is>
      </c>
      <c r="B28" s="1" t="n">
        <v>43704</v>
      </c>
      <c r="C28" s="1" t="n">
        <v>45707</v>
      </c>
      <c r="D28" t="inlineStr">
        <is>
          <t>ÖSTERGÖTLANDS LÄN</t>
        </is>
      </c>
      <c r="E28" t="inlineStr">
        <is>
          <t>FINSPÅNG</t>
        </is>
      </c>
      <c r="G28" t="n">
        <v>3.2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Slåtterfibbla
Svinrot</t>
        </is>
      </c>
      <c r="S28">
        <f>HYPERLINK("https://klasma.github.io/Logging_0562/artfynd/A 42654-2019 artfynd.xlsx", "A 42654-2019")</f>
        <v/>
      </c>
      <c r="T28">
        <f>HYPERLINK("https://klasma.github.io/Logging_0562/kartor/A 42654-2019 karta.png", "A 42654-2019")</f>
        <v/>
      </c>
      <c r="V28">
        <f>HYPERLINK("https://klasma.github.io/Logging_0562/klagomål/A 42654-2019 FSC-klagomål.docx", "A 42654-2019")</f>
        <v/>
      </c>
      <c r="W28">
        <f>HYPERLINK("https://klasma.github.io/Logging_0562/klagomålsmail/A 42654-2019 FSC-klagomål mail.docx", "A 42654-2019")</f>
        <v/>
      </c>
      <c r="X28">
        <f>HYPERLINK("https://klasma.github.io/Logging_0562/tillsyn/A 42654-2019 tillsynsbegäran.docx", "A 42654-2019")</f>
        <v/>
      </c>
      <c r="Y28">
        <f>HYPERLINK("https://klasma.github.io/Logging_0562/tillsynsmail/A 42654-2019 tillsynsbegäran mail.docx", "A 42654-2019")</f>
        <v/>
      </c>
    </row>
    <row r="29" ht="15" customHeight="1">
      <c r="A29" t="inlineStr">
        <is>
          <t>A 46200-2019</t>
        </is>
      </c>
      <c r="B29" s="1" t="n">
        <v>43713</v>
      </c>
      <c r="C29" s="1" t="n">
        <v>45707</v>
      </c>
      <c r="D29" t="inlineStr">
        <is>
          <t>ÖSTERGÖTLANDS LÄN</t>
        </is>
      </c>
      <c r="E29" t="inlineStr">
        <is>
          <t>FINSPÅNG</t>
        </is>
      </c>
      <c r="G29" t="n">
        <v>15.4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Mattlummer</t>
        </is>
      </c>
      <c r="S29">
        <f>HYPERLINK("https://klasma.github.io/Logging_0562/artfynd/A 46200-2019 artfynd.xlsx", "A 46200-2019")</f>
        <v/>
      </c>
      <c r="T29">
        <f>HYPERLINK("https://klasma.github.io/Logging_0562/kartor/A 46200-2019 karta.png", "A 46200-2019")</f>
        <v/>
      </c>
      <c r="V29">
        <f>HYPERLINK("https://klasma.github.io/Logging_0562/klagomål/A 46200-2019 FSC-klagomål.docx", "A 46200-2019")</f>
        <v/>
      </c>
      <c r="W29">
        <f>HYPERLINK("https://klasma.github.io/Logging_0562/klagomålsmail/A 46200-2019 FSC-klagomål mail.docx", "A 46200-2019")</f>
        <v/>
      </c>
      <c r="X29">
        <f>HYPERLINK("https://klasma.github.io/Logging_0562/tillsyn/A 46200-2019 tillsynsbegäran.docx", "A 46200-2019")</f>
        <v/>
      </c>
      <c r="Y29">
        <f>HYPERLINK("https://klasma.github.io/Logging_0562/tillsynsmail/A 46200-2019 tillsynsbegäran mail.docx", "A 46200-2019")</f>
        <v/>
      </c>
    </row>
    <row r="30" ht="15" customHeight="1">
      <c r="A30" t="inlineStr">
        <is>
          <t>A 6775-2020</t>
        </is>
      </c>
      <c r="B30" s="1" t="n">
        <v>43867</v>
      </c>
      <c r="C30" s="1" t="n">
        <v>45707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10.8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Granspira
Blomkålssvamp</t>
        </is>
      </c>
      <c r="S30">
        <f>HYPERLINK("https://klasma.github.io/Logging_0562/artfynd/A 6775-2020 artfynd.xlsx", "A 6775-2020")</f>
        <v/>
      </c>
      <c r="T30">
        <f>HYPERLINK("https://klasma.github.io/Logging_0562/kartor/A 6775-2020 karta.png", "A 6775-2020")</f>
        <v/>
      </c>
      <c r="V30">
        <f>HYPERLINK("https://klasma.github.io/Logging_0562/klagomål/A 6775-2020 FSC-klagomål.docx", "A 6775-2020")</f>
        <v/>
      </c>
      <c r="W30">
        <f>HYPERLINK("https://klasma.github.io/Logging_0562/klagomålsmail/A 6775-2020 FSC-klagomål mail.docx", "A 6775-2020")</f>
        <v/>
      </c>
      <c r="X30">
        <f>HYPERLINK("https://klasma.github.io/Logging_0562/tillsyn/A 6775-2020 tillsynsbegäran.docx", "A 6775-2020")</f>
        <v/>
      </c>
      <c r="Y30">
        <f>HYPERLINK("https://klasma.github.io/Logging_0562/tillsynsmail/A 6775-2020 tillsynsbegäran mail.docx", "A 6775-2020")</f>
        <v/>
      </c>
    </row>
    <row r="31" ht="15" customHeight="1">
      <c r="A31" t="inlineStr">
        <is>
          <t>A 23893-2020</t>
        </is>
      </c>
      <c r="B31" s="1" t="n">
        <v>43971</v>
      </c>
      <c r="C31" s="1" t="n">
        <v>45707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Vedticka</t>
        </is>
      </c>
      <c r="S31">
        <f>HYPERLINK("https://klasma.github.io/Logging_0562/artfynd/A 23893-2020 artfynd.xlsx", "A 23893-2020")</f>
        <v/>
      </c>
      <c r="T31">
        <f>HYPERLINK("https://klasma.github.io/Logging_0562/kartor/A 23893-2020 karta.png", "A 23893-2020")</f>
        <v/>
      </c>
      <c r="V31">
        <f>HYPERLINK("https://klasma.github.io/Logging_0562/klagomål/A 23893-2020 FSC-klagomål.docx", "A 23893-2020")</f>
        <v/>
      </c>
      <c r="W31">
        <f>HYPERLINK("https://klasma.github.io/Logging_0562/klagomålsmail/A 23893-2020 FSC-klagomål mail.docx", "A 23893-2020")</f>
        <v/>
      </c>
      <c r="X31">
        <f>HYPERLINK("https://klasma.github.io/Logging_0562/tillsyn/A 23893-2020 tillsynsbegäran.docx", "A 23893-2020")</f>
        <v/>
      </c>
      <c r="Y31">
        <f>HYPERLINK("https://klasma.github.io/Logging_0562/tillsynsmail/A 23893-2020 tillsynsbegäran mail.docx", "A 23893-2020")</f>
        <v/>
      </c>
    </row>
    <row r="32" ht="15" customHeight="1">
      <c r="A32" t="inlineStr">
        <is>
          <t>A 18366-2021</t>
        </is>
      </c>
      <c r="B32" s="1" t="n">
        <v>44305</v>
      </c>
      <c r="C32" s="1" t="n">
        <v>45707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Nattviol</t>
        </is>
      </c>
      <c r="S32">
        <f>HYPERLINK("https://klasma.github.io/Logging_0562/artfynd/A 18366-2021 artfynd.xlsx", "A 18366-2021")</f>
        <v/>
      </c>
      <c r="T32">
        <f>HYPERLINK("https://klasma.github.io/Logging_0562/kartor/A 18366-2021 karta.png", "A 18366-2021")</f>
        <v/>
      </c>
      <c r="V32">
        <f>HYPERLINK("https://klasma.github.io/Logging_0562/klagomål/A 18366-2021 FSC-klagomål.docx", "A 18366-2021")</f>
        <v/>
      </c>
      <c r="W32">
        <f>HYPERLINK("https://klasma.github.io/Logging_0562/klagomålsmail/A 18366-2021 FSC-klagomål mail.docx", "A 18366-2021")</f>
        <v/>
      </c>
      <c r="X32">
        <f>HYPERLINK("https://klasma.github.io/Logging_0562/tillsyn/A 18366-2021 tillsynsbegäran.docx", "A 18366-2021")</f>
        <v/>
      </c>
      <c r="Y32">
        <f>HYPERLINK("https://klasma.github.io/Logging_0562/tillsynsmail/A 18366-2021 tillsynsbegäran mail.docx", "A 18366-2021")</f>
        <v/>
      </c>
    </row>
    <row r="33" ht="15" customHeight="1">
      <c r="A33" t="inlineStr">
        <is>
          <t>A 32026-2022</t>
        </is>
      </c>
      <c r="B33" s="1" t="n">
        <v>44778</v>
      </c>
      <c r="C33" s="1" t="n">
        <v>45707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3.5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Kådvaxskinn
Ullticka</t>
        </is>
      </c>
      <c r="S33">
        <f>HYPERLINK("https://klasma.github.io/Logging_0562/artfynd/A 32026-2022 artfynd.xlsx", "A 32026-2022")</f>
        <v/>
      </c>
      <c r="T33">
        <f>HYPERLINK("https://klasma.github.io/Logging_0562/kartor/A 32026-2022 karta.png", "A 32026-2022")</f>
        <v/>
      </c>
      <c r="V33">
        <f>HYPERLINK("https://klasma.github.io/Logging_0562/klagomål/A 32026-2022 FSC-klagomål.docx", "A 32026-2022")</f>
        <v/>
      </c>
      <c r="W33">
        <f>HYPERLINK("https://klasma.github.io/Logging_0562/klagomålsmail/A 32026-2022 FSC-klagomål mail.docx", "A 32026-2022")</f>
        <v/>
      </c>
      <c r="X33">
        <f>HYPERLINK("https://klasma.github.io/Logging_0562/tillsyn/A 32026-2022 tillsynsbegäran.docx", "A 32026-2022")</f>
        <v/>
      </c>
      <c r="Y33">
        <f>HYPERLINK("https://klasma.github.io/Logging_0562/tillsynsmail/A 32026-2022 tillsynsbegäran mail.docx", "A 32026-2022")</f>
        <v/>
      </c>
    </row>
    <row r="34" ht="15" customHeight="1">
      <c r="A34" t="inlineStr">
        <is>
          <t>A 34096-2022</t>
        </is>
      </c>
      <c r="B34" s="1" t="n">
        <v>44791</v>
      </c>
      <c r="C34" s="1" t="n">
        <v>45707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Jättemusseron
Tallticka</t>
        </is>
      </c>
      <c r="S34">
        <f>HYPERLINK("https://klasma.github.io/Logging_0562/artfynd/A 34096-2022 artfynd.xlsx", "A 34096-2022")</f>
        <v/>
      </c>
      <c r="T34">
        <f>HYPERLINK("https://klasma.github.io/Logging_0562/kartor/A 34096-2022 karta.png", "A 34096-2022")</f>
        <v/>
      </c>
      <c r="V34">
        <f>HYPERLINK("https://klasma.github.io/Logging_0562/klagomål/A 34096-2022 FSC-klagomål.docx", "A 34096-2022")</f>
        <v/>
      </c>
      <c r="W34">
        <f>HYPERLINK("https://klasma.github.io/Logging_0562/klagomålsmail/A 34096-2022 FSC-klagomål mail.docx", "A 34096-2022")</f>
        <v/>
      </c>
      <c r="X34">
        <f>HYPERLINK("https://klasma.github.io/Logging_0562/tillsyn/A 34096-2022 tillsynsbegäran.docx", "A 34096-2022")</f>
        <v/>
      </c>
      <c r="Y34">
        <f>HYPERLINK("https://klasma.github.io/Logging_0562/tillsynsmail/A 34096-2022 tillsynsbegäran mail.docx", "A 34096-2022")</f>
        <v/>
      </c>
    </row>
    <row r="35" ht="15" customHeight="1">
      <c r="A35" t="inlineStr">
        <is>
          <t>A 54954-2022</t>
        </is>
      </c>
      <c r="B35" s="1" t="n">
        <v>44881</v>
      </c>
      <c r="C35" s="1" t="n">
        <v>45707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5.4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Tallticka</t>
        </is>
      </c>
      <c r="S35">
        <f>HYPERLINK("https://klasma.github.io/Logging_0562/artfynd/A 54954-2022 artfynd.xlsx", "A 54954-2022")</f>
        <v/>
      </c>
      <c r="T35">
        <f>HYPERLINK("https://klasma.github.io/Logging_0562/kartor/A 54954-2022 karta.png", "A 54954-2022")</f>
        <v/>
      </c>
      <c r="V35">
        <f>HYPERLINK("https://klasma.github.io/Logging_0562/klagomål/A 54954-2022 FSC-klagomål.docx", "A 54954-2022")</f>
        <v/>
      </c>
      <c r="W35">
        <f>HYPERLINK("https://klasma.github.io/Logging_0562/klagomålsmail/A 54954-2022 FSC-klagomål mail.docx", "A 54954-2022")</f>
        <v/>
      </c>
      <c r="X35">
        <f>HYPERLINK("https://klasma.github.io/Logging_0562/tillsyn/A 54954-2022 tillsynsbegäran.docx", "A 54954-2022")</f>
        <v/>
      </c>
      <c r="Y35">
        <f>HYPERLINK("https://klasma.github.io/Logging_0562/tillsynsmail/A 54954-2022 tillsynsbegäran mail.docx", "A 54954-2022")</f>
        <v/>
      </c>
    </row>
    <row r="36" ht="15" customHeight="1">
      <c r="A36" t="inlineStr">
        <is>
          <t>A 9661-2023</t>
        </is>
      </c>
      <c r="B36" s="1" t="n">
        <v>44984</v>
      </c>
      <c r="C36" s="1" t="n">
        <v>45707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Kyrkan</t>
        </is>
      </c>
      <c r="G36" t="n">
        <v>9.300000000000001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Fläcknycklar</t>
        </is>
      </c>
      <c r="S36">
        <f>HYPERLINK("https://klasma.github.io/Logging_0562/artfynd/A 9661-2023 artfynd.xlsx", "A 9661-2023")</f>
        <v/>
      </c>
      <c r="T36">
        <f>HYPERLINK("https://klasma.github.io/Logging_0562/kartor/A 9661-2023 karta.png", "A 9661-2023")</f>
        <v/>
      </c>
      <c r="V36">
        <f>HYPERLINK("https://klasma.github.io/Logging_0562/klagomål/A 9661-2023 FSC-klagomål.docx", "A 9661-2023")</f>
        <v/>
      </c>
      <c r="W36">
        <f>HYPERLINK("https://klasma.github.io/Logging_0562/klagomålsmail/A 9661-2023 FSC-klagomål mail.docx", "A 9661-2023")</f>
        <v/>
      </c>
      <c r="X36">
        <f>HYPERLINK("https://klasma.github.io/Logging_0562/tillsyn/A 9661-2023 tillsynsbegäran.docx", "A 9661-2023")</f>
        <v/>
      </c>
      <c r="Y36">
        <f>HYPERLINK("https://klasma.github.io/Logging_0562/tillsynsmail/A 9661-2023 tillsynsbegäran mail.docx", "A 9661-2023")</f>
        <v/>
      </c>
      <c r="Z36">
        <f>HYPERLINK("https://klasma.github.io/Logging_0562/fåglar/A 9661-2023 prioriterade fågelarter.docx", "A 9661-2023")</f>
        <v/>
      </c>
    </row>
    <row r="37" ht="15" customHeight="1">
      <c r="A37" t="inlineStr">
        <is>
          <t>A 18075-2023</t>
        </is>
      </c>
      <c r="B37" s="1" t="n">
        <v>45040</v>
      </c>
      <c r="C37" s="1" t="n">
        <v>45707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Bårdlav
Dvärgtufs</t>
        </is>
      </c>
      <c r="S37">
        <f>HYPERLINK("https://klasma.github.io/Logging_0562/artfynd/A 18075-2023 artfynd.xlsx", "A 18075-2023")</f>
        <v/>
      </c>
      <c r="T37">
        <f>HYPERLINK("https://klasma.github.io/Logging_0562/kartor/A 18075-2023 karta.png", "A 18075-2023")</f>
        <v/>
      </c>
      <c r="V37">
        <f>HYPERLINK("https://klasma.github.io/Logging_0562/klagomål/A 18075-2023 FSC-klagomål.docx", "A 18075-2023")</f>
        <v/>
      </c>
      <c r="W37">
        <f>HYPERLINK("https://klasma.github.io/Logging_0562/klagomålsmail/A 18075-2023 FSC-klagomål mail.docx", "A 18075-2023")</f>
        <v/>
      </c>
      <c r="X37">
        <f>HYPERLINK("https://klasma.github.io/Logging_0562/tillsyn/A 18075-2023 tillsynsbegäran.docx", "A 18075-2023")</f>
        <v/>
      </c>
      <c r="Y37">
        <f>HYPERLINK("https://klasma.github.io/Logging_0562/tillsynsmail/A 18075-2023 tillsynsbegäran mail.docx", "A 18075-2023")</f>
        <v/>
      </c>
    </row>
    <row r="38" ht="15" customHeight="1">
      <c r="A38" t="inlineStr">
        <is>
          <t>A 26888-2023</t>
        </is>
      </c>
      <c r="B38" s="1" t="n">
        <v>45093</v>
      </c>
      <c r="C38" s="1" t="n">
        <v>45707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Motaggsvamp
Ärtsångare</t>
        </is>
      </c>
      <c r="S38">
        <f>HYPERLINK("https://klasma.github.io/Logging_0562/artfynd/A 26888-2023 artfynd.xlsx", "A 26888-2023")</f>
        <v/>
      </c>
      <c r="T38">
        <f>HYPERLINK("https://klasma.github.io/Logging_0562/kartor/A 26888-2023 karta.png", "A 26888-2023")</f>
        <v/>
      </c>
      <c r="V38">
        <f>HYPERLINK("https://klasma.github.io/Logging_0562/klagomål/A 26888-2023 FSC-klagomål.docx", "A 26888-2023")</f>
        <v/>
      </c>
      <c r="W38">
        <f>HYPERLINK("https://klasma.github.io/Logging_0562/klagomålsmail/A 26888-2023 FSC-klagomål mail.docx", "A 26888-2023")</f>
        <v/>
      </c>
      <c r="X38">
        <f>HYPERLINK("https://klasma.github.io/Logging_0562/tillsyn/A 26888-2023 tillsynsbegäran.docx", "A 26888-2023")</f>
        <v/>
      </c>
      <c r="Y38">
        <f>HYPERLINK("https://klasma.github.io/Logging_0562/tillsynsmail/A 26888-2023 tillsynsbegäran mail.docx", "A 26888-2023")</f>
        <v/>
      </c>
      <c r="Z38">
        <f>HYPERLINK("https://klasma.github.io/Logging_0562/fåglar/A 26888-2023 prioriterade fågelarter.docx", "A 26888-2023")</f>
        <v/>
      </c>
    </row>
    <row r="39" ht="15" customHeight="1">
      <c r="A39" t="inlineStr">
        <is>
          <t>A 3596-2024</t>
        </is>
      </c>
      <c r="B39" s="1" t="n">
        <v>45320</v>
      </c>
      <c r="C39" s="1" t="n">
        <v>45707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6.9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Ask
Kungsörn</t>
        </is>
      </c>
      <c r="S39">
        <f>HYPERLINK("https://klasma.github.io/Logging_0562/artfynd/A 3596-2024 artfynd.xlsx", "A 3596-2024")</f>
        <v/>
      </c>
      <c r="T39">
        <f>HYPERLINK("https://klasma.github.io/Logging_0562/kartor/A 3596-2024 karta.png", "A 3596-2024")</f>
        <v/>
      </c>
      <c r="V39">
        <f>HYPERLINK("https://klasma.github.io/Logging_0562/klagomål/A 3596-2024 FSC-klagomål.docx", "A 3596-2024")</f>
        <v/>
      </c>
      <c r="W39">
        <f>HYPERLINK("https://klasma.github.io/Logging_0562/klagomålsmail/A 3596-2024 FSC-klagomål mail.docx", "A 3596-2024")</f>
        <v/>
      </c>
      <c r="X39">
        <f>HYPERLINK("https://klasma.github.io/Logging_0562/tillsyn/A 3596-2024 tillsynsbegäran.docx", "A 3596-2024")</f>
        <v/>
      </c>
      <c r="Y39">
        <f>HYPERLINK("https://klasma.github.io/Logging_0562/tillsynsmail/A 3596-2024 tillsynsbegäran mail.docx", "A 3596-2024")</f>
        <v/>
      </c>
      <c r="Z39">
        <f>HYPERLINK("https://klasma.github.io/Logging_0562/fåglar/A 3596-2024 prioriterade fågelarter.docx", "A 3596-2024")</f>
        <v/>
      </c>
    </row>
    <row r="40" ht="15" customHeight="1">
      <c r="A40" t="inlineStr">
        <is>
          <t>A 5774-2024</t>
        </is>
      </c>
      <c r="B40" s="1" t="n">
        <v>45335</v>
      </c>
      <c r="C40" s="1" t="n">
        <v>45707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Kyrkan</t>
        </is>
      </c>
      <c r="G40" t="n">
        <v>5.7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Fläcknycklar</t>
        </is>
      </c>
      <c r="S40">
        <f>HYPERLINK("https://klasma.github.io/Logging_0562/artfynd/A 5774-2024 artfynd.xlsx", "A 5774-2024")</f>
        <v/>
      </c>
      <c r="T40">
        <f>HYPERLINK("https://klasma.github.io/Logging_0562/kartor/A 5774-2024 karta.png", "A 5774-2024")</f>
        <v/>
      </c>
      <c r="V40">
        <f>HYPERLINK("https://klasma.github.io/Logging_0562/klagomål/A 5774-2024 FSC-klagomål.docx", "A 5774-2024")</f>
        <v/>
      </c>
      <c r="W40">
        <f>HYPERLINK("https://klasma.github.io/Logging_0562/klagomålsmail/A 5774-2024 FSC-klagomål mail.docx", "A 5774-2024")</f>
        <v/>
      </c>
      <c r="X40">
        <f>HYPERLINK("https://klasma.github.io/Logging_0562/tillsyn/A 5774-2024 tillsynsbegäran.docx", "A 5774-2024")</f>
        <v/>
      </c>
      <c r="Y40">
        <f>HYPERLINK("https://klasma.github.io/Logging_0562/tillsynsmail/A 5774-2024 tillsynsbegäran mail.docx", "A 5774-2024")</f>
        <v/>
      </c>
      <c r="Z40">
        <f>HYPERLINK("https://klasma.github.io/Logging_0562/fåglar/A 5774-2024 prioriterade fågelarter.docx", "A 5774-2024")</f>
        <v/>
      </c>
    </row>
    <row r="41" ht="15" customHeight="1">
      <c r="A41" t="inlineStr">
        <is>
          <t>A 10257-2024</t>
        </is>
      </c>
      <c r="B41" s="1" t="n">
        <v>45365</v>
      </c>
      <c r="C41" s="1" t="n">
        <v>45707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3.7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Blåsippa</t>
        </is>
      </c>
      <c r="S41">
        <f>HYPERLINK("https://klasma.github.io/Logging_0562/artfynd/A 10257-2024 artfynd.xlsx", "A 10257-2024")</f>
        <v/>
      </c>
      <c r="T41">
        <f>HYPERLINK("https://klasma.github.io/Logging_0562/kartor/A 10257-2024 karta.png", "A 10257-2024")</f>
        <v/>
      </c>
      <c r="U41">
        <f>HYPERLINK("https://klasma.github.io/Logging_0562/knärot/A 10257-2024 karta knärot.png", "A 10257-2024")</f>
        <v/>
      </c>
      <c r="V41">
        <f>HYPERLINK("https://klasma.github.io/Logging_0562/klagomål/A 10257-2024 FSC-klagomål.docx", "A 10257-2024")</f>
        <v/>
      </c>
      <c r="W41">
        <f>HYPERLINK("https://klasma.github.io/Logging_0562/klagomålsmail/A 10257-2024 FSC-klagomål mail.docx", "A 10257-2024")</f>
        <v/>
      </c>
      <c r="X41">
        <f>HYPERLINK("https://klasma.github.io/Logging_0562/tillsyn/A 10257-2024 tillsynsbegäran.docx", "A 10257-2024")</f>
        <v/>
      </c>
      <c r="Y41">
        <f>HYPERLINK("https://klasma.github.io/Logging_0562/tillsynsmail/A 10257-2024 tillsynsbegäran mail.docx", "A 10257-2024")</f>
        <v/>
      </c>
    </row>
    <row r="42" ht="15" customHeight="1">
      <c r="A42" t="inlineStr">
        <is>
          <t>A 14213-2024</t>
        </is>
      </c>
      <c r="B42" s="1" t="n">
        <v>45393</v>
      </c>
      <c r="C42" s="1" t="n">
        <v>45707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Grön sköldmossa</t>
        </is>
      </c>
      <c r="S42">
        <f>HYPERLINK("https://klasma.github.io/Logging_0562/artfynd/A 14213-2024 artfynd.xlsx", "A 14213-2024")</f>
        <v/>
      </c>
      <c r="T42">
        <f>HYPERLINK("https://klasma.github.io/Logging_0562/kartor/A 14213-2024 karta.png", "A 14213-2024")</f>
        <v/>
      </c>
      <c r="V42">
        <f>HYPERLINK("https://klasma.github.io/Logging_0562/klagomål/A 14213-2024 FSC-klagomål.docx", "A 14213-2024")</f>
        <v/>
      </c>
      <c r="W42">
        <f>HYPERLINK("https://klasma.github.io/Logging_0562/klagomålsmail/A 14213-2024 FSC-klagomål mail.docx", "A 14213-2024")</f>
        <v/>
      </c>
      <c r="X42">
        <f>HYPERLINK("https://klasma.github.io/Logging_0562/tillsyn/A 14213-2024 tillsynsbegäran.docx", "A 14213-2024")</f>
        <v/>
      </c>
      <c r="Y42">
        <f>HYPERLINK("https://klasma.github.io/Logging_0562/tillsynsmail/A 14213-2024 tillsynsbegäran mail.docx", "A 14213-2024")</f>
        <v/>
      </c>
    </row>
    <row r="43" ht="15" customHeight="1">
      <c r="A43" t="inlineStr">
        <is>
          <t>A 21566-2024</t>
        </is>
      </c>
      <c r="B43" s="1" t="n">
        <v>45441</v>
      </c>
      <c r="C43" s="1" t="n">
        <v>45707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Blompraktbagge</t>
        </is>
      </c>
      <c r="S43">
        <f>HYPERLINK("https://klasma.github.io/Logging_0562/artfynd/A 21566-2024 artfynd.xlsx", "A 21566-2024")</f>
        <v/>
      </c>
      <c r="T43">
        <f>HYPERLINK("https://klasma.github.io/Logging_0562/kartor/A 21566-2024 karta.png", "A 21566-2024")</f>
        <v/>
      </c>
      <c r="V43">
        <f>HYPERLINK("https://klasma.github.io/Logging_0562/klagomål/A 21566-2024 FSC-klagomål.docx", "A 21566-2024")</f>
        <v/>
      </c>
      <c r="W43">
        <f>HYPERLINK("https://klasma.github.io/Logging_0562/klagomålsmail/A 21566-2024 FSC-klagomål mail.docx", "A 21566-2024")</f>
        <v/>
      </c>
      <c r="X43">
        <f>HYPERLINK("https://klasma.github.io/Logging_0562/tillsyn/A 21566-2024 tillsynsbegäran.docx", "A 21566-2024")</f>
        <v/>
      </c>
      <c r="Y43">
        <f>HYPERLINK("https://klasma.github.io/Logging_0562/tillsynsmail/A 21566-2024 tillsynsbegäran mail.docx", "A 21566-2024")</f>
        <v/>
      </c>
    </row>
    <row r="44" ht="15" customHeight="1">
      <c r="A44" t="inlineStr">
        <is>
          <t>A 22603-2024</t>
        </is>
      </c>
      <c r="B44" s="1" t="n">
        <v>45447</v>
      </c>
      <c r="C44" s="1" t="n">
        <v>45707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Blodticka
Scharlakansskål</t>
        </is>
      </c>
      <c r="S44">
        <f>HYPERLINK("https://klasma.github.io/Logging_0562/artfynd/A 22603-2024 artfynd.xlsx", "A 22603-2024")</f>
        <v/>
      </c>
      <c r="T44">
        <f>HYPERLINK("https://klasma.github.io/Logging_0562/kartor/A 22603-2024 karta.png", "A 22603-2024")</f>
        <v/>
      </c>
      <c r="V44">
        <f>HYPERLINK("https://klasma.github.io/Logging_0562/klagomål/A 22603-2024 FSC-klagomål.docx", "A 22603-2024")</f>
        <v/>
      </c>
      <c r="W44">
        <f>HYPERLINK("https://klasma.github.io/Logging_0562/klagomålsmail/A 22603-2024 FSC-klagomål mail.docx", "A 22603-2024")</f>
        <v/>
      </c>
      <c r="X44">
        <f>HYPERLINK("https://klasma.github.io/Logging_0562/tillsyn/A 22603-2024 tillsynsbegäran.docx", "A 22603-2024")</f>
        <v/>
      </c>
      <c r="Y44">
        <f>HYPERLINK("https://klasma.github.io/Logging_0562/tillsynsmail/A 22603-2024 tillsynsbegäran mail.docx", "A 22603-2024")</f>
        <v/>
      </c>
    </row>
    <row r="45" ht="15" customHeight="1">
      <c r="A45" t="inlineStr">
        <is>
          <t>A 28395-2024</t>
        </is>
      </c>
      <c r="B45" s="1" t="n">
        <v>45477</v>
      </c>
      <c r="C45" s="1" t="n">
        <v>45707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0.6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Fläcknycklar</t>
        </is>
      </c>
      <c r="S45">
        <f>HYPERLINK("https://klasma.github.io/Logging_0562/artfynd/A 28395-2024 artfynd.xlsx", "A 28395-2024")</f>
        <v/>
      </c>
      <c r="T45">
        <f>HYPERLINK("https://klasma.github.io/Logging_0562/kartor/A 28395-2024 karta.png", "A 28395-2024")</f>
        <v/>
      </c>
      <c r="V45">
        <f>HYPERLINK("https://klasma.github.io/Logging_0562/klagomål/A 28395-2024 FSC-klagomål.docx", "A 28395-2024")</f>
        <v/>
      </c>
      <c r="W45">
        <f>HYPERLINK("https://klasma.github.io/Logging_0562/klagomålsmail/A 28395-2024 FSC-klagomål mail.docx", "A 28395-2024")</f>
        <v/>
      </c>
      <c r="X45">
        <f>HYPERLINK("https://klasma.github.io/Logging_0562/tillsyn/A 28395-2024 tillsynsbegäran.docx", "A 28395-2024")</f>
        <v/>
      </c>
      <c r="Y45">
        <f>HYPERLINK("https://klasma.github.io/Logging_0562/tillsynsmail/A 28395-2024 tillsynsbegäran mail.docx", "A 28395-2024")</f>
        <v/>
      </c>
      <c r="Z45">
        <f>HYPERLINK("https://klasma.github.io/Logging_0562/fåglar/A 28395-2024 prioriterade fågelarter.docx", "A 28395-2024")</f>
        <v/>
      </c>
    </row>
    <row r="46" ht="15" customHeight="1">
      <c r="A46" t="inlineStr">
        <is>
          <t>A 60667-2024</t>
        </is>
      </c>
      <c r="B46" s="1" t="n">
        <v>45644</v>
      </c>
      <c r="C46" s="1" t="n">
        <v>45707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18.1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HYPERLINK("https://klasma.github.io/Logging_0562/artfynd/A 60667-2024 artfynd.xlsx", "A 60667-2024")</f>
        <v/>
      </c>
      <c r="T46">
        <f>HYPERLINK("https://klasma.github.io/Logging_0562/kartor/A 60667-2024 karta.png", "A 60667-2024")</f>
        <v/>
      </c>
      <c r="U46">
        <f>HYPERLINK("https://klasma.github.io/Logging_0562/knärot/A 60667-2024 karta knärot.png", "A 60667-2024")</f>
        <v/>
      </c>
      <c r="V46">
        <f>HYPERLINK("https://klasma.github.io/Logging_0562/klagomål/A 60667-2024 FSC-klagomål.docx", "A 60667-2024")</f>
        <v/>
      </c>
      <c r="W46">
        <f>HYPERLINK("https://klasma.github.io/Logging_0562/klagomålsmail/A 60667-2024 FSC-klagomål mail.docx", "A 60667-2024")</f>
        <v/>
      </c>
      <c r="X46">
        <f>HYPERLINK("https://klasma.github.io/Logging_0562/tillsyn/A 60667-2024 tillsynsbegäran.docx", "A 60667-2024")</f>
        <v/>
      </c>
      <c r="Y46">
        <f>HYPERLINK("https://klasma.github.io/Logging_0562/tillsynsmail/A 60667-2024 tillsynsbegäran mail.docx", "A 60667-2024")</f>
        <v/>
      </c>
    </row>
    <row r="47" ht="15" customHeight="1">
      <c r="A47" t="inlineStr">
        <is>
          <t>A 19407-2019</t>
        </is>
      </c>
      <c r="B47" s="1" t="n">
        <v>43565</v>
      </c>
      <c r="C47" s="1" t="n">
        <v>45707</v>
      </c>
      <c r="D47" t="inlineStr">
        <is>
          <t>ÖSTERGÖTLANDS LÄN</t>
        </is>
      </c>
      <c r="E47" t="inlineStr">
        <is>
          <t>FINSPÅNG</t>
        </is>
      </c>
      <c r="G47" t="n">
        <v>10.5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HYPERLINK("https://klasma.github.io/Logging_0562/artfynd/A 19407-2019 artfynd.xlsx", "A 19407-2019")</f>
        <v/>
      </c>
      <c r="T47">
        <f>HYPERLINK("https://klasma.github.io/Logging_0562/kartor/A 19407-2019 karta.png", "A 19407-2019")</f>
        <v/>
      </c>
      <c r="V47">
        <f>HYPERLINK("https://klasma.github.io/Logging_0562/klagomål/A 19407-2019 FSC-klagomål.docx", "A 19407-2019")</f>
        <v/>
      </c>
      <c r="W47">
        <f>HYPERLINK("https://klasma.github.io/Logging_0562/klagomålsmail/A 19407-2019 FSC-klagomål mail.docx", "A 19407-2019")</f>
        <v/>
      </c>
      <c r="X47">
        <f>HYPERLINK("https://klasma.github.io/Logging_0562/tillsyn/A 19407-2019 tillsynsbegäran.docx", "A 19407-2019")</f>
        <v/>
      </c>
      <c r="Y47">
        <f>HYPERLINK("https://klasma.github.io/Logging_0562/tillsynsmail/A 19407-2019 tillsynsbegäran mail.docx", "A 19407-2019")</f>
        <v/>
      </c>
    </row>
    <row r="48" ht="15" customHeight="1">
      <c r="A48" t="inlineStr">
        <is>
          <t>A 24547-2019</t>
        </is>
      </c>
      <c r="B48" s="1" t="n">
        <v>43600</v>
      </c>
      <c r="C48" s="1" t="n">
        <v>45707</v>
      </c>
      <c r="D48" t="inlineStr">
        <is>
          <t>ÖSTERGÖTLANDS LÄN</t>
        </is>
      </c>
      <c r="E48" t="inlineStr">
        <is>
          <t>FINSPÅNG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24547-2019 artfynd.xlsx", "A 24547-2019")</f>
        <v/>
      </c>
      <c r="T48">
        <f>HYPERLINK("https://klasma.github.io/Logging_0562/kartor/A 24547-2019 karta.png", "A 24547-2019")</f>
        <v/>
      </c>
      <c r="V48">
        <f>HYPERLINK("https://klasma.github.io/Logging_0562/klagomål/A 24547-2019 FSC-klagomål.docx", "A 24547-2019")</f>
        <v/>
      </c>
      <c r="W48">
        <f>HYPERLINK("https://klasma.github.io/Logging_0562/klagomålsmail/A 24547-2019 FSC-klagomål mail.docx", "A 24547-2019")</f>
        <v/>
      </c>
      <c r="X48">
        <f>HYPERLINK("https://klasma.github.io/Logging_0562/tillsyn/A 24547-2019 tillsynsbegäran.docx", "A 24547-2019")</f>
        <v/>
      </c>
      <c r="Y48">
        <f>HYPERLINK("https://klasma.github.io/Logging_0562/tillsynsmail/A 24547-2019 tillsynsbegäran mail.docx", "A 24547-2019")</f>
        <v/>
      </c>
    </row>
    <row r="49" ht="15" customHeight="1">
      <c r="A49" t="inlineStr">
        <is>
          <t>A 26223-2019</t>
        </is>
      </c>
      <c r="B49" s="1" t="n">
        <v>43609</v>
      </c>
      <c r="C49" s="1" t="n">
        <v>45707</v>
      </c>
      <c r="D49" t="inlineStr">
        <is>
          <t>ÖSTERGÖTLANDS LÄN</t>
        </is>
      </c>
      <c r="E49" t="inlineStr">
        <is>
          <t>FINSPÅNG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26223-2019 artfynd.xlsx", "A 26223-2019")</f>
        <v/>
      </c>
      <c r="T49">
        <f>HYPERLINK("https://klasma.github.io/Logging_0562/kartor/A 26223-2019 karta.png", "A 26223-2019")</f>
        <v/>
      </c>
      <c r="V49">
        <f>HYPERLINK("https://klasma.github.io/Logging_0562/klagomål/A 26223-2019 FSC-klagomål.docx", "A 26223-2019")</f>
        <v/>
      </c>
      <c r="W49">
        <f>HYPERLINK("https://klasma.github.io/Logging_0562/klagomålsmail/A 26223-2019 FSC-klagomål mail.docx", "A 26223-2019")</f>
        <v/>
      </c>
      <c r="X49">
        <f>HYPERLINK("https://klasma.github.io/Logging_0562/tillsyn/A 26223-2019 tillsynsbegäran.docx", "A 26223-2019")</f>
        <v/>
      </c>
      <c r="Y49">
        <f>HYPERLINK("https://klasma.github.io/Logging_0562/tillsynsmail/A 26223-2019 tillsynsbegäran mail.docx", "A 26223-2019")</f>
        <v/>
      </c>
    </row>
    <row r="50" ht="15" customHeight="1">
      <c r="A50" t="inlineStr">
        <is>
          <t>A 26227-2019</t>
        </is>
      </c>
      <c r="B50" s="1" t="n">
        <v>43609</v>
      </c>
      <c r="C50" s="1" t="n">
        <v>45707</v>
      </c>
      <c r="D50" t="inlineStr">
        <is>
          <t>ÖSTERGÖTLANDS LÄN</t>
        </is>
      </c>
      <c r="E50" t="inlineStr">
        <is>
          <t>FINSPÅNG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26227-2019 artfynd.xlsx", "A 26227-2019")</f>
        <v/>
      </c>
      <c r="T50">
        <f>HYPERLINK("https://klasma.github.io/Logging_0562/kartor/A 26227-2019 karta.png", "A 26227-2019")</f>
        <v/>
      </c>
      <c r="V50">
        <f>HYPERLINK("https://klasma.github.io/Logging_0562/klagomål/A 26227-2019 FSC-klagomål.docx", "A 26227-2019")</f>
        <v/>
      </c>
      <c r="W50">
        <f>HYPERLINK("https://klasma.github.io/Logging_0562/klagomålsmail/A 26227-2019 FSC-klagomål mail.docx", "A 26227-2019")</f>
        <v/>
      </c>
      <c r="X50">
        <f>HYPERLINK("https://klasma.github.io/Logging_0562/tillsyn/A 26227-2019 tillsynsbegäran.docx", "A 26227-2019")</f>
        <v/>
      </c>
      <c r="Y50">
        <f>HYPERLINK("https://klasma.github.io/Logging_0562/tillsynsmail/A 26227-2019 tillsynsbegäran mail.docx", "A 26227-2019")</f>
        <v/>
      </c>
    </row>
    <row r="51" ht="15" customHeight="1">
      <c r="A51" t="inlineStr">
        <is>
          <t>A 30229-2019</t>
        </is>
      </c>
      <c r="B51" s="1" t="n">
        <v>43633</v>
      </c>
      <c r="C51" s="1" t="n">
        <v>45707</v>
      </c>
      <c r="D51" t="inlineStr">
        <is>
          <t>ÖSTERGÖTLANDS LÄN</t>
        </is>
      </c>
      <c r="E51" t="inlineStr">
        <is>
          <t>FINSPÅNG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HYPERLINK("https://klasma.github.io/Logging_0562/artfynd/A 30229-2019 artfynd.xlsx", "A 30229-2019")</f>
        <v/>
      </c>
      <c r="T51">
        <f>HYPERLINK("https://klasma.github.io/Logging_0562/kartor/A 30229-2019 karta.png", "A 30229-2019")</f>
        <v/>
      </c>
      <c r="V51">
        <f>HYPERLINK("https://klasma.github.io/Logging_0562/klagomål/A 30229-2019 FSC-klagomål.docx", "A 30229-2019")</f>
        <v/>
      </c>
      <c r="W51">
        <f>HYPERLINK("https://klasma.github.io/Logging_0562/klagomålsmail/A 30229-2019 FSC-klagomål mail.docx", "A 30229-2019")</f>
        <v/>
      </c>
      <c r="X51">
        <f>HYPERLINK("https://klasma.github.io/Logging_0562/tillsyn/A 30229-2019 tillsynsbegäran.docx", "A 30229-2019")</f>
        <v/>
      </c>
      <c r="Y51">
        <f>HYPERLINK("https://klasma.github.io/Logging_0562/tillsynsmail/A 30229-2019 tillsynsbegäran mail.docx", "A 30229-2019")</f>
        <v/>
      </c>
    </row>
    <row r="52" ht="15" customHeight="1">
      <c r="A52" t="inlineStr">
        <is>
          <t>A 34632-2019</t>
        </is>
      </c>
      <c r="B52" s="1" t="n">
        <v>43657</v>
      </c>
      <c r="C52" s="1" t="n">
        <v>45707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HYPERLINK("https://klasma.github.io/Logging_0562/artfynd/A 34632-2019 artfynd.xlsx", "A 34632-2019")</f>
        <v/>
      </c>
      <c r="T52">
        <f>HYPERLINK("https://klasma.github.io/Logging_0562/kartor/A 34632-2019 karta.png", "A 34632-2019")</f>
        <v/>
      </c>
      <c r="V52">
        <f>HYPERLINK("https://klasma.github.io/Logging_0562/klagomål/A 34632-2019 FSC-klagomål.docx", "A 34632-2019")</f>
        <v/>
      </c>
      <c r="W52">
        <f>HYPERLINK("https://klasma.github.io/Logging_0562/klagomålsmail/A 34632-2019 FSC-klagomål mail.docx", "A 34632-2019")</f>
        <v/>
      </c>
      <c r="X52">
        <f>HYPERLINK("https://klasma.github.io/Logging_0562/tillsyn/A 34632-2019 tillsynsbegäran.docx", "A 34632-2019")</f>
        <v/>
      </c>
      <c r="Y52">
        <f>HYPERLINK("https://klasma.github.io/Logging_0562/tillsynsmail/A 34632-2019 tillsynsbegäran mail.docx", "A 34632-2019")</f>
        <v/>
      </c>
    </row>
    <row r="53" ht="15" customHeight="1">
      <c r="A53" t="inlineStr">
        <is>
          <t>A 49494-2019</t>
        </is>
      </c>
      <c r="B53" s="1" t="n">
        <v>43732</v>
      </c>
      <c r="C53" s="1" t="n">
        <v>45707</v>
      </c>
      <c r="D53" t="inlineStr">
        <is>
          <t>ÖSTERGÖTLANDS LÄN</t>
        </is>
      </c>
      <c r="E53" t="inlineStr">
        <is>
          <t>FINSPÅNG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HYPERLINK("https://klasma.github.io/Logging_0562/artfynd/A 49494-2019 artfynd.xlsx", "A 49494-2019")</f>
        <v/>
      </c>
      <c r="T53">
        <f>HYPERLINK("https://klasma.github.io/Logging_0562/kartor/A 49494-2019 karta.png", "A 49494-2019")</f>
        <v/>
      </c>
      <c r="V53">
        <f>HYPERLINK("https://klasma.github.io/Logging_0562/klagomål/A 49494-2019 FSC-klagomål.docx", "A 49494-2019")</f>
        <v/>
      </c>
      <c r="W53">
        <f>HYPERLINK("https://klasma.github.io/Logging_0562/klagomålsmail/A 49494-2019 FSC-klagomål mail.docx", "A 49494-2019")</f>
        <v/>
      </c>
      <c r="X53">
        <f>HYPERLINK("https://klasma.github.io/Logging_0562/tillsyn/A 49494-2019 tillsynsbegäran.docx", "A 49494-2019")</f>
        <v/>
      </c>
      <c r="Y53">
        <f>HYPERLINK("https://klasma.github.io/Logging_0562/tillsynsmail/A 49494-2019 tillsynsbegäran mail.docx", "A 49494-2019")</f>
        <v/>
      </c>
    </row>
    <row r="54" ht="15" customHeight="1">
      <c r="A54" t="inlineStr">
        <is>
          <t>A 55658-2019</t>
        </is>
      </c>
      <c r="B54" s="1" t="n">
        <v>43760</v>
      </c>
      <c r="C54" s="1" t="n">
        <v>45707</v>
      </c>
      <c r="D54" t="inlineStr">
        <is>
          <t>ÖSTERGÖTLANDS LÄN</t>
        </is>
      </c>
      <c r="E54" t="inlineStr">
        <is>
          <t>FINSPÅNG</t>
        </is>
      </c>
      <c r="G54" t="n">
        <v>8.4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Raggbock</t>
        </is>
      </c>
      <c r="S54">
        <f>HYPERLINK("https://klasma.github.io/Logging_0562/artfynd/A 55658-2019 artfynd.xlsx", "A 55658-2019")</f>
        <v/>
      </c>
      <c r="T54">
        <f>HYPERLINK("https://klasma.github.io/Logging_0562/kartor/A 55658-2019 karta.png", "A 55658-2019")</f>
        <v/>
      </c>
      <c r="V54">
        <f>HYPERLINK("https://klasma.github.io/Logging_0562/klagomål/A 55658-2019 FSC-klagomål.docx", "A 55658-2019")</f>
        <v/>
      </c>
      <c r="W54">
        <f>HYPERLINK("https://klasma.github.io/Logging_0562/klagomålsmail/A 55658-2019 FSC-klagomål mail.docx", "A 55658-2019")</f>
        <v/>
      </c>
      <c r="X54">
        <f>HYPERLINK("https://klasma.github.io/Logging_0562/tillsyn/A 55658-2019 tillsynsbegäran.docx", "A 55658-2019")</f>
        <v/>
      </c>
      <c r="Y54">
        <f>HYPERLINK("https://klasma.github.io/Logging_0562/tillsynsmail/A 55658-2019 tillsynsbegäran mail.docx", "A 55658-2019")</f>
        <v/>
      </c>
    </row>
    <row r="55" ht="15" customHeight="1">
      <c r="A55" t="inlineStr">
        <is>
          <t>A 2350-2020</t>
        </is>
      </c>
      <c r="B55" s="1" t="n">
        <v>43846</v>
      </c>
      <c r="C55" s="1" t="n">
        <v>45707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HYPERLINK("https://klasma.github.io/Logging_0562/artfynd/A 2350-2020 artfynd.xlsx", "A 2350-2020")</f>
        <v/>
      </c>
      <c r="T55">
        <f>HYPERLINK("https://klasma.github.io/Logging_0562/kartor/A 2350-2020 karta.png", "A 2350-2020")</f>
        <v/>
      </c>
      <c r="V55">
        <f>HYPERLINK("https://klasma.github.io/Logging_0562/klagomål/A 2350-2020 FSC-klagomål.docx", "A 2350-2020")</f>
        <v/>
      </c>
      <c r="W55">
        <f>HYPERLINK("https://klasma.github.io/Logging_0562/klagomålsmail/A 2350-2020 FSC-klagomål mail.docx", "A 2350-2020")</f>
        <v/>
      </c>
      <c r="X55">
        <f>HYPERLINK("https://klasma.github.io/Logging_0562/tillsyn/A 2350-2020 tillsynsbegäran.docx", "A 2350-2020")</f>
        <v/>
      </c>
      <c r="Y55">
        <f>HYPERLINK("https://klasma.github.io/Logging_0562/tillsynsmail/A 2350-2020 tillsynsbegäran mail.docx", "A 2350-2020")</f>
        <v/>
      </c>
    </row>
    <row r="56" ht="15" customHeight="1">
      <c r="A56" t="inlineStr">
        <is>
          <t>A 3021-2020</t>
        </is>
      </c>
      <c r="B56" s="1" t="n">
        <v>43851</v>
      </c>
      <c r="C56" s="1" t="n">
        <v>45707</v>
      </c>
      <c r="D56" t="inlineStr">
        <is>
          <t>ÖSTERGÖTLANDS LÄN</t>
        </is>
      </c>
      <c r="E56" t="inlineStr">
        <is>
          <t>FINSPÅNG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HYPERLINK("https://klasma.github.io/Logging_0562/artfynd/A 3021-2020 artfynd.xlsx", "A 3021-2020")</f>
        <v/>
      </c>
      <c r="T56">
        <f>HYPERLINK("https://klasma.github.io/Logging_0562/kartor/A 3021-2020 karta.png", "A 3021-2020")</f>
        <v/>
      </c>
      <c r="V56">
        <f>HYPERLINK("https://klasma.github.io/Logging_0562/klagomål/A 3021-2020 FSC-klagomål.docx", "A 3021-2020")</f>
        <v/>
      </c>
      <c r="W56">
        <f>HYPERLINK("https://klasma.github.io/Logging_0562/klagomålsmail/A 3021-2020 FSC-klagomål mail.docx", "A 3021-2020")</f>
        <v/>
      </c>
      <c r="X56">
        <f>HYPERLINK("https://klasma.github.io/Logging_0562/tillsyn/A 3021-2020 tillsynsbegäran.docx", "A 3021-2020")</f>
        <v/>
      </c>
      <c r="Y56">
        <f>HYPERLINK("https://klasma.github.io/Logging_0562/tillsynsmail/A 3021-2020 tillsynsbegäran mail.docx", "A 3021-2020")</f>
        <v/>
      </c>
    </row>
    <row r="57" ht="15" customHeight="1">
      <c r="A57" t="inlineStr">
        <is>
          <t>A 14835-2020</t>
        </is>
      </c>
      <c r="B57" s="1" t="n">
        <v>43909</v>
      </c>
      <c r="C57" s="1" t="n">
        <v>45707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9.9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Vedtrappmossa</t>
        </is>
      </c>
      <c r="S57">
        <f>HYPERLINK("https://klasma.github.io/Logging_0562/artfynd/A 14835-2020 artfynd.xlsx", "A 14835-2020")</f>
        <v/>
      </c>
      <c r="T57">
        <f>HYPERLINK("https://klasma.github.io/Logging_0562/kartor/A 14835-2020 karta.png", "A 14835-2020")</f>
        <v/>
      </c>
      <c r="V57">
        <f>HYPERLINK("https://klasma.github.io/Logging_0562/klagomål/A 14835-2020 FSC-klagomål.docx", "A 14835-2020")</f>
        <v/>
      </c>
      <c r="W57">
        <f>HYPERLINK("https://klasma.github.io/Logging_0562/klagomålsmail/A 14835-2020 FSC-klagomål mail.docx", "A 14835-2020")</f>
        <v/>
      </c>
      <c r="X57">
        <f>HYPERLINK("https://klasma.github.io/Logging_0562/tillsyn/A 14835-2020 tillsynsbegäran.docx", "A 14835-2020")</f>
        <v/>
      </c>
      <c r="Y57">
        <f>HYPERLINK("https://klasma.github.io/Logging_0562/tillsynsmail/A 14835-2020 tillsynsbegäran mail.docx", "A 14835-2020")</f>
        <v/>
      </c>
    </row>
    <row r="58" ht="15" customHeight="1">
      <c r="A58" t="inlineStr">
        <is>
          <t>A 54832-2020</t>
        </is>
      </c>
      <c r="B58" s="1" t="n">
        <v>44127</v>
      </c>
      <c r="C58" s="1" t="n">
        <v>45707</v>
      </c>
      <c r="D58" t="inlineStr">
        <is>
          <t>ÖSTERGÖTLANDS LÄN</t>
        </is>
      </c>
      <c r="E58" t="inlineStr">
        <is>
          <t>FINSPÅNG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 aspvedbock</t>
        </is>
      </c>
      <c r="S58">
        <f>HYPERLINK("https://klasma.github.io/Logging_0562/artfynd/A 54832-2020 artfynd.xlsx", "A 54832-2020")</f>
        <v/>
      </c>
      <c r="T58">
        <f>HYPERLINK("https://klasma.github.io/Logging_0562/kartor/A 54832-2020 karta.png", "A 54832-2020")</f>
        <v/>
      </c>
      <c r="V58">
        <f>HYPERLINK("https://klasma.github.io/Logging_0562/klagomål/A 54832-2020 FSC-klagomål.docx", "A 54832-2020")</f>
        <v/>
      </c>
      <c r="W58">
        <f>HYPERLINK("https://klasma.github.io/Logging_0562/klagomålsmail/A 54832-2020 FSC-klagomål mail.docx", "A 54832-2020")</f>
        <v/>
      </c>
      <c r="X58">
        <f>HYPERLINK("https://klasma.github.io/Logging_0562/tillsyn/A 54832-2020 tillsynsbegäran.docx", "A 54832-2020")</f>
        <v/>
      </c>
      <c r="Y58">
        <f>HYPERLINK("https://klasma.github.io/Logging_0562/tillsynsmail/A 54832-2020 tillsynsbegäran mail.docx", "A 54832-2020")</f>
        <v/>
      </c>
    </row>
    <row r="59" ht="15" customHeight="1">
      <c r="A59" t="inlineStr">
        <is>
          <t>A 5534-2021</t>
        </is>
      </c>
      <c r="B59" s="1" t="n">
        <v>44230</v>
      </c>
      <c r="C59" s="1" t="n">
        <v>45707</v>
      </c>
      <c r="D59" t="inlineStr">
        <is>
          <t>ÖSTERGÖTLANDS LÄN</t>
        </is>
      </c>
      <c r="E59" t="inlineStr">
        <is>
          <t>FINSPÅNG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HYPERLINK("https://klasma.github.io/Logging_0562/artfynd/A 5534-2021 artfynd.xlsx", "A 5534-2021")</f>
        <v/>
      </c>
      <c r="T59">
        <f>HYPERLINK("https://klasma.github.io/Logging_0562/kartor/A 5534-2021 karta.png", "A 5534-2021")</f>
        <v/>
      </c>
      <c r="V59">
        <f>HYPERLINK("https://klasma.github.io/Logging_0562/klagomål/A 5534-2021 FSC-klagomål.docx", "A 5534-2021")</f>
        <v/>
      </c>
      <c r="W59">
        <f>HYPERLINK("https://klasma.github.io/Logging_0562/klagomålsmail/A 5534-2021 FSC-klagomål mail.docx", "A 5534-2021")</f>
        <v/>
      </c>
      <c r="X59">
        <f>HYPERLINK("https://klasma.github.io/Logging_0562/tillsyn/A 5534-2021 tillsynsbegäran.docx", "A 5534-2021")</f>
        <v/>
      </c>
      <c r="Y59">
        <f>HYPERLINK("https://klasma.github.io/Logging_0562/tillsynsmail/A 5534-2021 tillsynsbegäran mail.docx", "A 5534-2021")</f>
        <v/>
      </c>
      <c r="Z59">
        <f>HYPERLINK("https://klasma.github.io/Logging_0562/fåglar/A 5534-2021 prioriterade fågelarter.docx", "A 5534-2021")</f>
        <v/>
      </c>
    </row>
    <row r="60" ht="15" customHeight="1">
      <c r="A60" t="inlineStr">
        <is>
          <t>A 12446-2021</t>
        </is>
      </c>
      <c r="B60" s="1" t="n">
        <v>44267</v>
      </c>
      <c r="C60" s="1" t="n">
        <v>45707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4.6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HYPERLINK("https://klasma.github.io/Logging_0562/artfynd/A 12446-2021 artfynd.xlsx", "A 12446-2021")</f>
        <v/>
      </c>
      <c r="T60">
        <f>HYPERLINK("https://klasma.github.io/Logging_0562/kartor/A 12446-2021 karta.png", "A 12446-2021")</f>
        <v/>
      </c>
      <c r="V60">
        <f>HYPERLINK("https://klasma.github.io/Logging_0562/klagomål/A 12446-2021 FSC-klagomål.docx", "A 12446-2021")</f>
        <v/>
      </c>
      <c r="W60">
        <f>HYPERLINK("https://klasma.github.io/Logging_0562/klagomålsmail/A 12446-2021 FSC-klagomål mail.docx", "A 12446-2021")</f>
        <v/>
      </c>
      <c r="X60">
        <f>HYPERLINK("https://klasma.github.io/Logging_0562/tillsyn/A 12446-2021 tillsynsbegäran.docx", "A 12446-2021")</f>
        <v/>
      </c>
      <c r="Y60">
        <f>HYPERLINK("https://klasma.github.io/Logging_0562/tillsynsmail/A 12446-2021 tillsynsbegäran mail.docx", "A 12446-2021")</f>
        <v/>
      </c>
    </row>
    <row r="61" ht="15" customHeight="1">
      <c r="A61" t="inlineStr">
        <is>
          <t>A 16747-2021</t>
        </is>
      </c>
      <c r="B61" s="1" t="n">
        <v>44294</v>
      </c>
      <c r="C61" s="1" t="n">
        <v>45707</v>
      </c>
      <c r="D61" t="inlineStr">
        <is>
          <t>ÖSTERGÖTLANDS LÄN</t>
        </is>
      </c>
      <c r="E61" t="inlineStr">
        <is>
          <t>FINSPÅNG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HYPERLINK("https://klasma.github.io/Logging_0562/artfynd/A 16747-2021 artfynd.xlsx", "A 16747-2021")</f>
        <v/>
      </c>
      <c r="T61">
        <f>HYPERLINK("https://klasma.github.io/Logging_0562/kartor/A 16747-2021 karta.png", "A 16747-2021")</f>
        <v/>
      </c>
      <c r="V61">
        <f>HYPERLINK("https://klasma.github.io/Logging_0562/klagomål/A 16747-2021 FSC-klagomål.docx", "A 16747-2021")</f>
        <v/>
      </c>
      <c r="W61">
        <f>HYPERLINK("https://klasma.github.io/Logging_0562/klagomålsmail/A 16747-2021 FSC-klagomål mail.docx", "A 16747-2021")</f>
        <v/>
      </c>
      <c r="X61">
        <f>HYPERLINK("https://klasma.github.io/Logging_0562/tillsyn/A 16747-2021 tillsynsbegäran.docx", "A 16747-2021")</f>
        <v/>
      </c>
      <c r="Y61">
        <f>HYPERLINK("https://klasma.github.io/Logging_0562/tillsynsmail/A 16747-2021 tillsynsbegäran mail.docx", "A 16747-2021")</f>
        <v/>
      </c>
    </row>
    <row r="62" ht="15" customHeight="1">
      <c r="A62" t="inlineStr">
        <is>
          <t>A 38056-2021</t>
        </is>
      </c>
      <c r="B62" s="1" t="n">
        <v>44404</v>
      </c>
      <c r="C62" s="1" t="n">
        <v>45707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HYPERLINK("https://klasma.github.io/Logging_0562/artfynd/A 38056-2021 artfynd.xlsx", "A 38056-2021")</f>
        <v/>
      </c>
      <c r="T62">
        <f>HYPERLINK("https://klasma.github.io/Logging_0562/kartor/A 38056-2021 karta.png", "A 38056-2021")</f>
        <v/>
      </c>
      <c r="V62">
        <f>HYPERLINK("https://klasma.github.io/Logging_0562/klagomål/A 38056-2021 FSC-klagomål.docx", "A 38056-2021")</f>
        <v/>
      </c>
      <c r="W62">
        <f>HYPERLINK("https://klasma.github.io/Logging_0562/klagomålsmail/A 38056-2021 FSC-klagomål mail.docx", "A 38056-2021")</f>
        <v/>
      </c>
      <c r="X62">
        <f>HYPERLINK("https://klasma.github.io/Logging_0562/tillsyn/A 38056-2021 tillsynsbegäran.docx", "A 38056-2021")</f>
        <v/>
      </c>
      <c r="Y62">
        <f>HYPERLINK("https://klasma.github.io/Logging_0562/tillsynsmail/A 38056-2021 tillsynsbegäran mail.docx", "A 38056-2021")</f>
        <v/>
      </c>
    </row>
    <row r="63" ht="15" customHeight="1">
      <c r="A63" t="inlineStr">
        <is>
          <t>A 68414-2021</t>
        </is>
      </c>
      <c r="B63" s="1" t="n">
        <v>44529</v>
      </c>
      <c r="C63" s="1" t="n">
        <v>45707</v>
      </c>
      <c r="D63" t="inlineStr">
        <is>
          <t>ÖSTERGÖTLANDS LÄN</t>
        </is>
      </c>
      <c r="E63" t="inlineStr">
        <is>
          <t>FINSPÅNG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68414-2021 artfynd.xlsx", "A 68414-2021")</f>
        <v/>
      </c>
      <c r="T63">
        <f>HYPERLINK("https://klasma.github.io/Logging_0562/kartor/A 68414-2021 karta.png", "A 68414-2021")</f>
        <v/>
      </c>
      <c r="V63">
        <f>HYPERLINK("https://klasma.github.io/Logging_0562/klagomål/A 68414-2021 FSC-klagomål.docx", "A 68414-2021")</f>
        <v/>
      </c>
      <c r="W63">
        <f>HYPERLINK("https://klasma.github.io/Logging_0562/klagomålsmail/A 68414-2021 FSC-klagomål mail.docx", "A 68414-2021")</f>
        <v/>
      </c>
      <c r="X63">
        <f>HYPERLINK("https://klasma.github.io/Logging_0562/tillsyn/A 68414-2021 tillsynsbegäran.docx", "A 68414-2021")</f>
        <v/>
      </c>
      <c r="Y63">
        <f>HYPERLINK("https://klasma.github.io/Logging_0562/tillsynsmail/A 68414-2021 tillsynsbegäran mail.docx", "A 68414-2021")</f>
        <v/>
      </c>
    </row>
    <row r="64" ht="15" customHeight="1">
      <c r="A64" t="inlineStr">
        <is>
          <t>A 6035-2022</t>
        </is>
      </c>
      <c r="B64" s="1" t="n">
        <v>44599</v>
      </c>
      <c r="C64" s="1" t="n">
        <v>45707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Naturvårdsverket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Bred kärrtrollslända</t>
        </is>
      </c>
      <c r="S64">
        <f>HYPERLINK("https://klasma.github.io/Logging_0562/artfynd/A 6035-2022 artfynd.xlsx", "A 6035-2022")</f>
        <v/>
      </c>
      <c r="T64">
        <f>HYPERLINK("https://klasma.github.io/Logging_0562/kartor/A 6035-2022 karta.png", "A 6035-2022")</f>
        <v/>
      </c>
      <c r="V64">
        <f>HYPERLINK("https://klasma.github.io/Logging_0562/klagomål/A 6035-2022 FSC-klagomål.docx", "A 6035-2022")</f>
        <v/>
      </c>
      <c r="W64">
        <f>HYPERLINK("https://klasma.github.io/Logging_0562/klagomålsmail/A 6035-2022 FSC-klagomål mail.docx", "A 6035-2022")</f>
        <v/>
      </c>
      <c r="X64">
        <f>HYPERLINK("https://klasma.github.io/Logging_0562/tillsyn/A 6035-2022 tillsynsbegäran.docx", "A 6035-2022")</f>
        <v/>
      </c>
      <c r="Y64">
        <f>HYPERLINK("https://klasma.github.io/Logging_0562/tillsynsmail/A 6035-2022 tillsynsbegäran mail.docx", "A 6035-2022")</f>
        <v/>
      </c>
    </row>
    <row r="65" ht="15" customHeight="1">
      <c r="A65" t="inlineStr">
        <is>
          <t>A 10203-2022</t>
        </is>
      </c>
      <c r="B65" s="1" t="n">
        <v>44622</v>
      </c>
      <c r="C65" s="1" t="n">
        <v>45707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17960-2022</t>
        </is>
      </c>
      <c r="B66" s="1" t="n">
        <v>44683</v>
      </c>
      <c r="C66" s="1" t="n">
        <v>45707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HYPERLINK("https://klasma.github.io/Logging_0562/artfynd/A 17960-2022 artfynd.xlsx", "A 17960-2022")</f>
        <v/>
      </c>
      <c r="T66">
        <f>HYPERLINK("https://klasma.github.io/Logging_0562/kartor/A 17960-2022 karta.png", "A 17960-2022")</f>
        <v/>
      </c>
      <c r="V66">
        <f>HYPERLINK("https://klasma.github.io/Logging_0562/klagomål/A 17960-2022 FSC-klagomål.docx", "A 17960-2022")</f>
        <v/>
      </c>
      <c r="W66">
        <f>HYPERLINK("https://klasma.github.io/Logging_0562/klagomålsmail/A 17960-2022 FSC-klagomål mail.docx", "A 17960-2022")</f>
        <v/>
      </c>
      <c r="X66">
        <f>HYPERLINK("https://klasma.github.io/Logging_0562/tillsyn/A 17960-2022 tillsynsbegäran.docx", "A 17960-2022")</f>
        <v/>
      </c>
      <c r="Y66">
        <f>HYPERLINK("https://klasma.github.io/Logging_0562/tillsynsmail/A 17960-2022 tillsynsbegäran mail.docx", "A 17960-2022")</f>
        <v/>
      </c>
    </row>
    <row r="67" ht="15" customHeight="1">
      <c r="A67" t="inlineStr">
        <is>
          <t>A 29467-2022</t>
        </is>
      </c>
      <c r="B67" s="1" t="n">
        <v>44753</v>
      </c>
      <c r="C67" s="1" t="n">
        <v>45707</v>
      </c>
      <c r="D67" t="inlineStr">
        <is>
          <t>ÖSTERGÖTLANDS LÄN</t>
        </is>
      </c>
      <c r="E67" t="inlineStr">
        <is>
          <t>FINSPÅNG</t>
        </is>
      </c>
      <c r="G67" t="n">
        <v>4.4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HYPERLINK("https://klasma.github.io/Logging_0562/artfynd/A 29467-2022 artfynd.xlsx", "A 29467-2022")</f>
        <v/>
      </c>
      <c r="T67">
        <f>HYPERLINK("https://klasma.github.io/Logging_0562/kartor/A 29467-2022 karta.png", "A 29467-2022")</f>
        <v/>
      </c>
      <c r="V67">
        <f>HYPERLINK("https://klasma.github.io/Logging_0562/klagomål/A 29467-2022 FSC-klagomål.docx", "A 29467-2022")</f>
        <v/>
      </c>
      <c r="W67">
        <f>HYPERLINK("https://klasma.github.io/Logging_0562/klagomålsmail/A 29467-2022 FSC-klagomål mail.docx", "A 29467-2022")</f>
        <v/>
      </c>
      <c r="X67">
        <f>HYPERLINK("https://klasma.github.io/Logging_0562/tillsyn/A 29467-2022 tillsynsbegäran.docx", "A 29467-2022")</f>
        <v/>
      </c>
      <c r="Y67">
        <f>HYPERLINK("https://klasma.github.io/Logging_0562/tillsynsmail/A 29467-2022 tillsynsbegäran mail.docx", "A 29467-2022")</f>
        <v/>
      </c>
    </row>
    <row r="68" ht="15" customHeight="1">
      <c r="A68" t="inlineStr">
        <is>
          <t>A 31750-2022</t>
        </is>
      </c>
      <c r="B68" s="1" t="n">
        <v>44776</v>
      </c>
      <c r="C68" s="1" t="n">
        <v>45707</v>
      </c>
      <c r="D68" t="inlineStr">
        <is>
          <t>ÖSTERGÖTLANDS LÄN</t>
        </is>
      </c>
      <c r="E68" t="inlineStr">
        <is>
          <t>FINSPÅNG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HYPERLINK("https://klasma.github.io/Logging_0562/artfynd/A 31750-2022 artfynd.xlsx", "A 31750-2022")</f>
        <v/>
      </c>
      <c r="T68">
        <f>HYPERLINK("https://klasma.github.io/Logging_0562/kartor/A 31750-2022 karta.png", "A 31750-2022")</f>
        <v/>
      </c>
      <c r="V68">
        <f>HYPERLINK("https://klasma.github.io/Logging_0562/klagomål/A 31750-2022 FSC-klagomål.docx", "A 31750-2022")</f>
        <v/>
      </c>
      <c r="W68">
        <f>HYPERLINK("https://klasma.github.io/Logging_0562/klagomålsmail/A 31750-2022 FSC-klagomål mail.docx", "A 31750-2022")</f>
        <v/>
      </c>
      <c r="X68">
        <f>HYPERLINK("https://klasma.github.io/Logging_0562/tillsyn/A 31750-2022 tillsynsbegäran.docx", "A 31750-2022")</f>
        <v/>
      </c>
      <c r="Y68">
        <f>HYPERLINK("https://klasma.github.io/Logging_0562/tillsynsmail/A 31750-2022 tillsynsbegäran mail.docx", "A 31750-2022")</f>
        <v/>
      </c>
    </row>
    <row r="69" ht="15" customHeight="1">
      <c r="A69" t="inlineStr">
        <is>
          <t>A 45256-2022</t>
        </is>
      </c>
      <c r="B69" s="1" t="n">
        <v>44840</v>
      </c>
      <c r="C69" s="1" t="n">
        <v>45707</v>
      </c>
      <c r="D69" t="inlineStr">
        <is>
          <t>ÖSTERGÖTLANDS LÄN</t>
        </is>
      </c>
      <c r="E69" t="inlineStr">
        <is>
          <t>FINSPÅNG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 hagfibbla</t>
        </is>
      </c>
      <c r="S69">
        <f>HYPERLINK("https://klasma.github.io/Logging_0562/artfynd/A 45256-2022 artfynd.xlsx", "A 45256-2022")</f>
        <v/>
      </c>
      <c r="T69">
        <f>HYPERLINK("https://klasma.github.io/Logging_0562/kartor/A 45256-2022 karta.png", "A 45256-2022")</f>
        <v/>
      </c>
      <c r="V69">
        <f>HYPERLINK("https://klasma.github.io/Logging_0562/klagomål/A 45256-2022 FSC-klagomål.docx", "A 45256-2022")</f>
        <v/>
      </c>
      <c r="W69">
        <f>HYPERLINK("https://klasma.github.io/Logging_0562/klagomålsmail/A 45256-2022 FSC-klagomål mail.docx", "A 45256-2022")</f>
        <v/>
      </c>
      <c r="X69">
        <f>HYPERLINK("https://klasma.github.io/Logging_0562/tillsyn/A 45256-2022 tillsynsbegäran.docx", "A 45256-2022")</f>
        <v/>
      </c>
      <c r="Y69">
        <f>HYPERLINK("https://klasma.github.io/Logging_0562/tillsynsmail/A 45256-2022 tillsynsbegäran mail.docx", "A 45256-2022")</f>
        <v/>
      </c>
    </row>
    <row r="70" ht="15" customHeight="1">
      <c r="A70" t="inlineStr">
        <is>
          <t>A 61104-2022</t>
        </is>
      </c>
      <c r="B70" s="1" t="n">
        <v>44915</v>
      </c>
      <c r="C70" s="1" t="n">
        <v>45707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HYPERLINK("https://klasma.github.io/Logging_0562/artfynd/A 61104-2022 artfynd.xlsx", "A 61104-2022")</f>
        <v/>
      </c>
      <c r="T70">
        <f>HYPERLINK("https://klasma.github.io/Logging_0562/kartor/A 61104-2022 karta.png", "A 61104-2022")</f>
        <v/>
      </c>
      <c r="V70">
        <f>HYPERLINK("https://klasma.github.io/Logging_0562/klagomål/A 61104-2022 FSC-klagomål.docx", "A 61104-2022")</f>
        <v/>
      </c>
      <c r="W70">
        <f>HYPERLINK("https://klasma.github.io/Logging_0562/klagomålsmail/A 61104-2022 FSC-klagomål mail.docx", "A 61104-2022")</f>
        <v/>
      </c>
      <c r="X70">
        <f>HYPERLINK("https://klasma.github.io/Logging_0562/tillsyn/A 61104-2022 tillsynsbegäran.docx", "A 61104-2022")</f>
        <v/>
      </c>
      <c r="Y70">
        <f>HYPERLINK("https://klasma.github.io/Logging_0562/tillsynsmail/A 61104-2022 tillsynsbegäran mail.docx", "A 61104-2022")</f>
        <v/>
      </c>
    </row>
    <row r="71" ht="15" customHeight="1">
      <c r="A71" t="inlineStr">
        <is>
          <t>A 663-2023</t>
        </is>
      </c>
      <c r="B71" s="1" t="n">
        <v>44930</v>
      </c>
      <c r="C71" s="1" t="n">
        <v>45707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HYPERLINK("https://klasma.github.io/Logging_0562/artfynd/A 663-2023 artfynd.xlsx", "A 663-2023")</f>
        <v/>
      </c>
      <c r="T71">
        <f>HYPERLINK("https://klasma.github.io/Logging_0562/kartor/A 663-2023 karta.png", "A 663-2023")</f>
        <v/>
      </c>
      <c r="V71">
        <f>HYPERLINK("https://klasma.github.io/Logging_0562/klagomål/A 663-2023 FSC-klagomål.docx", "A 663-2023")</f>
        <v/>
      </c>
      <c r="W71">
        <f>HYPERLINK("https://klasma.github.io/Logging_0562/klagomålsmail/A 663-2023 FSC-klagomål mail.docx", "A 663-2023")</f>
        <v/>
      </c>
      <c r="X71">
        <f>HYPERLINK("https://klasma.github.io/Logging_0562/tillsyn/A 663-2023 tillsynsbegäran.docx", "A 663-2023")</f>
        <v/>
      </c>
      <c r="Y71">
        <f>HYPERLINK("https://klasma.github.io/Logging_0562/tillsynsmail/A 663-2023 tillsynsbegäran mail.docx", "A 663-2023")</f>
        <v/>
      </c>
    </row>
    <row r="72" ht="15" customHeight="1">
      <c r="A72" t="inlineStr">
        <is>
          <t>A 3088-2023</t>
        </is>
      </c>
      <c r="B72" s="1" t="n">
        <v>44946</v>
      </c>
      <c r="C72" s="1" t="n">
        <v>45707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3088-2023 artfynd.xlsx", "A 3088-2023")</f>
        <v/>
      </c>
      <c r="T72">
        <f>HYPERLINK("https://klasma.github.io/Logging_0562/kartor/A 3088-2023 karta.png", "A 3088-2023")</f>
        <v/>
      </c>
      <c r="V72">
        <f>HYPERLINK("https://klasma.github.io/Logging_0562/klagomål/A 3088-2023 FSC-klagomål.docx", "A 3088-2023")</f>
        <v/>
      </c>
      <c r="W72">
        <f>HYPERLINK("https://klasma.github.io/Logging_0562/klagomålsmail/A 3088-2023 FSC-klagomål mail.docx", "A 3088-2023")</f>
        <v/>
      </c>
      <c r="X72">
        <f>HYPERLINK("https://klasma.github.io/Logging_0562/tillsyn/A 3088-2023 tillsynsbegäran.docx", "A 3088-2023")</f>
        <v/>
      </c>
      <c r="Y72">
        <f>HYPERLINK("https://klasma.github.io/Logging_0562/tillsynsmail/A 3088-2023 tillsynsbegäran mail.docx", "A 3088-2023")</f>
        <v/>
      </c>
    </row>
    <row r="73" ht="15" customHeight="1">
      <c r="A73" t="inlineStr">
        <is>
          <t>A 3096-2023</t>
        </is>
      </c>
      <c r="B73" s="1" t="n">
        <v>44946</v>
      </c>
      <c r="C73" s="1" t="n">
        <v>45707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Guldsandbi</t>
        </is>
      </c>
      <c r="S73">
        <f>HYPERLINK("https://klasma.github.io/Logging_0562/artfynd/A 3096-2023 artfynd.xlsx", "A 3096-2023")</f>
        <v/>
      </c>
      <c r="T73">
        <f>HYPERLINK("https://klasma.github.io/Logging_0562/kartor/A 3096-2023 karta.png", "A 3096-2023")</f>
        <v/>
      </c>
      <c r="V73">
        <f>HYPERLINK("https://klasma.github.io/Logging_0562/klagomål/A 3096-2023 FSC-klagomål.docx", "A 3096-2023")</f>
        <v/>
      </c>
      <c r="W73">
        <f>HYPERLINK("https://klasma.github.io/Logging_0562/klagomålsmail/A 3096-2023 FSC-klagomål mail.docx", "A 3096-2023")</f>
        <v/>
      </c>
      <c r="X73">
        <f>HYPERLINK("https://klasma.github.io/Logging_0562/tillsyn/A 3096-2023 tillsynsbegäran.docx", "A 3096-2023")</f>
        <v/>
      </c>
      <c r="Y73">
        <f>HYPERLINK("https://klasma.github.io/Logging_0562/tillsynsmail/A 3096-2023 tillsynsbegäran mail.docx", "A 3096-2023")</f>
        <v/>
      </c>
    </row>
    <row r="74" ht="15" customHeight="1">
      <c r="A74" t="inlineStr">
        <is>
          <t>A 6707-2023</t>
        </is>
      </c>
      <c r="B74" s="1" t="n">
        <v>44966</v>
      </c>
      <c r="C74" s="1" t="n">
        <v>45707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HYPERLINK("https://klasma.github.io/Logging_0562/artfynd/A 6707-2023 artfynd.xlsx", "A 6707-2023")</f>
        <v/>
      </c>
      <c r="T74">
        <f>HYPERLINK("https://klasma.github.io/Logging_0562/kartor/A 6707-2023 karta.png", "A 6707-2023")</f>
        <v/>
      </c>
      <c r="V74">
        <f>HYPERLINK("https://klasma.github.io/Logging_0562/klagomål/A 6707-2023 FSC-klagomål.docx", "A 6707-2023")</f>
        <v/>
      </c>
      <c r="W74">
        <f>HYPERLINK("https://klasma.github.io/Logging_0562/klagomålsmail/A 6707-2023 FSC-klagomål mail.docx", "A 6707-2023")</f>
        <v/>
      </c>
      <c r="X74">
        <f>HYPERLINK("https://klasma.github.io/Logging_0562/tillsyn/A 6707-2023 tillsynsbegäran.docx", "A 6707-2023")</f>
        <v/>
      </c>
      <c r="Y74">
        <f>HYPERLINK("https://klasma.github.io/Logging_0562/tillsynsmail/A 6707-2023 tillsynsbegäran mail.docx", "A 6707-2023")</f>
        <v/>
      </c>
    </row>
    <row r="75" ht="15" customHeight="1">
      <c r="A75" t="inlineStr">
        <is>
          <t>A 6729-2023</t>
        </is>
      </c>
      <c r="B75" s="1" t="n">
        <v>44966</v>
      </c>
      <c r="C75" s="1" t="n">
        <v>45707</v>
      </c>
      <c r="D75" t="inlineStr">
        <is>
          <t>ÖSTERGÖTLANDS LÄN</t>
        </is>
      </c>
      <c r="E75" t="inlineStr">
        <is>
          <t>FINSPÅNG</t>
        </is>
      </c>
      <c r="G75" t="n">
        <v>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HYPERLINK("https://klasma.github.io/Logging_0562/artfynd/A 6729-2023 artfynd.xlsx", "A 6729-2023")</f>
        <v/>
      </c>
      <c r="T75">
        <f>HYPERLINK("https://klasma.github.io/Logging_0562/kartor/A 6729-2023 karta.png", "A 6729-2023")</f>
        <v/>
      </c>
      <c r="V75">
        <f>HYPERLINK("https://klasma.github.io/Logging_0562/klagomål/A 6729-2023 FSC-klagomål.docx", "A 6729-2023")</f>
        <v/>
      </c>
      <c r="W75">
        <f>HYPERLINK("https://klasma.github.io/Logging_0562/klagomålsmail/A 6729-2023 FSC-klagomål mail.docx", "A 6729-2023")</f>
        <v/>
      </c>
      <c r="X75">
        <f>HYPERLINK("https://klasma.github.io/Logging_0562/tillsyn/A 6729-2023 tillsynsbegäran.docx", "A 6729-2023")</f>
        <v/>
      </c>
      <c r="Y75">
        <f>HYPERLINK("https://klasma.github.io/Logging_0562/tillsynsmail/A 6729-2023 tillsynsbegäran mail.docx", "A 6729-2023")</f>
        <v/>
      </c>
    </row>
    <row r="76" ht="15" customHeight="1">
      <c r="A76" t="inlineStr">
        <is>
          <t>A 19404-2023</t>
        </is>
      </c>
      <c r="B76" s="1" t="n">
        <v>45049</v>
      </c>
      <c r="C76" s="1" t="n">
        <v>45707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Naturvårdsverket</t>
        </is>
      </c>
      <c r="G76" t="n">
        <v>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HYPERLINK("https://klasma.github.io/Logging_0562/artfynd/A 19404-2023 artfynd.xlsx", "A 19404-2023")</f>
        <v/>
      </c>
      <c r="T76">
        <f>HYPERLINK("https://klasma.github.io/Logging_0562/kartor/A 19404-2023 karta.png", "A 19404-2023")</f>
        <v/>
      </c>
      <c r="V76">
        <f>HYPERLINK("https://klasma.github.io/Logging_0562/klagomål/A 19404-2023 FSC-klagomål.docx", "A 19404-2023")</f>
        <v/>
      </c>
      <c r="W76">
        <f>HYPERLINK("https://klasma.github.io/Logging_0562/klagomålsmail/A 19404-2023 FSC-klagomål mail.docx", "A 19404-2023")</f>
        <v/>
      </c>
      <c r="X76">
        <f>HYPERLINK("https://klasma.github.io/Logging_0562/tillsyn/A 19404-2023 tillsynsbegäran.docx", "A 19404-2023")</f>
        <v/>
      </c>
      <c r="Y76">
        <f>HYPERLINK("https://klasma.github.io/Logging_0562/tillsynsmail/A 19404-2023 tillsynsbegäran mail.docx", "A 19404-2023")</f>
        <v/>
      </c>
    </row>
    <row r="77" ht="15" customHeight="1">
      <c r="A77" t="inlineStr">
        <is>
          <t>A 24411-2023</t>
        </is>
      </c>
      <c r="B77" s="1" t="n">
        <v>45082</v>
      </c>
      <c r="C77" s="1" t="n">
        <v>45707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HYPERLINK("https://klasma.github.io/Logging_0562/artfynd/A 24411-2023 artfynd.xlsx", "A 24411-2023")</f>
        <v/>
      </c>
      <c r="T77">
        <f>HYPERLINK("https://klasma.github.io/Logging_0562/kartor/A 24411-2023 karta.png", "A 24411-2023")</f>
        <v/>
      </c>
      <c r="V77">
        <f>HYPERLINK("https://klasma.github.io/Logging_0562/klagomål/A 24411-2023 FSC-klagomål.docx", "A 24411-2023")</f>
        <v/>
      </c>
      <c r="W77">
        <f>HYPERLINK("https://klasma.github.io/Logging_0562/klagomålsmail/A 24411-2023 FSC-klagomål mail.docx", "A 24411-2023")</f>
        <v/>
      </c>
      <c r="X77">
        <f>HYPERLINK("https://klasma.github.io/Logging_0562/tillsyn/A 24411-2023 tillsynsbegäran.docx", "A 24411-2023")</f>
        <v/>
      </c>
      <c r="Y77">
        <f>HYPERLINK("https://klasma.github.io/Logging_0562/tillsynsmail/A 24411-2023 tillsynsbegäran mail.docx", "A 24411-2023")</f>
        <v/>
      </c>
    </row>
    <row r="78" ht="15" customHeight="1">
      <c r="A78" t="inlineStr">
        <is>
          <t>A 32570-2023</t>
        </is>
      </c>
      <c r="B78" s="1" t="n">
        <v>45121</v>
      </c>
      <c r="C78" s="1" t="n">
        <v>45707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7.7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HYPERLINK("https://klasma.github.io/Logging_0562/artfynd/A 32570-2023 artfynd.xlsx", "A 32570-2023")</f>
        <v/>
      </c>
      <c r="T78">
        <f>HYPERLINK("https://klasma.github.io/Logging_0562/kartor/A 32570-2023 karta.png", "A 32570-2023")</f>
        <v/>
      </c>
      <c r="V78">
        <f>HYPERLINK("https://klasma.github.io/Logging_0562/klagomål/A 32570-2023 FSC-klagomål.docx", "A 32570-2023")</f>
        <v/>
      </c>
      <c r="W78">
        <f>HYPERLINK("https://klasma.github.io/Logging_0562/klagomålsmail/A 32570-2023 FSC-klagomål mail.docx", "A 32570-2023")</f>
        <v/>
      </c>
      <c r="X78">
        <f>HYPERLINK("https://klasma.github.io/Logging_0562/tillsyn/A 32570-2023 tillsynsbegäran.docx", "A 32570-2023")</f>
        <v/>
      </c>
      <c r="Y78">
        <f>HYPERLINK("https://klasma.github.io/Logging_0562/tillsynsmail/A 32570-2023 tillsynsbegäran mail.docx", "A 32570-2023")</f>
        <v/>
      </c>
      <c r="Z78">
        <f>HYPERLINK("https://klasma.github.io/Logging_0562/fåglar/A 32570-2023 prioriterade fågelarter.docx", "A 32570-2023")</f>
        <v/>
      </c>
    </row>
    <row r="79" ht="15" customHeight="1">
      <c r="A79" t="inlineStr">
        <is>
          <t>A 34115-2023</t>
        </is>
      </c>
      <c r="B79" s="1" t="n">
        <v>45135</v>
      </c>
      <c r="C79" s="1" t="n">
        <v>45707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4.8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HYPERLINK("https://klasma.github.io/Logging_0562/artfynd/A 34115-2023 artfynd.xlsx", "A 34115-2023")</f>
        <v/>
      </c>
      <c r="T79">
        <f>HYPERLINK("https://klasma.github.io/Logging_0562/kartor/A 34115-2023 karta.png", "A 34115-2023")</f>
        <v/>
      </c>
      <c r="V79">
        <f>HYPERLINK("https://klasma.github.io/Logging_0562/klagomål/A 34115-2023 FSC-klagomål.docx", "A 34115-2023")</f>
        <v/>
      </c>
      <c r="W79">
        <f>HYPERLINK("https://klasma.github.io/Logging_0562/klagomålsmail/A 34115-2023 FSC-klagomål mail.docx", "A 34115-2023")</f>
        <v/>
      </c>
      <c r="X79">
        <f>HYPERLINK("https://klasma.github.io/Logging_0562/tillsyn/A 34115-2023 tillsynsbegäran.docx", "A 34115-2023")</f>
        <v/>
      </c>
      <c r="Y79">
        <f>HYPERLINK("https://klasma.github.io/Logging_0562/tillsynsmail/A 34115-2023 tillsynsbegäran mail.docx", "A 34115-2023")</f>
        <v/>
      </c>
      <c r="Z79">
        <f>HYPERLINK("https://klasma.github.io/Logging_0562/fåglar/A 34115-2023 prioriterade fågelarter.docx", "A 34115-2023")</f>
        <v/>
      </c>
    </row>
    <row r="80" ht="15" customHeight="1">
      <c r="A80" t="inlineStr">
        <is>
          <t>A 53265-2023</t>
        </is>
      </c>
      <c r="B80" s="1" t="n">
        <v>45229</v>
      </c>
      <c r="C80" s="1" t="n">
        <v>45707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HYPERLINK("https://klasma.github.io/Logging_0562/artfynd/A 53265-2023 artfynd.xlsx", "A 53265-2023")</f>
        <v/>
      </c>
      <c r="T80">
        <f>HYPERLINK("https://klasma.github.io/Logging_0562/kartor/A 53265-2023 karta.png", "A 53265-2023")</f>
        <v/>
      </c>
      <c r="V80">
        <f>HYPERLINK("https://klasma.github.io/Logging_0562/klagomål/A 53265-2023 FSC-klagomål.docx", "A 53265-2023")</f>
        <v/>
      </c>
      <c r="W80">
        <f>HYPERLINK("https://klasma.github.io/Logging_0562/klagomålsmail/A 53265-2023 FSC-klagomål mail.docx", "A 53265-2023")</f>
        <v/>
      </c>
      <c r="X80">
        <f>HYPERLINK("https://klasma.github.io/Logging_0562/tillsyn/A 53265-2023 tillsynsbegäran.docx", "A 53265-2023")</f>
        <v/>
      </c>
      <c r="Y80">
        <f>HYPERLINK("https://klasma.github.io/Logging_0562/tillsynsmail/A 53265-2023 tillsynsbegäran mail.docx", "A 53265-2023")</f>
        <v/>
      </c>
    </row>
    <row r="81" ht="15" customHeight="1">
      <c r="A81" t="inlineStr">
        <is>
          <t>A 54379-2023</t>
        </is>
      </c>
      <c r="B81" s="1" t="n">
        <v>45233</v>
      </c>
      <c r="C81" s="1" t="n">
        <v>45707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Flagellkvastmossa</t>
        </is>
      </c>
      <c r="S81">
        <f>HYPERLINK("https://klasma.github.io/Logging_0562/artfynd/A 54379-2023 artfynd.xlsx", "A 54379-2023")</f>
        <v/>
      </c>
      <c r="T81">
        <f>HYPERLINK("https://klasma.github.io/Logging_0562/kartor/A 54379-2023 karta.png", "A 54379-2023")</f>
        <v/>
      </c>
      <c r="V81">
        <f>HYPERLINK("https://klasma.github.io/Logging_0562/klagomål/A 54379-2023 FSC-klagomål.docx", "A 54379-2023")</f>
        <v/>
      </c>
      <c r="W81">
        <f>HYPERLINK("https://klasma.github.io/Logging_0562/klagomålsmail/A 54379-2023 FSC-klagomål mail.docx", "A 54379-2023")</f>
        <v/>
      </c>
      <c r="X81">
        <f>HYPERLINK("https://klasma.github.io/Logging_0562/tillsyn/A 54379-2023 tillsynsbegäran.docx", "A 54379-2023")</f>
        <v/>
      </c>
      <c r="Y81">
        <f>HYPERLINK("https://klasma.github.io/Logging_0562/tillsynsmail/A 54379-2023 tillsynsbegäran mail.docx", "A 54379-2023")</f>
        <v/>
      </c>
    </row>
    <row r="82" ht="15" customHeight="1">
      <c r="A82" t="inlineStr">
        <is>
          <t>A 54756-2023</t>
        </is>
      </c>
      <c r="B82" s="1" t="n">
        <v>45236</v>
      </c>
      <c r="C82" s="1" t="n">
        <v>45707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1.9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HYPERLINK("https://klasma.github.io/Logging_0562/artfynd/A 54756-2023 artfynd.xlsx", "A 54756-2023")</f>
        <v/>
      </c>
      <c r="T82">
        <f>HYPERLINK("https://klasma.github.io/Logging_0562/kartor/A 54756-2023 karta.png", "A 54756-2023")</f>
        <v/>
      </c>
      <c r="V82">
        <f>HYPERLINK("https://klasma.github.io/Logging_0562/klagomål/A 54756-2023 FSC-klagomål.docx", "A 54756-2023")</f>
        <v/>
      </c>
      <c r="W82">
        <f>HYPERLINK("https://klasma.github.io/Logging_0562/klagomålsmail/A 54756-2023 FSC-klagomål mail.docx", "A 54756-2023")</f>
        <v/>
      </c>
      <c r="X82">
        <f>HYPERLINK("https://klasma.github.io/Logging_0562/tillsyn/A 54756-2023 tillsynsbegäran.docx", "A 54756-2023")</f>
        <v/>
      </c>
      <c r="Y82">
        <f>HYPERLINK("https://klasma.github.io/Logging_0562/tillsynsmail/A 54756-2023 tillsynsbegäran mail.docx", "A 54756-2023")</f>
        <v/>
      </c>
      <c r="Z82">
        <f>HYPERLINK("https://klasma.github.io/Logging_0562/fåglar/A 54756-2023 prioriterade fågelarter.docx", "A 54756-2023")</f>
        <v/>
      </c>
    </row>
    <row r="83" ht="15" customHeight="1">
      <c r="A83" t="inlineStr">
        <is>
          <t>A 1177-2024</t>
        </is>
      </c>
      <c r="B83" s="1" t="n">
        <v>45302</v>
      </c>
      <c r="C83" s="1" t="n">
        <v>45707</v>
      </c>
      <c r="D83" t="inlineStr">
        <is>
          <t>ÖSTERGÖTLANDS LÄN</t>
        </is>
      </c>
      <c r="E83" t="inlineStr">
        <is>
          <t>FINSPÅNG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HYPERLINK("https://klasma.github.io/Logging_0562/artfynd/A 1177-2024 artfynd.xlsx", "A 1177-2024")</f>
        <v/>
      </c>
      <c r="T83">
        <f>HYPERLINK("https://klasma.github.io/Logging_0562/kartor/A 1177-2024 karta.png", "A 1177-2024")</f>
        <v/>
      </c>
      <c r="U83">
        <f>HYPERLINK("https://klasma.github.io/Logging_0562/knärot/A 1177-2024 karta knärot.png", "A 1177-2024")</f>
        <v/>
      </c>
      <c r="V83">
        <f>HYPERLINK("https://klasma.github.io/Logging_0562/klagomål/A 1177-2024 FSC-klagomål.docx", "A 1177-2024")</f>
        <v/>
      </c>
      <c r="W83">
        <f>HYPERLINK("https://klasma.github.io/Logging_0562/klagomålsmail/A 1177-2024 FSC-klagomål mail.docx", "A 1177-2024")</f>
        <v/>
      </c>
      <c r="X83">
        <f>HYPERLINK("https://klasma.github.io/Logging_0562/tillsyn/A 1177-2024 tillsynsbegäran.docx", "A 1177-2024")</f>
        <v/>
      </c>
      <c r="Y83">
        <f>HYPERLINK("https://klasma.github.io/Logging_0562/tillsynsmail/A 1177-2024 tillsynsbegäran mail.docx", "A 1177-2024")</f>
        <v/>
      </c>
    </row>
    <row r="84" ht="15" customHeight="1">
      <c r="A84" t="inlineStr">
        <is>
          <t>A 4543-2024</t>
        </is>
      </c>
      <c r="B84" s="1" t="n">
        <v>45327</v>
      </c>
      <c r="C84" s="1" t="n">
        <v>45707</v>
      </c>
      <c r="D84" t="inlineStr">
        <is>
          <t>ÖSTERGÖTLANDS LÄN</t>
        </is>
      </c>
      <c r="E84" t="inlineStr">
        <is>
          <t>FINSPÅNG</t>
        </is>
      </c>
      <c r="G84" t="n">
        <v>12.1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Nätådrig parkmätare</t>
        </is>
      </c>
      <c r="S84">
        <f>HYPERLINK("https://klasma.github.io/Logging_0562/artfynd/A 4543-2024 artfynd.xlsx", "A 4543-2024")</f>
        <v/>
      </c>
      <c r="T84">
        <f>HYPERLINK("https://klasma.github.io/Logging_0562/kartor/A 4543-2024 karta.png", "A 4543-2024")</f>
        <v/>
      </c>
      <c r="V84">
        <f>HYPERLINK("https://klasma.github.io/Logging_0562/klagomål/A 4543-2024 FSC-klagomål.docx", "A 4543-2024")</f>
        <v/>
      </c>
      <c r="W84">
        <f>HYPERLINK("https://klasma.github.io/Logging_0562/klagomålsmail/A 4543-2024 FSC-klagomål mail.docx", "A 4543-2024")</f>
        <v/>
      </c>
      <c r="X84">
        <f>HYPERLINK("https://klasma.github.io/Logging_0562/tillsyn/A 4543-2024 tillsynsbegäran.docx", "A 4543-2024")</f>
        <v/>
      </c>
      <c r="Y84">
        <f>HYPERLINK("https://klasma.github.io/Logging_0562/tillsynsmail/A 4543-2024 tillsynsbegäran mail.docx", "A 4543-2024")</f>
        <v/>
      </c>
    </row>
    <row r="85" ht="15" customHeight="1">
      <c r="A85" t="inlineStr">
        <is>
          <t>A 4644-2024</t>
        </is>
      </c>
      <c r="B85" s="1" t="n">
        <v>45328</v>
      </c>
      <c r="C85" s="1" t="n">
        <v>45707</v>
      </c>
      <c r="D85" t="inlineStr">
        <is>
          <t>ÖSTERGÖTLANDS LÄN</t>
        </is>
      </c>
      <c r="E85" t="inlineStr">
        <is>
          <t>FINSPÅNG</t>
        </is>
      </c>
      <c r="G85" t="n">
        <v>5.3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HYPERLINK("https://klasma.github.io/Logging_0562/artfynd/A 4644-2024 artfynd.xlsx", "A 4644-2024")</f>
        <v/>
      </c>
      <c r="T85">
        <f>HYPERLINK("https://klasma.github.io/Logging_0562/kartor/A 4644-2024 karta.png", "A 4644-2024")</f>
        <v/>
      </c>
      <c r="V85">
        <f>HYPERLINK("https://klasma.github.io/Logging_0562/klagomål/A 4644-2024 FSC-klagomål.docx", "A 4644-2024")</f>
        <v/>
      </c>
      <c r="W85">
        <f>HYPERLINK("https://klasma.github.io/Logging_0562/klagomålsmail/A 4644-2024 FSC-klagomål mail.docx", "A 4644-2024")</f>
        <v/>
      </c>
      <c r="X85">
        <f>HYPERLINK("https://klasma.github.io/Logging_0562/tillsyn/A 4644-2024 tillsynsbegäran.docx", "A 4644-2024")</f>
        <v/>
      </c>
      <c r="Y85">
        <f>HYPERLINK("https://klasma.github.io/Logging_0562/tillsynsmail/A 4644-2024 tillsynsbegäran mail.docx", "A 4644-2024")</f>
        <v/>
      </c>
      <c r="Z85">
        <f>HYPERLINK("https://klasma.github.io/Logging_0562/fåglar/A 4644-2024 prioriterade fågelarter.docx", "A 4644-2024")</f>
        <v/>
      </c>
    </row>
    <row r="86" ht="15" customHeight="1">
      <c r="A86" t="inlineStr">
        <is>
          <t>A 5742-2024</t>
        </is>
      </c>
      <c r="B86" s="1" t="n">
        <v>45335</v>
      </c>
      <c r="C86" s="1" t="n">
        <v>45707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HYPERLINK("https://klasma.github.io/Logging_0562/artfynd/A 5742-2024 artfynd.xlsx", "A 5742-2024")</f>
        <v/>
      </c>
      <c r="T86">
        <f>HYPERLINK("https://klasma.github.io/Logging_0562/kartor/A 5742-2024 karta.png", "A 5742-2024")</f>
        <v/>
      </c>
      <c r="V86">
        <f>HYPERLINK("https://klasma.github.io/Logging_0562/klagomål/A 5742-2024 FSC-klagomål.docx", "A 5742-2024")</f>
        <v/>
      </c>
      <c r="W86">
        <f>HYPERLINK("https://klasma.github.io/Logging_0562/klagomålsmail/A 5742-2024 FSC-klagomål mail.docx", "A 5742-2024")</f>
        <v/>
      </c>
      <c r="X86">
        <f>HYPERLINK("https://klasma.github.io/Logging_0562/tillsyn/A 5742-2024 tillsynsbegäran.docx", "A 5742-2024")</f>
        <v/>
      </c>
      <c r="Y86">
        <f>HYPERLINK("https://klasma.github.io/Logging_0562/tillsynsmail/A 5742-2024 tillsynsbegäran mail.docx", "A 5742-2024")</f>
        <v/>
      </c>
    </row>
    <row r="87" ht="15" customHeight="1">
      <c r="A87" t="inlineStr">
        <is>
          <t>A 13477-2024</t>
        </is>
      </c>
      <c r="B87" s="1" t="n">
        <v>45387</v>
      </c>
      <c r="C87" s="1" t="n">
        <v>45707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HYPERLINK("https://klasma.github.io/Logging_0562/artfynd/A 13477-2024 artfynd.xlsx", "A 13477-2024")</f>
        <v/>
      </c>
      <c r="T87">
        <f>HYPERLINK("https://klasma.github.io/Logging_0562/kartor/A 13477-2024 karta.png", "A 13477-2024")</f>
        <v/>
      </c>
      <c r="V87">
        <f>HYPERLINK("https://klasma.github.io/Logging_0562/klagomål/A 13477-2024 FSC-klagomål.docx", "A 13477-2024")</f>
        <v/>
      </c>
      <c r="W87">
        <f>HYPERLINK("https://klasma.github.io/Logging_0562/klagomålsmail/A 13477-2024 FSC-klagomål mail.docx", "A 13477-2024")</f>
        <v/>
      </c>
      <c r="X87">
        <f>HYPERLINK("https://klasma.github.io/Logging_0562/tillsyn/A 13477-2024 tillsynsbegäran.docx", "A 13477-2024")</f>
        <v/>
      </c>
      <c r="Y87">
        <f>HYPERLINK("https://klasma.github.io/Logging_0562/tillsynsmail/A 13477-2024 tillsynsbegäran mail.docx", "A 13477-2024")</f>
        <v/>
      </c>
    </row>
    <row r="88" ht="15" customHeight="1">
      <c r="A88" t="inlineStr">
        <is>
          <t>A 18462-2024</t>
        </is>
      </c>
      <c r="B88" s="1" t="n">
        <v>45425</v>
      </c>
      <c r="C88" s="1" t="n">
        <v>45707</v>
      </c>
      <c r="D88" t="inlineStr">
        <is>
          <t>ÖSTERGÖTLANDS LÄN</t>
        </is>
      </c>
      <c r="E88" t="inlineStr">
        <is>
          <t>FINSPÅNG</t>
        </is>
      </c>
      <c r="G88" t="n">
        <v>6.1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Mosippa</t>
        </is>
      </c>
      <c r="S88">
        <f>HYPERLINK("https://klasma.github.io/Logging_0562/artfynd/A 18462-2024 artfynd.xlsx", "A 18462-2024")</f>
        <v/>
      </c>
      <c r="T88">
        <f>HYPERLINK("https://klasma.github.io/Logging_0562/kartor/A 18462-2024 karta.png", "A 18462-2024")</f>
        <v/>
      </c>
      <c r="V88">
        <f>HYPERLINK("https://klasma.github.io/Logging_0562/klagomål/A 18462-2024 FSC-klagomål.docx", "A 18462-2024")</f>
        <v/>
      </c>
      <c r="W88">
        <f>HYPERLINK("https://klasma.github.io/Logging_0562/klagomålsmail/A 18462-2024 FSC-klagomål mail.docx", "A 18462-2024")</f>
        <v/>
      </c>
      <c r="X88">
        <f>HYPERLINK("https://klasma.github.io/Logging_0562/tillsyn/A 18462-2024 tillsynsbegäran.docx", "A 18462-2024")</f>
        <v/>
      </c>
      <c r="Y88">
        <f>HYPERLINK("https://klasma.github.io/Logging_0562/tillsynsmail/A 18462-2024 tillsynsbegäran mail.docx", "A 18462-2024")</f>
        <v/>
      </c>
    </row>
    <row r="89" ht="15" customHeight="1">
      <c r="A89" t="inlineStr">
        <is>
          <t>A 38573-2024</t>
        </is>
      </c>
      <c r="B89" s="1" t="n">
        <v>45546</v>
      </c>
      <c r="C89" s="1" t="n">
        <v>45707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9.699999999999999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38573-2024 artfynd.xlsx", "A 38573-2024")</f>
        <v/>
      </c>
      <c r="T89">
        <f>HYPERLINK("https://klasma.github.io/Logging_0562/kartor/A 38573-2024 karta.png", "A 38573-2024")</f>
        <v/>
      </c>
      <c r="V89">
        <f>HYPERLINK("https://klasma.github.io/Logging_0562/klagomål/A 38573-2024 FSC-klagomål.docx", "A 38573-2024")</f>
        <v/>
      </c>
      <c r="W89">
        <f>HYPERLINK("https://klasma.github.io/Logging_0562/klagomålsmail/A 38573-2024 FSC-klagomål mail.docx", "A 38573-2024")</f>
        <v/>
      </c>
      <c r="X89">
        <f>HYPERLINK("https://klasma.github.io/Logging_0562/tillsyn/A 38573-2024 tillsynsbegäran.docx", "A 38573-2024")</f>
        <v/>
      </c>
      <c r="Y89">
        <f>HYPERLINK("https://klasma.github.io/Logging_0562/tillsynsmail/A 38573-2024 tillsynsbegäran mail.docx", "A 38573-2024")</f>
        <v/>
      </c>
    </row>
    <row r="90" ht="15" customHeight="1">
      <c r="A90" t="inlineStr">
        <is>
          <t>A 40311-2024</t>
        </is>
      </c>
      <c r="B90" s="1" t="n">
        <v>45554</v>
      </c>
      <c r="C90" s="1" t="n">
        <v>45707</v>
      </c>
      <c r="D90" t="inlineStr">
        <is>
          <t>ÖSTERGÖTLANDS LÄN</t>
        </is>
      </c>
      <c r="E90" t="inlineStr">
        <is>
          <t>FINSPÅNG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40311-2024 artfynd.xlsx", "A 40311-2024")</f>
        <v/>
      </c>
      <c r="T90">
        <f>HYPERLINK("https://klasma.github.io/Logging_0562/kartor/A 40311-2024 karta.png", "A 40311-2024")</f>
        <v/>
      </c>
      <c r="V90">
        <f>HYPERLINK("https://klasma.github.io/Logging_0562/klagomål/A 40311-2024 FSC-klagomål.docx", "A 40311-2024")</f>
        <v/>
      </c>
      <c r="W90">
        <f>HYPERLINK("https://klasma.github.io/Logging_0562/klagomålsmail/A 40311-2024 FSC-klagomål mail.docx", "A 40311-2024")</f>
        <v/>
      </c>
      <c r="X90">
        <f>HYPERLINK("https://klasma.github.io/Logging_0562/tillsyn/A 40311-2024 tillsynsbegäran.docx", "A 40311-2024")</f>
        <v/>
      </c>
      <c r="Y90">
        <f>HYPERLINK("https://klasma.github.io/Logging_0562/tillsynsmail/A 40311-2024 tillsynsbegäran mail.docx", "A 40311-2024")</f>
        <v/>
      </c>
    </row>
    <row r="91" ht="15" customHeight="1">
      <c r="A91" t="inlineStr">
        <is>
          <t>A 40385-2024</t>
        </is>
      </c>
      <c r="B91" s="1" t="n">
        <v>45555</v>
      </c>
      <c r="C91" s="1" t="n">
        <v>45707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HYPERLINK("https://klasma.github.io/Logging_0562/artfynd/A 40385-2024 artfynd.xlsx", "A 40385-2024")</f>
        <v/>
      </c>
      <c r="T91">
        <f>HYPERLINK("https://klasma.github.io/Logging_0562/kartor/A 40385-2024 karta.png", "A 40385-2024")</f>
        <v/>
      </c>
      <c r="V91">
        <f>HYPERLINK("https://klasma.github.io/Logging_0562/klagomål/A 40385-2024 FSC-klagomål.docx", "A 40385-2024")</f>
        <v/>
      </c>
      <c r="W91">
        <f>HYPERLINK("https://klasma.github.io/Logging_0562/klagomålsmail/A 40385-2024 FSC-klagomål mail.docx", "A 40385-2024")</f>
        <v/>
      </c>
      <c r="X91">
        <f>HYPERLINK("https://klasma.github.io/Logging_0562/tillsyn/A 40385-2024 tillsynsbegäran.docx", "A 40385-2024")</f>
        <v/>
      </c>
      <c r="Y91">
        <f>HYPERLINK("https://klasma.github.io/Logging_0562/tillsynsmail/A 40385-2024 tillsynsbegäran mail.docx", "A 40385-2024")</f>
        <v/>
      </c>
      <c r="Z91">
        <f>HYPERLINK("https://klasma.github.io/Logging_0562/fåglar/A 40385-2024 prioriterade fågelarter.docx", "A 40385-2024")</f>
        <v/>
      </c>
    </row>
    <row r="92" ht="15" customHeight="1">
      <c r="A92" t="inlineStr">
        <is>
          <t>A 40478-2024</t>
        </is>
      </c>
      <c r="B92" s="1" t="n">
        <v>45555</v>
      </c>
      <c r="C92" s="1" t="n">
        <v>45707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7.4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40478-2024 artfynd.xlsx", "A 40478-2024")</f>
        <v/>
      </c>
      <c r="T92">
        <f>HYPERLINK("https://klasma.github.io/Logging_0562/kartor/A 40478-2024 karta.png", "A 40478-2024")</f>
        <v/>
      </c>
      <c r="V92">
        <f>HYPERLINK("https://klasma.github.io/Logging_0562/klagomål/A 40478-2024 FSC-klagomål.docx", "A 40478-2024")</f>
        <v/>
      </c>
      <c r="W92">
        <f>HYPERLINK("https://klasma.github.io/Logging_0562/klagomålsmail/A 40478-2024 FSC-klagomål mail.docx", "A 40478-2024")</f>
        <v/>
      </c>
      <c r="X92">
        <f>HYPERLINK("https://klasma.github.io/Logging_0562/tillsyn/A 40478-2024 tillsynsbegäran.docx", "A 40478-2024")</f>
        <v/>
      </c>
      <c r="Y92">
        <f>HYPERLINK("https://klasma.github.io/Logging_0562/tillsynsmail/A 40478-2024 tillsynsbegäran mail.docx", "A 40478-2024")</f>
        <v/>
      </c>
    </row>
    <row r="93" ht="15" customHeight="1">
      <c r="A93" t="inlineStr">
        <is>
          <t>A 40686-2024</t>
        </is>
      </c>
      <c r="B93" s="1" t="n">
        <v>45558</v>
      </c>
      <c r="C93" s="1" t="n">
        <v>45707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19.6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40686-2024 artfynd.xlsx", "A 40686-2024")</f>
        <v/>
      </c>
      <c r="T93">
        <f>HYPERLINK("https://klasma.github.io/Logging_0562/kartor/A 40686-2024 karta.png", "A 40686-2024")</f>
        <v/>
      </c>
      <c r="V93">
        <f>HYPERLINK("https://klasma.github.io/Logging_0562/klagomål/A 40686-2024 FSC-klagomål.docx", "A 40686-2024")</f>
        <v/>
      </c>
      <c r="W93">
        <f>HYPERLINK("https://klasma.github.io/Logging_0562/klagomålsmail/A 40686-2024 FSC-klagomål mail.docx", "A 40686-2024")</f>
        <v/>
      </c>
      <c r="X93">
        <f>HYPERLINK("https://klasma.github.io/Logging_0562/tillsyn/A 40686-2024 tillsynsbegäran.docx", "A 40686-2024")</f>
        <v/>
      </c>
      <c r="Y93">
        <f>HYPERLINK("https://klasma.github.io/Logging_0562/tillsynsmail/A 40686-2024 tillsynsbegäran mail.docx", "A 40686-2024")</f>
        <v/>
      </c>
    </row>
    <row r="94" ht="15" customHeight="1">
      <c r="A94" t="inlineStr">
        <is>
          <t>A 42837-2024</t>
        </is>
      </c>
      <c r="B94" s="1" t="n">
        <v>45566</v>
      </c>
      <c r="C94" s="1" t="n">
        <v>45707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HYPERLINK("https://klasma.github.io/Logging_0562/artfynd/A 42837-2024 artfynd.xlsx", "A 42837-2024")</f>
        <v/>
      </c>
      <c r="T94">
        <f>HYPERLINK("https://klasma.github.io/Logging_0562/kartor/A 42837-2024 karta.png", "A 42837-2024")</f>
        <v/>
      </c>
      <c r="U94">
        <f>HYPERLINK("https://klasma.github.io/Logging_0562/knärot/A 42837-2024 karta knärot.png", "A 42837-2024")</f>
        <v/>
      </c>
      <c r="V94">
        <f>HYPERLINK("https://klasma.github.io/Logging_0562/klagomål/A 42837-2024 FSC-klagomål.docx", "A 42837-2024")</f>
        <v/>
      </c>
      <c r="W94">
        <f>HYPERLINK("https://klasma.github.io/Logging_0562/klagomålsmail/A 42837-2024 FSC-klagomål mail.docx", "A 42837-2024")</f>
        <v/>
      </c>
      <c r="X94">
        <f>HYPERLINK("https://klasma.github.io/Logging_0562/tillsyn/A 42837-2024 tillsynsbegäran.docx", "A 42837-2024")</f>
        <v/>
      </c>
      <c r="Y94">
        <f>HYPERLINK("https://klasma.github.io/Logging_0562/tillsynsmail/A 42837-2024 tillsynsbegäran mail.docx", "A 42837-2024")</f>
        <v/>
      </c>
    </row>
    <row r="95" ht="15" customHeight="1">
      <c r="A95" t="inlineStr">
        <is>
          <t>A 42650-2024</t>
        </is>
      </c>
      <c r="B95" s="1" t="n">
        <v>45566</v>
      </c>
      <c r="C95" s="1" t="n">
        <v>45707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3.1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42650-2024 artfynd.xlsx", "A 42650-2024")</f>
        <v/>
      </c>
      <c r="T95">
        <f>HYPERLINK("https://klasma.github.io/Logging_0562/kartor/A 42650-2024 karta.png", "A 42650-2024")</f>
        <v/>
      </c>
      <c r="V95">
        <f>HYPERLINK("https://klasma.github.io/Logging_0562/klagomål/A 42650-2024 FSC-klagomål.docx", "A 42650-2024")</f>
        <v/>
      </c>
      <c r="W95">
        <f>HYPERLINK("https://klasma.github.io/Logging_0562/klagomålsmail/A 42650-2024 FSC-klagomål mail.docx", "A 42650-2024")</f>
        <v/>
      </c>
      <c r="X95">
        <f>HYPERLINK("https://klasma.github.io/Logging_0562/tillsyn/A 42650-2024 tillsynsbegäran.docx", "A 42650-2024")</f>
        <v/>
      </c>
      <c r="Y95">
        <f>HYPERLINK("https://klasma.github.io/Logging_0562/tillsynsmail/A 42650-2024 tillsynsbegäran mail.docx", "A 42650-2024")</f>
        <v/>
      </c>
    </row>
    <row r="96" ht="15" customHeight="1">
      <c r="A96" t="inlineStr">
        <is>
          <t>A 42648-2024</t>
        </is>
      </c>
      <c r="B96" s="1" t="n">
        <v>45566</v>
      </c>
      <c r="C96" s="1" t="n">
        <v>45707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42648-2024 artfynd.xlsx", "A 42648-2024")</f>
        <v/>
      </c>
      <c r="T96">
        <f>HYPERLINK("https://klasma.github.io/Logging_0562/kartor/A 42648-2024 karta.png", "A 42648-2024")</f>
        <v/>
      </c>
      <c r="U96">
        <f>HYPERLINK("https://klasma.github.io/Logging_0562/knärot/A 42648-2024 karta knärot.png", "A 42648-2024")</f>
        <v/>
      </c>
      <c r="V96">
        <f>HYPERLINK("https://klasma.github.io/Logging_0562/klagomål/A 42648-2024 FSC-klagomål.docx", "A 42648-2024")</f>
        <v/>
      </c>
      <c r="W96">
        <f>HYPERLINK("https://klasma.github.io/Logging_0562/klagomålsmail/A 42648-2024 FSC-klagomål mail.docx", "A 42648-2024")</f>
        <v/>
      </c>
      <c r="X96">
        <f>HYPERLINK("https://klasma.github.io/Logging_0562/tillsyn/A 42648-2024 tillsynsbegäran.docx", "A 42648-2024")</f>
        <v/>
      </c>
      <c r="Y96">
        <f>HYPERLINK("https://klasma.github.io/Logging_0562/tillsynsmail/A 42648-2024 tillsynsbegäran mail.docx", "A 42648-2024")</f>
        <v/>
      </c>
    </row>
    <row r="97" ht="15" customHeight="1">
      <c r="A97" t="inlineStr">
        <is>
          <t>A 44984-2024</t>
        </is>
      </c>
      <c r="B97" s="1" t="n">
        <v>45575</v>
      </c>
      <c r="C97" s="1" t="n">
        <v>45707</v>
      </c>
      <c r="D97" t="inlineStr">
        <is>
          <t>ÖSTERGÖTLANDS LÄN</t>
        </is>
      </c>
      <c r="E97" t="inlineStr">
        <is>
          <t>FINSPÅNG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HYPERLINK("https://klasma.github.io/Logging_0562/artfynd/A 44984-2024 artfynd.xlsx", "A 44984-2024")</f>
        <v/>
      </c>
      <c r="T97">
        <f>HYPERLINK("https://klasma.github.io/Logging_0562/kartor/A 44984-2024 karta.png", "A 44984-2024")</f>
        <v/>
      </c>
      <c r="V97">
        <f>HYPERLINK("https://klasma.github.io/Logging_0562/klagomål/A 44984-2024 FSC-klagomål.docx", "A 44984-2024")</f>
        <v/>
      </c>
      <c r="W97">
        <f>HYPERLINK("https://klasma.github.io/Logging_0562/klagomålsmail/A 44984-2024 FSC-klagomål mail.docx", "A 44984-2024")</f>
        <v/>
      </c>
      <c r="X97">
        <f>HYPERLINK("https://klasma.github.io/Logging_0562/tillsyn/A 44984-2024 tillsynsbegäran.docx", "A 44984-2024")</f>
        <v/>
      </c>
      <c r="Y97">
        <f>HYPERLINK("https://klasma.github.io/Logging_0562/tillsynsmail/A 44984-2024 tillsynsbegäran mail.docx", "A 44984-2024")</f>
        <v/>
      </c>
    </row>
    <row r="98" ht="15" customHeight="1">
      <c r="A98" t="inlineStr">
        <is>
          <t>A 50639-2024</t>
        </is>
      </c>
      <c r="B98" s="1" t="n">
        <v>45601</v>
      </c>
      <c r="C98" s="1" t="n">
        <v>45707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bastardsvärmare</t>
        </is>
      </c>
      <c r="S98">
        <f>HYPERLINK("https://klasma.github.io/Logging_0562/artfynd/A 50639-2024 artfynd.xlsx", "A 50639-2024")</f>
        <v/>
      </c>
      <c r="T98">
        <f>HYPERLINK("https://klasma.github.io/Logging_0562/kartor/A 50639-2024 karta.png", "A 50639-2024")</f>
        <v/>
      </c>
      <c r="V98">
        <f>HYPERLINK("https://klasma.github.io/Logging_0562/klagomål/A 50639-2024 FSC-klagomål.docx", "A 50639-2024")</f>
        <v/>
      </c>
      <c r="W98">
        <f>HYPERLINK("https://klasma.github.io/Logging_0562/klagomålsmail/A 50639-2024 FSC-klagomål mail.docx", "A 50639-2024")</f>
        <v/>
      </c>
      <c r="X98">
        <f>HYPERLINK("https://klasma.github.io/Logging_0562/tillsyn/A 50639-2024 tillsynsbegäran.docx", "A 50639-2024")</f>
        <v/>
      </c>
      <c r="Y98">
        <f>HYPERLINK("https://klasma.github.io/Logging_0562/tillsynsmail/A 50639-2024 tillsynsbegäran mail.docx", "A 50639-2024")</f>
        <v/>
      </c>
    </row>
    <row r="99" ht="15" customHeight="1">
      <c r="A99" t="inlineStr">
        <is>
          <t>A 50904-2024</t>
        </is>
      </c>
      <c r="B99" s="1" t="n">
        <v>45602</v>
      </c>
      <c r="C99" s="1" t="n">
        <v>45707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Igelkottsröksvamp</t>
        </is>
      </c>
      <c r="S99">
        <f>HYPERLINK("https://klasma.github.io/Logging_0562/artfynd/A 50904-2024 artfynd.xlsx", "A 50904-2024")</f>
        <v/>
      </c>
      <c r="T99">
        <f>HYPERLINK("https://klasma.github.io/Logging_0562/kartor/A 50904-2024 karta.png", "A 50904-2024")</f>
        <v/>
      </c>
      <c r="V99">
        <f>HYPERLINK("https://klasma.github.io/Logging_0562/klagomål/A 50904-2024 FSC-klagomål.docx", "A 50904-2024")</f>
        <v/>
      </c>
      <c r="W99">
        <f>HYPERLINK("https://klasma.github.io/Logging_0562/klagomålsmail/A 50904-2024 FSC-klagomål mail.docx", "A 50904-2024")</f>
        <v/>
      </c>
      <c r="X99">
        <f>HYPERLINK("https://klasma.github.io/Logging_0562/tillsyn/A 50904-2024 tillsynsbegäran.docx", "A 50904-2024")</f>
        <v/>
      </c>
      <c r="Y99">
        <f>HYPERLINK("https://klasma.github.io/Logging_0562/tillsynsmail/A 50904-2024 tillsynsbegäran mail.docx", "A 50904-2024")</f>
        <v/>
      </c>
    </row>
    <row r="100" ht="15" customHeight="1">
      <c r="A100" t="inlineStr">
        <is>
          <t>A 53673-2024</t>
        </is>
      </c>
      <c r="B100" s="1" t="n">
        <v>45615</v>
      </c>
      <c r="C100" s="1" t="n">
        <v>45707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53673-2024 artfynd.xlsx", "A 53673-2024")</f>
        <v/>
      </c>
      <c r="T100">
        <f>HYPERLINK("https://klasma.github.io/Logging_0562/kartor/A 53673-2024 karta.png", "A 53673-2024")</f>
        <v/>
      </c>
      <c r="U100">
        <f>HYPERLINK("https://klasma.github.io/Logging_0562/knärot/A 53673-2024 karta knärot.png", "A 53673-2024")</f>
        <v/>
      </c>
      <c r="V100">
        <f>HYPERLINK("https://klasma.github.io/Logging_0562/klagomål/A 53673-2024 FSC-klagomål.docx", "A 53673-2024")</f>
        <v/>
      </c>
      <c r="W100">
        <f>HYPERLINK("https://klasma.github.io/Logging_0562/klagomålsmail/A 53673-2024 FSC-klagomål mail.docx", "A 53673-2024")</f>
        <v/>
      </c>
      <c r="X100">
        <f>HYPERLINK("https://klasma.github.io/Logging_0562/tillsyn/A 53673-2024 tillsynsbegäran.docx", "A 53673-2024")</f>
        <v/>
      </c>
      <c r="Y100">
        <f>HYPERLINK("https://klasma.github.io/Logging_0562/tillsynsmail/A 53673-2024 tillsynsbegäran mail.docx", "A 53673-2024")</f>
        <v/>
      </c>
    </row>
    <row r="101" ht="15" customHeight="1">
      <c r="A101" t="inlineStr">
        <is>
          <t>A 55989-2024</t>
        </is>
      </c>
      <c r="B101" s="1" t="n">
        <v>45623</v>
      </c>
      <c r="C101" s="1" t="n">
        <v>45707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HYPERLINK("https://klasma.github.io/Logging_0562/artfynd/A 55989-2024 artfynd.xlsx", "A 55989-2024")</f>
        <v/>
      </c>
      <c r="T101">
        <f>HYPERLINK("https://klasma.github.io/Logging_0562/kartor/A 55989-2024 karta.png", "A 55989-2024")</f>
        <v/>
      </c>
      <c r="V101">
        <f>HYPERLINK("https://klasma.github.io/Logging_0562/klagomål/A 55989-2024 FSC-klagomål.docx", "A 55989-2024")</f>
        <v/>
      </c>
      <c r="W101">
        <f>HYPERLINK("https://klasma.github.io/Logging_0562/klagomålsmail/A 55989-2024 FSC-klagomål mail.docx", "A 55989-2024")</f>
        <v/>
      </c>
      <c r="X101">
        <f>HYPERLINK("https://klasma.github.io/Logging_0562/tillsyn/A 55989-2024 tillsynsbegäran.docx", "A 55989-2024")</f>
        <v/>
      </c>
      <c r="Y101">
        <f>HYPERLINK("https://klasma.github.io/Logging_0562/tillsynsmail/A 55989-2024 tillsynsbegäran mail.docx", "A 55989-2024")</f>
        <v/>
      </c>
    </row>
    <row r="102" ht="15" customHeight="1">
      <c r="A102" t="inlineStr">
        <is>
          <t>A 56415-2024</t>
        </is>
      </c>
      <c r="B102" s="1" t="n">
        <v>45625</v>
      </c>
      <c r="C102" s="1" t="n">
        <v>45707</v>
      </c>
      <c r="D102" t="inlineStr">
        <is>
          <t>ÖSTERGÖTLANDS LÄN</t>
        </is>
      </c>
      <c r="E102" t="inlineStr">
        <is>
          <t>FINSPÅNG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56415-2024 artfynd.xlsx", "A 56415-2024")</f>
        <v/>
      </c>
      <c r="T102">
        <f>HYPERLINK("https://klasma.github.io/Logging_0562/kartor/A 56415-2024 karta.png", "A 56415-2024")</f>
        <v/>
      </c>
      <c r="U102">
        <f>HYPERLINK("https://klasma.github.io/Logging_0562/knärot/A 56415-2024 karta knärot.png", "A 56415-2024")</f>
        <v/>
      </c>
      <c r="V102">
        <f>HYPERLINK("https://klasma.github.io/Logging_0562/klagomål/A 56415-2024 FSC-klagomål.docx", "A 56415-2024")</f>
        <v/>
      </c>
      <c r="W102">
        <f>HYPERLINK("https://klasma.github.io/Logging_0562/klagomålsmail/A 56415-2024 FSC-klagomål mail.docx", "A 56415-2024")</f>
        <v/>
      </c>
      <c r="X102">
        <f>HYPERLINK("https://klasma.github.io/Logging_0562/tillsyn/A 56415-2024 tillsynsbegäran.docx", "A 56415-2024")</f>
        <v/>
      </c>
      <c r="Y102">
        <f>HYPERLINK("https://klasma.github.io/Logging_0562/tillsynsmail/A 56415-2024 tillsynsbegäran mail.docx", "A 56415-2024")</f>
        <v/>
      </c>
    </row>
    <row r="103" ht="15" customHeight="1">
      <c r="A103" t="inlineStr">
        <is>
          <t>A 56964-2024</t>
        </is>
      </c>
      <c r="B103" s="1" t="n">
        <v>45628</v>
      </c>
      <c r="C103" s="1" t="n">
        <v>45707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56964-2024 artfynd.xlsx", "A 56964-2024")</f>
        <v/>
      </c>
      <c r="T103">
        <f>HYPERLINK("https://klasma.github.io/Logging_0562/kartor/A 56964-2024 karta.png", "A 56964-2024")</f>
        <v/>
      </c>
      <c r="V103">
        <f>HYPERLINK("https://klasma.github.io/Logging_0562/klagomål/A 56964-2024 FSC-klagomål.docx", "A 56964-2024")</f>
        <v/>
      </c>
      <c r="W103">
        <f>HYPERLINK("https://klasma.github.io/Logging_0562/klagomålsmail/A 56964-2024 FSC-klagomål mail.docx", "A 56964-2024")</f>
        <v/>
      </c>
      <c r="X103">
        <f>HYPERLINK("https://klasma.github.io/Logging_0562/tillsyn/A 56964-2024 tillsynsbegäran.docx", "A 56964-2024")</f>
        <v/>
      </c>
      <c r="Y103">
        <f>HYPERLINK("https://klasma.github.io/Logging_0562/tillsynsmail/A 56964-2024 tillsynsbegäran mail.docx", "A 56964-2024")</f>
        <v/>
      </c>
    </row>
    <row r="104" ht="15" customHeight="1">
      <c r="A104" t="inlineStr">
        <is>
          <t>A 60093-2024</t>
        </is>
      </c>
      <c r="B104" s="1" t="n">
        <v>45642</v>
      </c>
      <c r="C104" s="1" t="n">
        <v>45707</v>
      </c>
      <c r="D104" t="inlineStr">
        <is>
          <t>ÖSTERGÖTLANDS LÄN</t>
        </is>
      </c>
      <c r="E104" t="inlineStr">
        <is>
          <t>FINSPÅNG</t>
        </is>
      </c>
      <c r="G104" t="n">
        <v>6.6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60093-2024 artfynd.xlsx", "A 60093-2024")</f>
        <v/>
      </c>
      <c r="T104">
        <f>HYPERLINK("https://klasma.github.io/Logging_0562/kartor/A 60093-2024 karta.png", "A 60093-2024")</f>
        <v/>
      </c>
      <c r="U104">
        <f>HYPERLINK("https://klasma.github.io/Logging_0562/knärot/A 60093-2024 karta knärot.png", "A 60093-2024")</f>
        <v/>
      </c>
      <c r="V104">
        <f>HYPERLINK("https://klasma.github.io/Logging_0562/klagomål/A 60093-2024 FSC-klagomål.docx", "A 60093-2024")</f>
        <v/>
      </c>
      <c r="W104">
        <f>HYPERLINK("https://klasma.github.io/Logging_0562/klagomålsmail/A 60093-2024 FSC-klagomål mail.docx", "A 60093-2024")</f>
        <v/>
      </c>
      <c r="X104">
        <f>HYPERLINK("https://klasma.github.io/Logging_0562/tillsyn/A 60093-2024 tillsynsbegäran.docx", "A 60093-2024")</f>
        <v/>
      </c>
      <c r="Y104">
        <f>HYPERLINK("https://klasma.github.io/Logging_0562/tillsynsmail/A 60093-2024 tillsynsbegäran mail.docx", "A 60093-2024")</f>
        <v/>
      </c>
    </row>
    <row r="105" ht="15" customHeight="1">
      <c r="A105" t="inlineStr">
        <is>
          <t>A 60621-2024</t>
        </is>
      </c>
      <c r="B105" s="1" t="n">
        <v>45644</v>
      </c>
      <c r="C105" s="1" t="n">
        <v>45707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11.2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Klasefibbla</t>
        </is>
      </c>
      <c r="S105">
        <f>HYPERLINK("https://klasma.github.io/Logging_0562/artfynd/A 60621-2024 artfynd.xlsx", "A 60621-2024")</f>
        <v/>
      </c>
      <c r="T105">
        <f>HYPERLINK("https://klasma.github.io/Logging_0562/kartor/A 60621-2024 karta.png", "A 60621-2024")</f>
        <v/>
      </c>
      <c r="V105">
        <f>HYPERLINK("https://klasma.github.io/Logging_0562/klagomål/A 60621-2024 FSC-klagomål.docx", "A 60621-2024")</f>
        <v/>
      </c>
      <c r="W105">
        <f>HYPERLINK("https://klasma.github.io/Logging_0562/klagomålsmail/A 60621-2024 FSC-klagomål mail.docx", "A 60621-2024")</f>
        <v/>
      </c>
      <c r="X105">
        <f>HYPERLINK("https://klasma.github.io/Logging_0562/tillsyn/A 60621-2024 tillsynsbegäran.docx", "A 60621-2024")</f>
        <v/>
      </c>
      <c r="Y105">
        <f>HYPERLINK("https://klasma.github.io/Logging_0562/tillsynsmail/A 60621-2024 tillsynsbegäran mail.docx", "A 60621-2024")</f>
        <v/>
      </c>
    </row>
    <row r="106" ht="15" customHeight="1">
      <c r="A106" t="inlineStr">
        <is>
          <t>A 61060-2024</t>
        </is>
      </c>
      <c r="B106" s="1" t="n">
        <v>45645</v>
      </c>
      <c r="C106" s="1" t="n">
        <v>45707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HYPERLINK("https://klasma.github.io/Logging_0562/artfynd/A 61060-2024 artfynd.xlsx", "A 61060-2024")</f>
        <v/>
      </c>
      <c r="T106">
        <f>HYPERLINK("https://klasma.github.io/Logging_0562/kartor/A 61060-2024 karta.png", "A 61060-2024")</f>
        <v/>
      </c>
      <c r="V106">
        <f>HYPERLINK("https://klasma.github.io/Logging_0562/klagomål/A 61060-2024 FSC-klagomål.docx", "A 61060-2024")</f>
        <v/>
      </c>
      <c r="W106">
        <f>HYPERLINK("https://klasma.github.io/Logging_0562/klagomålsmail/A 61060-2024 FSC-klagomål mail.docx", "A 61060-2024")</f>
        <v/>
      </c>
      <c r="X106">
        <f>HYPERLINK("https://klasma.github.io/Logging_0562/tillsyn/A 61060-2024 tillsynsbegäran.docx", "A 61060-2024")</f>
        <v/>
      </c>
      <c r="Y106">
        <f>HYPERLINK("https://klasma.github.io/Logging_0562/tillsynsmail/A 61060-2024 tillsynsbegäran mail.docx", "A 61060-2024")</f>
        <v/>
      </c>
    </row>
    <row r="107" ht="15" customHeight="1">
      <c r="A107" t="inlineStr">
        <is>
          <t>A 4087-2025</t>
        </is>
      </c>
      <c r="B107" s="1" t="n">
        <v>45684</v>
      </c>
      <c r="C107" s="1" t="n">
        <v>45707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15.7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HYPERLINK("https://klasma.github.io/Logging_0562/artfynd/A 4087-2025 artfynd.xlsx", "A 4087-2025")</f>
        <v/>
      </c>
      <c r="T107">
        <f>HYPERLINK("https://klasma.github.io/Logging_0562/kartor/A 4087-2025 karta.png", "A 4087-2025")</f>
        <v/>
      </c>
      <c r="V107">
        <f>HYPERLINK("https://klasma.github.io/Logging_0562/klagomål/A 4087-2025 FSC-klagomål.docx", "A 4087-2025")</f>
        <v/>
      </c>
      <c r="W107">
        <f>HYPERLINK("https://klasma.github.io/Logging_0562/klagomålsmail/A 4087-2025 FSC-klagomål mail.docx", "A 4087-2025")</f>
        <v/>
      </c>
      <c r="X107">
        <f>HYPERLINK("https://klasma.github.io/Logging_0562/tillsyn/A 4087-2025 tillsynsbegäran.docx", "A 4087-2025")</f>
        <v/>
      </c>
      <c r="Y107">
        <f>HYPERLINK("https://klasma.github.io/Logging_0562/tillsynsmail/A 4087-2025 tillsynsbegäran mail.docx", "A 4087-2025")</f>
        <v/>
      </c>
    </row>
    <row r="108" ht="15" customHeight="1">
      <c r="A108" t="inlineStr">
        <is>
          <t>A 19257-2019</t>
        </is>
      </c>
      <c r="B108" s="1" t="n">
        <v>43564</v>
      </c>
      <c r="C108" s="1" t="n">
        <v>45707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19401-2019</t>
        </is>
      </c>
      <c r="B109" s="1" t="n">
        <v>43565</v>
      </c>
      <c r="C109" s="1" t="n">
        <v>45707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20036-2019</t>
        </is>
      </c>
      <c r="B110" s="1" t="n">
        <v>43570</v>
      </c>
      <c r="C110" s="1" t="n">
        <v>45707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20031-2019</t>
        </is>
      </c>
      <c r="B111" s="1" t="n">
        <v>43570</v>
      </c>
      <c r="C111" s="1" t="n">
        <v>45707</v>
      </c>
      <c r="D111" t="inlineStr">
        <is>
          <t>ÖSTERGÖTLANDS LÄN</t>
        </is>
      </c>
      <c r="E111" t="inlineStr">
        <is>
          <t>FINSPÅNG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20296-2019</t>
        </is>
      </c>
      <c r="B112" s="1" t="n">
        <v>43571</v>
      </c>
      <c r="C112" s="1" t="n">
        <v>45707</v>
      </c>
      <c r="D112" t="inlineStr">
        <is>
          <t>ÖSTERGÖTLANDS LÄN</t>
        </is>
      </c>
      <c r="E112" t="inlineStr">
        <is>
          <t>FINSPÅNG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21351-2019</t>
        </is>
      </c>
      <c r="B113" s="1" t="n">
        <v>43579</v>
      </c>
      <c r="C113" s="1" t="n">
        <v>45707</v>
      </c>
      <c r="D113" t="inlineStr">
        <is>
          <t>ÖSTERGÖTLANDS LÄN</t>
        </is>
      </c>
      <c r="E113" t="inlineStr">
        <is>
          <t>FINSPÅNG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21966-2019</t>
        </is>
      </c>
      <c r="B114" s="1" t="n">
        <v>43584</v>
      </c>
      <c r="C114" s="1" t="n">
        <v>45707</v>
      </c>
      <c r="D114" t="inlineStr">
        <is>
          <t>ÖSTERGÖTLANDS LÄN</t>
        </is>
      </c>
      <c r="E114" t="inlineStr">
        <is>
          <t>FINSPÅNG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23358-2019</t>
        </is>
      </c>
      <c r="B115" s="1" t="n">
        <v>43593</v>
      </c>
      <c r="C115" s="1" t="n">
        <v>45707</v>
      </c>
      <c r="D115" t="inlineStr">
        <is>
          <t>ÖSTERGÖTLANDS LÄN</t>
        </is>
      </c>
      <c r="E115" t="inlineStr">
        <is>
          <t>FINSPÅNG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23639-2019</t>
        </is>
      </c>
      <c r="B116" s="1" t="n">
        <v>43594</v>
      </c>
      <c r="C116" s="1" t="n">
        <v>45707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24554-2019</t>
        </is>
      </c>
      <c r="B117" s="1" t="n">
        <v>43600</v>
      </c>
      <c r="C117" s="1" t="n">
        <v>45707</v>
      </c>
      <c r="D117" t="inlineStr">
        <is>
          <t>ÖSTERGÖTLANDS LÄN</t>
        </is>
      </c>
      <c r="E117" t="inlineStr">
        <is>
          <t>FINSPÅNG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24558-2019</t>
        </is>
      </c>
      <c r="B118" s="1" t="n">
        <v>43600</v>
      </c>
      <c r="C118" s="1" t="n">
        <v>45707</v>
      </c>
      <c r="D118" t="inlineStr">
        <is>
          <t>ÖSTERGÖTLANDS LÄN</t>
        </is>
      </c>
      <c r="E118" t="inlineStr">
        <is>
          <t>FINSPÅNG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26224-2019</t>
        </is>
      </c>
      <c r="B119" s="1" t="n">
        <v>43609</v>
      </c>
      <c r="C119" s="1" t="n">
        <v>45707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26225-2019</t>
        </is>
      </c>
      <c r="B120" s="1" t="n">
        <v>43609</v>
      </c>
      <c r="C120" s="1" t="n">
        <v>45707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28645-2019</t>
        </is>
      </c>
      <c r="B121" s="1" t="n">
        <v>43627</v>
      </c>
      <c r="C121" s="1" t="n">
        <v>45707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28990-2019</t>
        </is>
      </c>
      <c r="B122" s="1" t="n">
        <v>43628</v>
      </c>
      <c r="C122" s="1" t="n">
        <v>45707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28987-2019</t>
        </is>
      </c>
      <c r="B123" s="1" t="n">
        <v>43628</v>
      </c>
      <c r="C123" s="1" t="n">
        <v>45707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29444-2019</t>
        </is>
      </c>
      <c r="B124" s="1" t="n">
        <v>43629</v>
      </c>
      <c r="C124" s="1" t="n">
        <v>45707</v>
      </c>
      <c r="D124" t="inlineStr">
        <is>
          <t>ÖSTERGÖTLANDS LÄN</t>
        </is>
      </c>
      <c r="E124" t="inlineStr">
        <is>
          <t>FINSPÅNG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29875-2019</t>
        </is>
      </c>
      <c r="B125" s="1" t="n">
        <v>43633</v>
      </c>
      <c r="C125" s="1" t="n">
        <v>45707</v>
      </c>
      <c r="D125" t="inlineStr">
        <is>
          <t>ÖSTERGÖTLANDS LÄN</t>
        </is>
      </c>
      <c r="E125" t="inlineStr">
        <is>
          <t>FINSPÅNG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31259-2019</t>
        </is>
      </c>
      <c r="B126" s="1" t="n">
        <v>43640</v>
      </c>
      <c r="C126" s="1" t="n">
        <v>45707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33291-2019</t>
        </is>
      </c>
      <c r="B127" s="1" t="n">
        <v>43650</v>
      </c>
      <c r="C127" s="1" t="n">
        <v>45707</v>
      </c>
      <c r="D127" t="inlineStr">
        <is>
          <t>ÖSTERGÖTLANDS LÄN</t>
        </is>
      </c>
      <c r="E127" t="inlineStr">
        <is>
          <t>FINSPÅNG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33814-2019</t>
        </is>
      </c>
      <c r="B128" s="1" t="n">
        <v>43651</v>
      </c>
      <c r="C128" s="1" t="n">
        <v>45707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33812-2019</t>
        </is>
      </c>
      <c r="B129" s="1" t="n">
        <v>43651</v>
      </c>
      <c r="C129" s="1" t="n">
        <v>45707</v>
      </c>
      <c r="D129" t="inlineStr">
        <is>
          <t>ÖSTERGÖTLANDS LÄN</t>
        </is>
      </c>
      <c r="E129" t="inlineStr">
        <is>
          <t>FINSPÅNG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34557-2019</t>
        </is>
      </c>
      <c r="B130" s="1" t="n">
        <v>43657</v>
      </c>
      <c r="C130" s="1" t="n">
        <v>45707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34559-2019</t>
        </is>
      </c>
      <c r="B131" s="1" t="n">
        <v>43657</v>
      </c>
      <c r="C131" s="1" t="n">
        <v>45707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34556-2019</t>
        </is>
      </c>
      <c r="B132" s="1" t="n">
        <v>43657</v>
      </c>
      <c r="C132" s="1" t="n">
        <v>45707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34697-2019</t>
        </is>
      </c>
      <c r="B133" s="1" t="n">
        <v>43657</v>
      </c>
      <c r="C133" s="1" t="n">
        <v>45707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35133-2019</t>
        </is>
      </c>
      <c r="B134" s="1" t="n">
        <v>43661</v>
      </c>
      <c r="C134" s="1" t="n">
        <v>45707</v>
      </c>
      <c r="D134" t="inlineStr">
        <is>
          <t>ÖSTERGÖTLANDS LÄN</t>
        </is>
      </c>
      <c r="E134" t="inlineStr">
        <is>
          <t>FINSPÅNG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37461-2019</t>
        </is>
      </c>
      <c r="B135" s="1" t="n">
        <v>43678</v>
      </c>
      <c r="C135" s="1" t="n">
        <v>45707</v>
      </c>
      <c r="D135" t="inlineStr">
        <is>
          <t>ÖSTERGÖTLANDS LÄN</t>
        </is>
      </c>
      <c r="E135" t="inlineStr">
        <is>
          <t>FINSPÅNG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37456-2019</t>
        </is>
      </c>
      <c r="B136" s="1" t="n">
        <v>43678</v>
      </c>
      <c r="C136" s="1" t="n">
        <v>45707</v>
      </c>
      <c r="D136" t="inlineStr">
        <is>
          <t>ÖSTERGÖTLANDS LÄN</t>
        </is>
      </c>
      <c r="E136" t="inlineStr">
        <is>
          <t>FINSPÅNG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38066-2019</t>
        </is>
      </c>
      <c r="B137" s="1" t="n">
        <v>43683</v>
      </c>
      <c r="C137" s="1" t="n">
        <v>45707</v>
      </c>
      <c r="D137" t="inlineStr">
        <is>
          <t>ÖSTERGÖTLANDS LÄN</t>
        </is>
      </c>
      <c r="E137" t="inlineStr">
        <is>
          <t>FINSPÅNG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38086-2019</t>
        </is>
      </c>
      <c r="B138" s="1" t="n">
        <v>43683</v>
      </c>
      <c r="C138" s="1" t="n">
        <v>45707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40394-2019</t>
        </is>
      </c>
      <c r="B139" s="1" t="n">
        <v>43696</v>
      </c>
      <c r="C139" s="1" t="n">
        <v>45707</v>
      </c>
      <c r="D139" t="inlineStr">
        <is>
          <t>ÖSTERGÖTLANDS LÄN</t>
        </is>
      </c>
      <c r="E139" t="inlineStr">
        <is>
          <t>FINSPÅNG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40624-2019</t>
        </is>
      </c>
      <c r="B140" s="1" t="n">
        <v>43696</v>
      </c>
      <c r="C140" s="1" t="n">
        <v>45707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41118-2019</t>
        </is>
      </c>
      <c r="B141" s="1" t="n">
        <v>43698</v>
      </c>
      <c r="C141" s="1" t="n">
        <v>45707</v>
      </c>
      <c r="D141" t="inlineStr">
        <is>
          <t>ÖSTERGÖTLANDS LÄN</t>
        </is>
      </c>
      <c r="E141" t="inlineStr">
        <is>
          <t>FINSPÅNG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41303-2019</t>
        </is>
      </c>
      <c r="B142" s="1" t="n">
        <v>43698</v>
      </c>
      <c r="C142" s="1" t="n">
        <v>45707</v>
      </c>
      <c r="D142" t="inlineStr">
        <is>
          <t>ÖSTERGÖTLANDS LÄN</t>
        </is>
      </c>
      <c r="E142" t="inlineStr">
        <is>
          <t>FINSPÅNG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41516-2019</t>
        </is>
      </c>
      <c r="B143" s="1" t="n">
        <v>43699</v>
      </c>
      <c r="C143" s="1" t="n">
        <v>45707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41515-2019</t>
        </is>
      </c>
      <c r="B144" s="1" t="n">
        <v>43699</v>
      </c>
      <c r="C144" s="1" t="n">
        <v>45707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41846-2019</t>
        </is>
      </c>
      <c r="B145" s="1" t="n">
        <v>43700</v>
      </c>
      <c r="C145" s="1" t="n">
        <v>45707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41944-2019</t>
        </is>
      </c>
      <c r="B146" s="1" t="n">
        <v>43700</v>
      </c>
      <c r="C146" s="1" t="n">
        <v>45707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42612-2019</t>
        </is>
      </c>
      <c r="B147" s="1" t="n">
        <v>43704</v>
      </c>
      <c r="C147" s="1" t="n">
        <v>45707</v>
      </c>
      <c r="D147" t="inlineStr">
        <is>
          <t>ÖSTERGÖTLANDS LÄN</t>
        </is>
      </c>
      <c r="E147" t="inlineStr">
        <is>
          <t>FINSPÅNG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42755-2019</t>
        </is>
      </c>
      <c r="B148" s="1" t="n">
        <v>43704</v>
      </c>
      <c r="C148" s="1" t="n">
        <v>45707</v>
      </c>
      <c r="D148" t="inlineStr">
        <is>
          <t>ÖSTERGÖTLANDS LÄN</t>
        </is>
      </c>
      <c r="E148" t="inlineStr">
        <is>
          <t>FINSPÅNG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42648-2019</t>
        </is>
      </c>
      <c r="B149" s="1" t="n">
        <v>43704</v>
      </c>
      <c r="C149" s="1" t="n">
        <v>45707</v>
      </c>
      <c r="D149" t="inlineStr">
        <is>
          <t>ÖSTERGÖTLANDS LÄN</t>
        </is>
      </c>
      <c r="E149" t="inlineStr">
        <is>
          <t>FINSPÅNG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42608-2019</t>
        </is>
      </c>
      <c r="B150" s="1" t="n">
        <v>43704</v>
      </c>
      <c r="C150" s="1" t="n">
        <v>45707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42683-2019</t>
        </is>
      </c>
      <c r="B151" s="1" t="n">
        <v>43704</v>
      </c>
      <c r="C151" s="1" t="n">
        <v>45707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42623-2019</t>
        </is>
      </c>
      <c r="B152" s="1" t="n">
        <v>43704</v>
      </c>
      <c r="C152" s="1" t="n">
        <v>45707</v>
      </c>
      <c r="D152" t="inlineStr">
        <is>
          <t>ÖSTERGÖTLANDS LÄN</t>
        </is>
      </c>
      <c r="E152" t="inlineStr">
        <is>
          <t>FINSPÅNG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42728-2019</t>
        </is>
      </c>
      <c r="B153" s="1" t="n">
        <v>43704</v>
      </c>
      <c r="C153" s="1" t="n">
        <v>45707</v>
      </c>
      <c r="D153" t="inlineStr">
        <is>
          <t>ÖSTERGÖTLANDS LÄN</t>
        </is>
      </c>
      <c r="E153" t="inlineStr">
        <is>
          <t>FINSPÅNG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42748-2019</t>
        </is>
      </c>
      <c r="B154" s="1" t="n">
        <v>43704</v>
      </c>
      <c r="C154" s="1" t="n">
        <v>45707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42757-2019</t>
        </is>
      </c>
      <c r="B155" s="1" t="n">
        <v>43704</v>
      </c>
      <c r="C155" s="1" t="n">
        <v>45707</v>
      </c>
      <c r="D155" t="inlineStr">
        <is>
          <t>ÖSTERGÖTLANDS LÄN</t>
        </is>
      </c>
      <c r="E155" t="inlineStr">
        <is>
          <t>FINSPÅNG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42617-2019</t>
        </is>
      </c>
      <c r="B156" s="1" t="n">
        <v>43704</v>
      </c>
      <c r="C156" s="1" t="n">
        <v>45707</v>
      </c>
      <c r="D156" t="inlineStr">
        <is>
          <t>ÖSTERGÖTLANDS LÄN</t>
        </is>
      </c>
      <c r="E156" t="inlineStr">
        <is>
          <t>FINSPÅNG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42756-2019</t>
        </is>
      </c>
      <c r="B157" s="1" t="n">
        <v>43704</v>
      </c>
      <c r="C157" s="1" t="n">
        <v>45707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43000-2019</t>
        </is>
      </c>
      <c r="B158" s="1" t="n">
        <v>43705</v>
      </c>
      <c r="C158" s="1" t="n">
        <v>45707</v>
      </c>
      <c r="D158" t="inlineStr">
        <is>
          <t>ÖSTERGÖTLANDS LÄN</t>
        </is>
      </c>
      <c r="E158" t="inlineStr">
        <is>
          <t>FINSPÅNG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43155-2019</t>
        </is>
      </c>
      <c r="B159" s="1" t="n">
        <v>43705</v>
      </c>
      <c r="C159" s="1" t="n">
        <v>45707</v>
      </c>
      <c r="D159" t="inlineStr">
        <is>
          <t>ÖSTERGÖTLANDS LÄN</t>
        </is>
      </c>
      <c r="E159" t="inlineStr">
        <is>
          <t>FINSPÅNG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43027-2019</t>
        </is>
      </c>
      <c r="B160" s="1" t="n">
        <v>43705</v>
      </c>
      <c r="C160" s="1" t="n">
        <v>45707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45127-2019</t>
        </is>
      </c>
      <c r="B161" s="1" t="n">
        <v>43713</v>
      </c>
      <c r="C161" s="1" t="n">
        <v>45707</v>
      </c>
      <c r="D161" t="inlineStr">
        <is>
          <t>ÖSTERGÖTLANDS LÄN</t>
        </is>
      </c>
      <c r="E161" t="inlineStr">
        <is>
          <t>FINSPÅNG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45122-2019</t>
        </is>
      </c>
      <c r="B162" s="1" t="n">
        <v>43713</v>
      </c>
      <c r="C162" s="1" t="n">
        <v>45707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46124-2019</t>
        </is>
      </c>
      <c r="B163" s="1" t="n">
        <v>43713</v>
      </c>
      <c r="C163" s="1" t="n">
        <v>45707</v>
      </c>
      <c r="D163" t="inlineStr">
        <is>
          <t>ÖSTERGÖTLANDS LÄN</t>
        </is>
      </c>
      <c r="E163" t="inlineStr">
        <is>
          <t>FINSPÅNG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46184-2019</t>
        </is>
      </c>
      <c r="B164" s="1" t="n">
        <v>43713</v>
      </c>
      <c r="C164" s="1" t="n">
        <v>45707</v>
      </c>
      <c r="D164" t="inlineStr">
        <is>
          <t>ÖSTERGÖTLANDS LÄN</t>
        </is>
      </c>
      <c r="E164" t="inlineStr">
        <is>
          <t>FINSPÅNG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45938-2019</t>
        </is>
      </c>
      <c r="B165" s="1" t="n">
        <v>43718</v>
      </c>
      <c r="C165" s="1" t="n">
        <v>45707</v>
      </c>
      <c r="D165" t="inlineStr">
        <is>
          <t>ÖSTERGÖTLANDS LÄN</t>
        </is>
      </c>
      <c r="E165" t="inlineStr">
        <is>
          <t>FINSPÅNG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45949-2019</t>
        </is>
      </c>
      <c r="B166" s="1" t="n">
        <v>43718</v>
      </c>
      <c r="C166" s="1" t="n">
        <v>45707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47223-2019</t>
        </is>
      </c>
      <c r="B167" s="1" t="n">
        <v>43720</v>
      </c>
      <c r="C167" s="1" t="n">
        <v>45707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47327-2019</t>
        </is>
      </c>
      <c r="B168" s="1" t="n">
        <v>43721</v>
      </c>
      <c r="C168" s="1" t="n">
        <v>45707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47691-2019</t>
        </is>
      </c>
      <c r="B169" s="1" t="n">
        <v>43724</v>
      </c>
      <c r="C169" s="1" t="n">
        <v>45707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47839-2019</t>
        </is>
      </c>
      <c r="B170" s="1" t="n">
        <v>43724</v>
      </c>
      <c r="C170" s="1" t="n">
        <v>45707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47973-2019</t>
        </is>
      </c>
      <c r="B171" s="1" t="n">
        <v>43725</v>
      </c>
      <c r="C171" s="1" t="n">
        <v>45707</v>
      </c>
      <c r="D171" t="inlineStr">
        <is>
          <t>ÖSTERGÖTLANDS LÄN</t>
        </is>
      </c>
      <c r="E171" t="inlineStr">
        <is>
          <t>FINSPÅNG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48053-2019</t>
        </is>
      </c>
      <c r="B172" s="1" t="n">
        <v>43725</v>
      </c>
      <c r="C172" s="1" t="n">
        <v>45707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48242-2019</t>
        </is>
      </c>
      <c r="B173" s="1" t="n">
        <v>43726</v>
      </c>
      <c r="C173" s="1" t="n">
        <v>45707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Naturvårdsverket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50015-2019</t>
        </is>
      </c>
      <c r="B174" s="1" t="n">
        <v>43733</v>
      </c>
      <c r="C174" s="1" t="n">
        <v>45707</v>
      </c>
      <c r="D174" t="inlineStr">
        <is>
          <t>ÖSTERGÖTLANDS LÄN</t>
        </is>
      </c>
      <c r="E174" t="inlineStr">
        <is>
          <t>FINSPÅNG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49949-2019</t>
        </is>
      </c>
      <c r="B175" s="1" t="n">
        <v>43733</v>
      </c>
      <c r="C175" s="1" t="n">
        <v>45707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50272-2019</t>
        </is>
      </c>
      <c r="B176" s="1" t="n">
        <v>43734</v>
      </c>
      <c r="C176" s="1" t="n">
        <v>45707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50621-2019</t>
        </is>
      </c>
      <c r="B177" s="1" t="n">
        <v>43736</v>
      </c>
      <c r="C177" s="1" t="n">
        <v>45707</v>
      </c>
      <c r="D177" t="inlineStr">
        <is>
          <t>ÖSTERGÖTLANDS LÄN</t>
        </is>
      </c>
      <c r="E177" t="inlineStr">
        <is>
          <t>FINSPÅNG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50620-2019</t>
        </is>
      </c>
      <c r="B178" s="1" t="n">
        <v>43736</v>
      </c>
      <c r="C178" s="1" t="n">
        <v>45707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50617-2019</t>
        </is>
      </c>
      <c r="B179" s="1" t="n">
        <v>43736</v>
      </c>
      <c r="C179" s="1" t="n">
        <v>45707</v>
      </c>
      <c r="D179" t="inlineStr">
        <is>
          <t>ÖSTERGÖTLANDS LÄN</t>
        </is>
      </c>
      <c r="E179" t="inlineStr">
        <is>
          <t>FINSPÅNG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50805-2019</t>
        </is>
      </c>
      <c r="B180" s="1" t="n">
        <v>43738</v>
      </c>
      <c r="C180" s="1" t="n">
        <v>45707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51010-2019</t>
        </is>
      </c>
      <c r="B181" s="1" t="n">
        <v>43738</v>
      </c>
      <c r="C181" s="1" t="n">
        <v>45707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50927-2019</t>
        </is>
      </c>
      <c r="B182" s="1" t="n">
        <v>43738</v>
      </c>
      <c r="C182" s="1" t="n">
        <v>45707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52702-2019</t>
        </is>
      </c>
      <c r="B183" s="1" t="n">
        <v>43746</v>
      </c>
      <c r="C183" s="1" t="n">
        <v>45707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53101-2019</t>
        </is>
      </c>
      <c r="B184" s="1" t="n">
        <v>43747</v>
      </c>
      <c r="C184" s="1" t="n">
        <v>45707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54969-2019</t>
        </is>
      </c>
      <c r="B185" s="1" t="n">
        <v>43749</v>
      </c>
      <c r="C185" s="1" t="n">
        <v>45707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Övriga Aktiebolag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54992-2019</t>
        </is>
      </c>
      <c r="B186" s="1" t="n">
        <v>43755</v>
      </c>
      <c r="C186" s="1" t="n">
        <v>45707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54991-2019</t>
        </is>
      </c>
      <c r="B187" s="1" t="n">
        <v>43755</v>
      </c>
      <c r="C187" s="1" t="n">
        <v>45707</v>
      </c>
      <c r="D187" t="inlineStr">
        <is>
          <t>ÖSTERGÖTLANDS LÄN</t>
        </is>
      </c>
      <c r="E187" t="inlineStr">
        <is>
          <t>FINSPÅNG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55657-2019</t>
        </is>
      </c>
      <c r="B188" s="1" t="n">
        <v>43760</v>
      </c>
      <c r="C188" s="1" t="n">
        <v>45707</v>
      </c>
      <c r="D188" t="inlineStr">
        <is>
          <t>ÖSTERGÖTLANDS LÄN</t>
        </is>
      </c>
      <c r="E188" t="inlineStr">
        <is>
          <t>FINSPÅNG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55550-2019</t>
        </is>
      </c>
      <c r="B189" s="1" t="n">
        <v>43760</v>
      </c>
      <c r="C189" s="1" t="n">
        <v>45707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55655-2019</t>
        </is>
      </c>
      <c r="B190" s="1" t="n">
        <v>43760</v>
      </c>
      <c r="C190" s="1" t="n">
        <v>45707</v>
      </c>
      <c r="D190" t="inlineStr">
        <is>
          <t>ÖSTERGÖTLANDS LÄN</t>
        </is>
      </c>
      <c r="E190" t="inlineStr">
        <is>
          <t>FINSPÅNG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56643-2019</t>
        </is>
      </c>
      <c r="B191" s="1" t="n">
        <v>43763</v>
      </c>
      <c r="C191" s="1" t="n">
        <v>45707</v>
      </c>
      <c r="D191" t="inlineStr">
        <is>
          <t>ÖSTERGÖTLANDS LÄN</t>
        </is>
      </c>
      <c r="E191" t="inlineStr">
        <is>
          <t>FINSPÅNG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57311-2019</t>
        </is>
      </c>
      <c r="B192" s="1" t="n">
        <v>43767</v>
      </c>
      <c r="C192" s="1" t="n">
        <v>45707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57854-2019</t>
        </is>
      </c>
      <c r="B193" s="1" t="n">
        <v>43768</v>
      </c>
      <c r="C193" s="1" t="n">
        <v>45707</v>
      </c>
      <c r="D193" t="inlineStr">
        <is>
          <t>ÖSTERGÖTLANDS LÄN</t>
        </is>
      </c>
      <c r="E193" t="inlineStr">
        <is>
          <t>FINSPÅNG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61855-2019</t>
        </is>
      </c>
      <c r="B194" s="1" t="n">
        <v>43787</v>
      </c>
      <c r="C194" s="1" t="n">
        <v>45707</v>
      </c>
      <c r="D194" t="inlineStr">
        <is>
          <t>ÖSTERGÖTLANDS LÄN</t>
        </is>
      </c>
      <c r="E194" t="inlineStr">
        <is>
          <t>FINSPÅNG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61854-2019</t>
        </is>
      </c>
      <c r="B195" s="1" t="n">
        <v>43787</v>
      </c>
      <c r="C195" s="1" t="n">
        <v>45707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62099-2019</t>
        </is>
      </c>
      <c r="B196" s="1" t="n">
        <v>43787</v>
      </c>
      <c r="C196" s="1" t="n">
        <v>45707</v>
      </c>
      <c r="D196" t="inlineStr">
        <is>
          <t>ÖSTERGÖTLANDS LÄN</t>
        </is>
      </c>
      <c r="E196" t="inlineStr">
        <is>
          <t>FINSPÅNG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61853-2019</t>
        </is>
      </c>
      <c r="B197" s="1" t="n">
        <v>43787</v>
      </c>
      <c r="C197" s="1" t="n">
        <v>45707</v>
      </c>
      <c r="D197" t="inlineStr">
        <is>
          <t>ÖSTERGÖTLANDS LÄN</t>
        </is>
      </c>
      <c r="E197" t="inlineStr">
        <is>
          <t>FINSPÅNG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61856-2019</t>
        </is>
      </c>
      <c r="B198" s="1" t="n">
        <v>43787</v>
      </c>
      <c r="C198" s="1" t="n">
        <v>45707</v>
      </c>
      <c r="D198" t="inlineStr">
        <is>
          <t>ÖSTERGÖTLANDS LÄN</t>
        </is>
      </c>
      <c r="E198" t="inlineStr">
        <is>
          <t>FINSPÅNG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63238-2019</t>
        </is>
      </c>
      <c r="B199" s="1" t="n">
        <v>43792</v>
      </c>
      <c r="C199" s="1" t="n">
        <v>45707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63237-2019</t>
        </is>
      </c>
      <c r="B200" s="1" t="n">
        <v>43792</v>
      </c>
      <c r="C200" s="1" t="n">
        <v>45707</v>
      </c>
      <c r="D200" t="inlineStr">
        <is>
          <t>ÖSTERGÖTLANDS LÄN</t>
        </is>
      </c>
      <c r="E200" t="inlineStr">
        <is>
          <t>FINSPÅNG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65160-2019</t>
        </is>
      </c>
      <c r="B201" s="1" t="n">
        <v>43796</v>
      </c>
      <c r="C201" s="1" t="n">
        <v>45707</v>
      </c>
      <c r="D201" t="inlineStr">
        <is>
          <t>ÖSTERGÖTLANDS LÄN</t>
        </is>
      </c>
      <c r="E201" t="inlineStr">
        <is>
          <t>FINSPÅNG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64668-2019</t>
        </is>
      </c>
      <c r="B202" s="1" t="n">
        <v>43798</v>
      </c>
      <c r="C202" s="1" t="n">
        <v>45707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64658-2019</t>
        </is>
      </c>
      <c r="B203" s="1" t="n">
        <v>43798</v>
      </c>
      <c r="C203" s="1" t="n">
        <v>45707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65254-2019</t>
        </is>
      </c>
      <c r="B204" s="1" t="n">
        <v>43802</v>
      </c>
      <c r="C204" s="1" t="n">
        <v>45707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65694-2019</t>
        </is>
      </c>
      <c r="B205" s="1" t="n">
        <v>43804</v>
      </c>
      <c r="C205" s="1" t="n">
        <v>45707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65740-2019</t>
        </is>
      </c>
      <c r="B206" s="1" t="n">
        <v>43804</v>
      </c>
      <c r="C206" s="1" t="n">
        <v>45707</v>
      </c>
      <c r="D206" t="inlineStr">
        <is>
          <t>ÖSTERGÖTLANDS LÄN</t>
        </is>
      </c>
      <c r="E206" t="inlineStr">
        <is>
          <t>FINSPÅNG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66006-2019</t>
        </is>
      </c>
      <c r="B207" s="1" t="n">
        <v>43805</v>
      </c>
      <c r="C207" s="1" t="n">
        <v>45707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66176-2019</t>
        </is>
      </c>
      <c r="B208" s="1" t="n">
        <v>43808</v>
      </c>
      <c r="C208" s="1" t="n">
        <v>45707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66364-2019</t>
        </is>
      </c>
      <c r="B209" s="1" t="n">
        <v>43808</v>
      </c>
      <c r="C209" s="1" t="n">
        <v>45707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66367-2019</t>
        </is>
      </c>
      <c r="B210" s="1" t="n">
        <v>43808</v>
      </c>
      <c r="C210" s="1" t="n">
        <v>45707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66671-2019</t>
        </is>
      </c>
      <c r="B211" s="1" t="n">
        <v>43809</v>
      </c>
      <c r="C211" s="1" t="n">
        <v>45707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66717-2019</t>
        </is>
      </c>
      <c r="B212" s="1" t="n">
        <v>43810</v>
      </c>
      <c r="C212" s="1" t="n">
        <v>45707</v>
      </c>
      <c r="D212" t="inlineStr">
        <is>
          <t>ÖSTERGÖTLANDS LÄN</t>
        </is>
      </c>
      <c r="E212" t="inlineStr">
        <is>
          <t>FINSPÅNG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67383-2019</t>
        </is>
      </c>
      <c r="B213" s="1" t="n">
        <v>43812</v>
      </c>
      <c r="C213" s="1" t="n">
        <v>45707</v>
      </c>
      <c r="D213" t="inlineStr">
        <is>
          <t>ÖSTERGÖTLANDS LÄN</t>
        </is>
      </c>
      <c r="E213" t="inlineStr">
        <is>
          <t>FINSPÅNG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67498-2019</t>
        </is>
      </c>
      <c r="B214" s="1" t="n">
        <v>43815</v>
      </c>
      <c r="C214" s="1" t="n">
        <v>45707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68453-2019</t>
        </is>
      </c>
      <c r="B215" s="1" t="n">
        <v>43818</v>
      </c>
      <c r="C215" s="1" t="n">
        <v>45707</v>
      </c>
      <c r="D215" t="inlineStr">
        <is>
          <t>ÖSTERGÖTLANDS LÄN</t>
        </is>
      </c>
      <c r="E215" t="inlineStr">
        <is>
          <t>FINSPÅNG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68992-2019</t>
        </is>
      </c>
      <c r="B216" s="1" t="n">
        <v>43822</v>
      </c>
      <c r="C216" s="1" t="n">
        <v>45707</v>
      </c>
      <c r="D216" t="inlineStr">
        <is>
          <t>ÖSTERGÖTLANDS LÄN</t>
        </is>
      </c>
      <c r="E216" t="inlineStr">
        <is>
          <t>FINSPÅNG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68987-2019</t>
        </is>
      </c>
      <c r="B217" s="1" t="n">
        <v>43825</v>
      </c>
      <c r="C217" s="1" t="n">
        <v>45707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69045-2019</t>
        </is>
      </c>
      <c r="B218" s="1" t="n">
        <v>43826</v>
      </c>
      <c r="C218" s="1" t="n">
        <v>45707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1183-2020</t>
        </is>
      </c>
      <c r="B219" s="1" t="n">
        <v>43840</v>
      </c>
      <c r="C219" s="1" t="n">
        <v>45707</v>
      </c>
      <c r="D219" t="inlineStr">
        <is>
          <t>ÖSTERGÖTLANDS LÄN</t>
        </is>
      </c>
      <c r="E219" t="inlineStr">
        <is>
          <t>FINSPÅNG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1827-2020</t>
        </is>
      </c>
      <c r="B220" s="1" t="n">
        <v>43844</v>
      </c>
      <c r="C220" s="1" t="n">
        <v>45707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1848-2020</t>
        </is>
      </c>
      <c r="B221" s="1" t="n">
        <v>43844</v>
      </c>
      <c r="C221" s="1" t="n">
        <v>45707</v>
      </c>
      <c r="D221" t="inlineStr">
        <is>
          <t>ÖSTERGÖTLANDS LÄN</t>
        </is>
      </c>
      <c r="E221" t="inlineStr">
        <is>
          <t>FINSPÅNG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2351-2020</t>
        </is>
      </c>
      <c r="B222" s="1" t="n">
        <v>43846</v>
      </c>
      <c r="C222" s="1" t="n">
        <v>45707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22.2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2349-2020</t>
        </is>
      </c>
      <c r="B223" s="1" t="n">
        <v>43846</v>
      </c>
      <c r="C223" s="1" t="n">
        <v>45707</v>
      </c>
      <c r="D223" t="inlineStr">
        <is>
          <t>ÖSTERGÖTLANDS LÄN</t>
        </is>
      </c>
      <c r="E223" t="inlineStr">
        <is>
          <t>FINSPÅNG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2354-2020</t>
        </is>
      </c>
      <c r="B224" s="1" t="n">
        <v>43846</v>
      </c>
      <c r="C224" s="1" t="n">
        <v>45707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3134-2020</t>
        </is>
      </c>
      <c r="B225" s="1" t="n">
        <v>43851</v>
      </c>
      <c r="C225" s="1" t="n">
        <v>45707</v>
      </c>
      <c r="D225" t="inlineStr">
        <is>
          <t>ÖSTERGÖTLANDS LÄN</t>
        </is>
      </c>
      <c r="E225" t="inlineStr">
        <is>
          <t>FINSPÅNG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3372-2020</t>
        </is>
      </c>
      <c r="B226" s="1" t="n">
        <v>43852</v>
      </c>
      <c r="C226" s="1" t="n">
        <v>45707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3649-2020</t>
        </is>
      </c>
      <c r="B227" s="1" t="n">
        <v>43853</v>
      </c>
      <c r="C227" s="1" t="n">
        <v>45707</v>
      </c>
      <c r="D227" t="inlineStr">
        <is>
          <t>ÖSTERGÖTLANDS LÄN</t>
        </is>
      </c>
      <c r="E227" t="inlineStr">
        <is>
          <t>FINSPÅNG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3647-2020</t>
        </is>
      </c>
      <c r="B228" s="1" t="n">
        <v>43853</v>
      </c>
      <c r="C228" s="1" t="n">
        <v>45707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4167-2020</t>
        </is>
      </c>
      <c r="B229" s="1" t="n">
        <v>43857</v>
      </c>
      <c r="C229" s="1" t="n">
        <v>45707</v>
      </c>
      <c r="D229" t="inlineStr">
        <is>
          <t>ÖSTERGÖTLANDS LÄN</t>
        </is>
      </c>
      <c r="E229" t="inlineStr">
        <is>
          <t>FINSPÅNG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4278-2020</t>
        </is>
      </c>
      <c r="B230" s="1" t="n">
        <v>43857</v>
      </c>
      <c r="C230" s="1" t="n">
        <v>45707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4315-2020</t>
        </is>
      </c>
      <c r="B231" s="1" t="n">
        <v>43857</v>
      </c>
      <c r="C231" s="1" t="n">
        <v>45707</v>
      </c>
      <c r="D231" t="inlineStr">
        <is>
          <t>ÖSTERGÖTLANDS LÄN</t>
        </is>
      </c>
      <c r="E231" t="inlineStr">
        <is>
          <t>FINSPÅNG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4712-2020</t>
        </is>
      </c>
      <c r="B232" s="1" t="n">
        <v>43858</v>
      </c>
      <c r="C232" s="1" t="n">
        <v>45707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4713-2020</t>
        </is>
      </c>
      <c r="B233" s="1" t="n">
        <v>43858</v>
      </c>
      <c r="C233" s="1" t="n">
        <v>45707</v>
      </c>
      <c r="D233" t="inlineStr">
        <is>
          <t>ÖSTERGÖTLANDS LÄN</t>
        </is>
      </c>
      <c r="E233" t="inlineStr">
        <is>
          <t>FINSPÅNG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4811-2020</t>
        </is>
      </c>
      <c r="B234" s="1" t="n">
        <v>43859</v>
      </c>
      <c r="C234" s="1" t="n">
        <v>45707</v>
      </c>
      <c r="D234" t="inlineStr">
        <is>
          <t>ÖSTERGÖTLANDS LÄN</t>
        </is>
      </c>
      <c r="E234" t="inlineStr">
        <is>
          <t>FINSPÅNG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5088-2020</t>
        </is>
      </c>
      <c r="B235" s="1" t="n">
        <v>43859</v>
      </c>
      <c r="C235" s="1" t="n">
        <v>45707</v>
      </c>
      <c r="D235" t="inlineStr">
        <is>
          <t>ÖSTERGÖTLANDS LÄN</t>
        </is>
      </c>
      <c r="E235" t="inlineStr">
        <is>
          <t>FINSPÅNG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5091-2020</t>
        </is>
      </c>
      <c r="B236" s="1" t="n">
        <v>43859</v>
      </c>
      <c r="C236" s="1" t="n">
        <v>45707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5726-2020</t>
        </is>
      </c>
      <c r="B237" s="1" t="n">
        <v>43862</v>
      </c>
      <c r="C237" s="1" t="n">
        <v>45707</v>
      </c>
      <c r="D237" t="inlineStr">
        <is>
          <t>ÖSTERGÖTLANDS LÄN</t>
        </is>
      </c>
      <c r="E237" t="inlineStr">
        <is>
          <t>FINSPÅNG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5730-2020</t>
        </is>
      </c>
      <c r="B238" s="1" t="n">
        <v>43862</v>
      </c>
      <c r="C238" s="1" t="n">
        <v>45707</v>
      </c>
      <c r="D238" t="inlineStr">
        <is>
          <t>ÖSTERGÖTLANDS LÄN</t>
        </is>
      </c>
      <c r="E238" t="inlineStr">
        <is>
          <t>FINSPÅNG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6379-2020</t>
        </is>
      </c>
      <c r="B239" s="1" t="n">
        <v>43864</v>
      </c>
      <c r="C239" s="1" t="n">
        <v>45707</v>
      </c>
      <c r="D239" t="inlineStr">
        <is>
          <t>ÖSTERGÖTLANDS LÄN</t>
        </is>
      </c>
      <c r="E239" t="inlineStr">
        <is>
          <t>FINSPÅNG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6201-2020</t>
        </is>
      </c>
      <c r="B240" s="1" t="n">
        <v>43865</v>
      </c>
      <c r="C240" s="1" t="n">
        <v>45707</v>
      </c>
      <c r="D240" t="inlineStr">
        <is>
          <t>ÖSTERGÖTLANDS LÄN</t>
        </is>
      </c>
      <c r="E240" t="inlineStr">
        <is>
          <t>FINSPÅNG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6254-2020</t>
        </is>
      </c>
      <c r="B241" s="1" t="n">
        <v>43866</v>
      </c>
      <c r="C241" s="1" t="n">
        <v>45707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6300-2020</t>
        </is>
      </c>
      <c r="B242" s="1" t="n">
        <v>43866</v>
      </c>
      <c r="C242" s="1" t="n">
        <v>45707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8033-2020</t>
        </is>
      </c>
      <c r="B243" s="1" t="n">
        <v>43873</v>
      </c>
      <c r="C243" s="1" t="n">
        <v>45707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8156-2020</t>
        </is>
      </c>
      <c r="B244" s="1" t="n">
        <v>43874</v>
      </c>
      <c r="C244" s="1" t="n">
        <v>45707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8184-2020</t>
        </is>
      </c>
      <c r="B245" s="1" t="n">
        <v>43874</v>
      </c>
      <c r="C245" s="1" t="n">
        <v>45707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8690-2020</t>
        </is>
      </c>
      <c r="B246" s="1" t="n">
        <v>43878</v>
      </c>
      <c r="C246" s="1" t="n">
        <v>45707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11005-2020</t>
        </is>
      </c>
      <c r="B247" s="1" t="n">
        <v>43889</v>
      </c>
      <c r="C247" s="1" t="n">
        <v>45707</v>
      </c>
      <c r="D247" t="inlineStr">
        <is>
          <t>ÖSTERGÖTLANDS LÄN</t>
        </is>
      </c>
      <c r="E247" t="inlineStr">
        <is>
          <t>FINSPÅNG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11007-2020</t>
        </is>
      </c>
      <c r="B248" s="1" t="n">
        <v>43889</v>
      </c>
      <c r="C248" s="1" t="n">
        <v>45707</v>
      </c>
      <c r="D248" t="inlineStr">
        <is>
          <t>ÖSTERGÖTLANDS LÄN</t>
        </is>
      </c>
      <c r="E248" t="inlineStr">
        <is>
          <t>FINSPÅNG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11000-2020</t>
        </is>
      </c>
      <c r="B249" s="1" t="n">
        <v>43889</v>
      </c>
      <c r="C249" s="1" t="n">
        <v>45707</v>
      </c>
      <c r="D249" t="inlineStr">
        <is>
          <t>ÖSTERGÖTLANDS LÄN</t>
        </is>
      </c>
      <c r="E249" t="inlineStr">
        <is>
          <t>FINSPÅNG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11432-2020</t>
        </is>
      </c>
      <c r="B250" s="1" t="n">
        <v>43893</v>
      </c>
      <c r="C250" s="1" t="n">
        <v>45707</v>
      </c>
      <c r="D250" t="inlineStr">
        <is>
          <t>ÖSTERGÖTLANDS LÄN</t>
        </is>
      </c>
      <c r="E250" t="inlineStr">
        <is>
          <t>FINSPÅNG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12193-2020</t>
        </is>
      </c>
      <c r="B251" s="1" t="n">
        <v>43895</v>
      </c>
      <c r="C251" s="1" t="n">
        <v>45707</v>
      </c>
      <c r="D251" t="inlineStr">
        <is>
          <t>ÖSTERGÖTLANDS LÄN</t>
        </is>
      </c>
      <c r="E251" t="inlineStr">
        <is>
          <t>FINSPÅNG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12951-2020</t>
        </is>
      </c>
      <c r="B252" s="1" t="n">
        <v>43900</v>
      </c>
      <c r="C252" s="1" t="n">
        <v>45707</v>
      </c>
      <c r="D252" t="inlineStr">
        <is>
          <t>ÖSTERGÖTLANDS LÄN</t>
        </is>
      </c>
      <c r="E252" t="inlineStr">
        <is>
          <t>FINSPÅNG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13981-2020</t>
        </is>
      </c>
      <c r="B253" s="1" t="n">
        <v>43906</v>
      </c>
      <c r="C253" s="1" t="n">
        <v>45707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14849-2020</t>
        </is>
      </c>
      <c r="B254" s="1" t="n">
        <v>43909</v>
      </c>
      <c r="C254" s="1" t="n">
        <v>45707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14834-2020</t>
        </is>
      </c>
      <c r="B255" s="1" t="n">
        <v>43909</v>
      </c>
      <c r="C255" s="1" t="n">
        <v>45707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14840-2020</t>
        </is>
      </c>
      <c r="B256" s="1" t="n">
        <v>43909</v>
      </c>
      <c r="C256" s="1" t="n">
        <v>45707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15.6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14850-2020</t>
        </is>
      </c>
      <c r="B257" s="1" t="n">
        <v>43909</v>
      </c>
      <c r="C257" s="1" t="n">
        <v>45707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15216-2020</t>
        </is>
      </c>
      <c r="B258" s="1" t="n">
        <v>43913</v>
      </c>
      <c r="C258" s="1" t="n">
        <v>45707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15204-2020</t>
        </is>
      </c>
      <c r="B259" s="1" t="n">
        <v>43913</v>
      </c>
      <c r="C259" s="1" t="n">
        <v>45707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16008-2020</t>
        </is>
      </c>
      <c r="B260" s="1" t="n">
        <v>43916</v>
      </c>
      <c r="C260" s="1" t="n">
        <v>45707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19088-2020</t>
        </is>
      </c>
      <c r="B261" s="1" t="n">
        <v>43936</v>
      </c>
      <c r="C261" s="1" t="n">
        <v>45707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19081-2020</t>
        </is>
      </c>
      <c r="B262" s="1" t="n">
        <v>43936</v>
      </c>
      <c r="C262" s="1" t="n">
        <v>45707</v>
      </c>
      <c r="D262" t="inlineStr">
        <is>
          <t>ÖSTERGÖTLANDS LÄN</t>
        </is>
      </c>
      <c r="E262" t="inlineStr">
        <is>
          <t>FINSPÅNG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19496-2020</t>
        </is>
      </c>
      <c r="B263" s="1" t="n">
        <v>43938</v>
      </c>
      <c r="C263" s="1" t="n">
        <v>45707</v>
      </c>
      <c r="D263" t="inlineStr">
        <is>
          <t>ÖSTERGÖTLANDS LÄN</t>
        </is>
      </c>
      <c r="E263" t="inlineStr">
        <is>
          <t>FINSPÅNG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19494-2020</t>
        </is>
      </c>
      <c r="B264" s="1" t="n">
        <v>43938</v>
      </c>
      <c r="C264" s="1" t="n">
        <v>45707</v>
      </c>
      <c r="D264" t="inlineStr">
        <is>
          <t>ÖSTERGÖTLANDS LÄN</t>
        </is>
      </c>
      <c r="E264" t="inlineStr">
        <is>
          <t>FINSPÅNG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20859-2020</t>
        </is>
      </c>
      <c r="B265" s="1" t="n">
        <v>43948</v>
      </c>
      <c r="C265" s="1" t="n">
        <v>45707</v>
      </c>
      <c r="D265" t="inlineStr">
        <is>
          <t>ÖSTERGÖTLANDS LÄN</t>
        </is>
      </c>
      <c r="E265" t="inlineStr">
        <is>
          <t>FINSPÅNG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20551-2020</t>
        </is>
      </c>
      <c r="B266" s="1" t="n">
        <v>43948</v>
      </c>
      <c r="C266" s="1" t="n">
        <v>45707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20746-2020</t>
        </is>
      </c>
      <c r="B267" s="1" t="n">
        <v>43949</v>
      </c>
      <c r="C267" s="1" t="n">
        <v>45707</v>
      </c>
      <c r="D267" t="inlineStr">
        <is>
          <t>ÖSTERGÖTLANDS LÄN</t>
        </is>
      </c>
      <c r="E267" t="inlineStr">
        <is>
          <t>FINSPÅNG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21487-2020</t>
        </is>
      </c>
      <c r="B268" s="1" t="n">
        <v>43956</v>
      </c>
      <c r="C268" s="1" t="n">
        <v>45707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21583-2020</t>
        </is>
      </c>
      <c r="B269" s="1" t="n">
        <v>43956</v>
      </c>
      <c r="C269" s="1" t="n">
        <v>45707</v>
      </c>
      <c r="D269" t="inlineStr">
        <is>
          <t>ÖSTERGÖTLANDS LÄN</t>
        </is>
      </c>
      <c r="E269" t="inlineStr">
        <is>
          <t>FINSPÅNG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22631-2020</t>
        </is>
      </c>
      <c r="B270" s="1" t="n">
        <v>43963</v>
      </c>
      <c r="C270" s="1" t="n">
        <v>45707</v>
      </c>
      <c r="D270" t="inlineStr">
        <is>
          <t>ÖSTERGÖTLANDS LÄN</t>
        </is>
      </c>
      <c r="E270" t="inlineStr">
        <is>
          <t>FINSPÅNG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23378-2020</t>
        </is>
      </c>
      <c r="B271" s="1" t="n">
        <v>43967</v>
      </c>
      <c r="C271" s="1" t="n">
        <v>45707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23384-2020</t>
        </is>
      </c>
      <c r="B272" s="1" t="n">
        <v>43967</v>
      </c>
      <c r="C272" s="1" t="n">
        <v>45707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23925-2020</t>
        </is>
      </c>
      <c r="B273" s="1" t="n">
        <v>43971</v>
      </c>
      <c r="C273" s="1" t="n">
        <v>45707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24630-2020</t>
        </is>
      </c>
      <c r="B274" s="1" t="n">
        <v>43977</v>
      </c>
      <c r="C274" s="1" t="n">
        <v>45707</v>
      </c>
      <c r="D274" t="inlineStr">
        <is>
          <t>ÖSTERGÖTLANDS LÄN</t>
        </is>
      </c>
      <c r="E274" t="inlineStr">
        <is>
          <t>FINSPÅNG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25123-2020</t>
        </is>
      </c>
      <c r="B275" s="1" t="n">
        <v>43979</v>
      </c>
      <c r="C275" s="1" t="n">
        <v>45707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26346-2020</t>
        </is>
      </c>
      <c r="B276" s="1" t="n">
        <v>43986</v>
      </c>
      <c r="C276" s="1" t="n">
        <v>45707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27182-2020</t>
        </is>
      </c>
      <c r="B277" s="1" t="n">
        <v>43991</v>
      </c>
      <c r="C277" s="1" t="n">
        <v>45707</v>
      </c>
      <c r="D277" t="inlineStr">
        <is>
          <t>ÖSTERGÖTLANDS LÄN</t>
        </is>
      </c>
      <c r="E277" t="inlineStr">
        <is>
          <t>FINSPÅNG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27179-2020</t>
        </is>
      </c>
      <c r="B278" s="1" t="n">
        <v>43991</v>
      </c>
      <c r="C278" s="1" t="n">
        <v>45707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27456-2020</t>
        </is>
      </c>
      <c r="B279" s="1" t="n">
        <v>43993</v>
      </c>
      <c r="C279" s="1" t="n">
        <v>45707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28391-2020</t>
        </is>
      </c>
      <c r="B280" s="1" t="n">
        <v>43998</v>
      </c>
      <c r="C280" s="1" t="n">
        <v>45707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28389-2020</t>
        </is>
      </c>
      <c r="B281" s="1" t="n">
        <v>43998</v>
      </c>
      <c r="C281" s="1" t="n">
        <v>45707</v>
      </c>
      <c r="D281" t="inlineStr">
        <is>
          <t>ÖSTERGÖTLANDS LÄN</t>
        </is>
      </c>
      <c r="E281" t="inlineStr">
        <is>
          <t>FINSPÅNG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28403-2020</t>
        </is>
      </c>
      <c r="B282" s="1" t="n">
        <v>43998</v>
      </c>
      <c r="C282" s="1" t="n">
        <v>45707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29111-2020</t>
        </is>
      </c>
      <c r="B283" s="1" t="n">
        <v>44003</v>
      </c>
      <c r="C283" s="1" t="n">
        <v>45707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30626-2020</t>
        </is>
      </c>
      <c r="B284" s="1" t="n">
        <v>44008</v>
      </c>
      <c r="C284" s="1" t="n">
        <v>45707</v>
      </c>
      <c r="D284" t="inlineStr">
        <is>
          <t>ÖSTERGÖTLANDS LÄN</t>
        </is>
      </c>
      <c r="E284" t="inlineStr">
        <is>
          <t>FINSPÅNG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30624-2020</t>
        </is>
      </c>
      <c r="B285" s="1" t="n">
        <v>44008</v>
      </c>
      <c r="C285" s="1" t="n">
        <v>45707</v>
      </c>
      <c r="D285" t="inlineStr">
        <is>
          <t>ÖSTERGÖTLANDS LÄN</t>
        </is>
      </c>
      <c r="E285" t="inlineStr">
        <is>
          <t>FINSPÅNG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31278-2020</t>
        </is>
      </c>
      <c r="B286" s="1" t="n">
        <v>44011</v>
      </c>
      <c r="C286" s="1" t="n">
        <v>45707</v>
      </c>
      <c r="D286" t="inlineStr">
        <is>
          <t>ÖSTERGÖTLANDS LÄN</t>
        </is>
      </c>
      <c r="E286" t="inlineStr">
        <is>
          <t>FINSPÅNG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31266-2020</t>
        </is>
      </c>
      <c r="B287" s="1" t="n">
        <v>44011</v>
      </c>
      <c r="C287" s="1" t="n">
        <v>45707</v>
      </c>
      <c r="D287" t="inlineStr">
        <is>
          <t>ÖSTERGÖTLANDS LÄN</t>
        </is>
      </c>
      <c r="E287" t="inlineStr">
        <is>
          <t>FINSPÅNG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31611-2020</t>
        </is>
      </c>
      <c r="B288" s="1" t="n">
        <v>44013</v>
      </c>
      <c r="C288" s="1" t="n">
        <v>45707</v>
      </c>
      <c r="D288" t="inlineStr">
        <is>
          <t>ÖSTERGÖTLANDS LÄN</t>
        </is>
      </c>
      <c r="E288" t="inlineStr">
        <is>
          <t>FINSPÅNG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31612-2020</t>
        </is>
      </c>
      <c r="B289" s="1" t="n">
        <v>44013</v>
      </c>
      <c r="C289" s="1" t="n">
        <v>45707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32288-2020</t>
        </is>
      </c>
      <c r="B290" s="1" t="n">
        <v>44015</v>
      </c>
      <c r="C290" s="1" t="n">
        <v>45707</v>
      </c>
      <c r="D290" t="inlineStr">
        <is>
          <t>ÖSTERGÖTLANDS LÄN</t>
        </is>
      </c>
      <c r="E290" t="inlineStr">
        <is>
          <t>FINSPÅNG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32290-2020</t>
        </is>
      </c>
      <c r="B291" s="1" t="n">
        <v>44015</v>
      </c>
      <c r="C291" s="1" t="n">
        <v>45707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32389-2020</t>
        </is>
      </c>
      <c r="B292" s="1" t="n">
        <v>44018</v>
      </c>
      <c r="C292" s="1" t="n">
        <v>45707</v>
      </c>
      <c r="D292" t="inlineStr">
        <is>
          <t>ÖSTERGÖTLANDS LÄN</t>
        </is>
      </c>
      <c r="E292" t="inlineStr">
        <is>
          <t>FINSPÅNG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32392-2020</t>
        </is>
      </c>
      <c r="B293" s="1" t="n">
        <v>44018</v>
      </c>
      <c r="C293" s="1" t="n">
        <v>45707</v>
      </c>
      <c r="D293" t="inlineStr">
        <is>
          <t>ÖSTERGÖTLANDS LÄN</t>
        </is>
      </c>
      <c r="E293" t="inlineStr">
        <is>
          <t>FINSPÅNG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32384-2020</t>
        </is>
      </c>
      <c r="B294" s="1" t="n">
        <v>44018</v>
      </c>
      <c r="C294" s="1" t="n">
        <v>45707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32652-2020</t>
        </is>
      </c>
      <c r="B295" s="1" t="n">
        <v>44019</v>
      </c>
      <c r="C295" s="1" t="n">
        <v>45707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33090-2020</t>
        </is>
      </c>
      <c r="B296" s="1" t="n">
        <v>44021</v>
      </c>
      <c r="C296" s="1" t="n">
        <v>45707</v>
      </c>
      <c r="D296" t="inlineStr">
        <is>
          <t>ÖSTERGÖTLANDS LÄN</t>
        </is>
      </c>
      <c r="E296" t="inlineStr">
        <is>
          <t>FINSPÅNG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33297-2020</t>
        </is>
      </c>
      <c r="B297" s="1" t="n">
        <v>44022</v>
      </c>
      <c r="C297" s="1" t="n">
        <v>45707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33475-2020</t>
        </is>
      </c>
      <c r="B298" s="1" t="n">
        <v>44023</v>
      </c>
      <c r="C298" s="1" t="n">
        <v>45707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33906-2020</t>
        </is>
      </c>
      <c r="B299" s="1" t="n">
        <v>44027</v>
      </c>
      <c r="C299" s="1" t="n">
        <v>45707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34880-2020</t>
        </is>
      </c>
      <c r="B300" s="1" t="n">
        <v>44036</v>
      </c>
      <c r="C300" s="1" t="n">
        <v>45707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35050-2020</t>
        </is>
      </c>
      <c r="B301" s="1" t="n">
        <v>44039</v>
      </c>
      <c r="C301" s="1" t="n">
        <v>45707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36784-2020</t>
        </is>
      </c>
      <c r="B302" s="1" t="n">
        <v>44053</v>
      </c>
      <c r="C302" s="1" t="n">
        <v>45707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36925-2020</t>
        </is>
      </c>
      <c r="B303" s="1" t="n">
        <v>44053</v>
      </c>
      <c r="C303" s="1" t="n">
        <v>45707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36924-2020</t>
        </is>
      </c>
      <c r="B304" s="1" t="n">
        <v>44053</v>
      </c>
      <c r="C304" s="1" t="n">
        <v>45707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36920-2020</t>
        </is>
      </c>
      <c r="B305" s="1" t="n">
        <v>44053</v>
      </c>
      <c r="C305" s="1" t="n">
        <v>45707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37290-2020</t>
        </is>
      </c>
      <c r="B306" s="1" t="n">
        <v>44055</v>
      </c>
      <c r="C306" s="1" t="n">
        <v>45707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37294-2020</t>
        </is>
      </c>
      <c r="B307" s="1" t="n">
        <v>44055</v>
      </c>
      <c r="C307" s="1" t="n">
        <v>45707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37529-2020</t>
        </is>
      </c>
      <c r="B308" s="1" t="n">
        <v>44056</v>
      </c>
      <c r="C308" s="1" t="n">
        <v>45707</v>
      </c>
      <c r="D308" t="inlineStr">
        <is>
          <t>ÖSTERGÖTLANDS LÄN</t>
        </is>
      </c>
      <c r="E308" t="inlineStr">
        <is>
          <t>FINSPÅNG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37528-2020</t>
        </is>
      </c>
      <c r="B309" s="1" t="n">
        <v>44056</v>
      </c>
      <c r="C309" s="1" t="n">
        <v>45707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37884-2020</t>
        </is>
      </c>
      <c r="B310" s="1" t="n">
        <v>44057</v>
      </c>
      <c r="C310" s="1" t="n">
        <v>45707</v>
      </c>
      <c r="D310" t="inlineStr">
        <is>
          <t>ÖSTERGÖTLANDS LÄN</t>
        </is>
      </c>
      <c r="E310" t="inlineStr">
        <is>
          <t>FINSPÅNG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38005-2020</t>
        </is>
      </c>
      <c r="B311" s="1" t="n">
        <v>44057</v>
      </c>
      <c r="C311" s="1" t="n">
        <v>45707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38923-2020</t>
        </is>
      </c>
      <c r="B312" s="1" t="n">
        <v>44062</v>
      </c>
      <c r="C312" s="1" t="n">
        <v>45707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40125-2020</t>
        </is>
      </c>
      <c r="B313" s="1" t="n">
        <v>44064</v>
      </c>
      <c r="C313" s="1" t="n">
        <v>45707</v>
      </c>
      <c r="D313" t="inlineStr">
        <is>
          <t>ÖSTERGÖTLANDS LÄN</t>
        </is>
      </c>
      <c r="E313" t="inlineStr">
        <is>
          <t>FINSPÅNG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39869-2020</t>
        </is>
      </c>
      <c r="B314" s="1" t="n">
        <v>44067</v>
      </c>
      <c r="C314" s="1" t="n">
        <v>45707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39870-2020</t>
        </is>
      </c>
      <c r="B315" s="1" t="n">
        <v>44067</v>
      </c>
      <c r="C315" s="1" t="n">
        <v>45707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40635-2020</t>
        </is>
      </c>
      <c r="B316" s="1" t="n">
        <v>44069</v>
      </c>
      <c r="C316" s="1" t="n">
        <v>45707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40546-2020</t>
        </is>
      </c>
      <c r="B317" s="1" t="n">
        <v>44069</v>
      </c>
      <c r="C317" s="1" t="n">
        <v>45707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41084-2020</t>
        </is>
      </c>
      <c r="B318" s="1" t="n">
        <v>44071</v>
      </c>
      <c r="C318" s="1" t="n">
        <v>45707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41247-2020</t>
        </is>
      </c>
      <c r="B319" s="1" t="n">
        <v>44071</v>
      </c>
      <c r="C319" s="1" t="n">
        <v>45707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41331-2020</t>
        </is>
      </c>
      <c r="B320" s="1" t="n">
        <v>44071</v>
      </c>
      <c r="C320" s="1" t="n">
        <v>45707</v>
      </c>
      <c r="D320" t="inlineStr">
        <is>
          <t>ÖSTERGÖTLANDS LÄN</t>
        </is>
      </c>
      <c r="E320" t="inlineStr">
        <is>
          <t>FINSPÅNG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41599-2020</t>
        </is>
      </c>
      <c r="B321" s="1" t="n">
        <v>44074</v>
      </c>
      <c r="C321" s="1" t="n">
        <v>45707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41968-2020</t>
        </is>
      </c>
      <c r="B322" s="1" t="n">
        <v>44075</v>
      </c>
      <c r="C322" s="1" t="n">
        <v>45707</v>
      </c>
      <c r="D322" t="inlineStr">
        <is>
          <t>ÖSTERGÖTLANDS LÄN</t>
        </is>
      </c>
      <c r="E322" t="inlineStr">
        <is>
          <t>FINSPÅNG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42195-2020</t>
        </is>
      </c>
      <c r="B323" s="1" t="n">
        <v>44075</v>
      </c>
      <c r="C323" s="1" t="n">
        <v>45707</v>
      </c>
      <c r="D323" t="inlineStr">
        <is>
          <t>ÖSTERGÖTLANDS LÄN</t>
        </is>
      </c>
      <c r="E323" t="inlineStr">
        <is>
          <t>FINSPÅNG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42194-2020</t>
        </is>
      </c>
      <c r="B324" s="1" t="n">
        <v>44075</v>
      </c>
      <c r="C324" s="1" t="n">
        <v>45707</v>
      </c>
      <c r="D324" t="inlineStr">
        <is>
          <t>ÖSTERGÖTLANDS LÄN</t>
        </is>
      </c>
      <c r="E324" t="inlineStr">
        <is>
          <t>FINSPÅNG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42235-2020</t>
        </is>
      </c>
      <c r="B325" s="1" t="n">
        <v>44076</v>
      </c>
      <c r="C325" s="1" t="n">
        <v>45707</v>
      </c>
      <c r="D325" t="inlineStr">
        <is>
          <t>ÖSTERGÖTLANDS LÄN</t>
        </is>
      </c>
      <c r="E325" t="inlineStr">
        <is>
          <t>FINSPÅNG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42451-2020</t>
        </is>
      </c>
      <c r="B326" s="1" t="n">
        <v>44076</v>
      </c>
      <c r="C326" s="1" t="n">
        <v>45707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42315-2020</t>
        </is>
      </c>
      <c r="B327" s="1" t="n">
        <v>44076</v>
      </c>
      <c r="C327" s="1" t="n">
        <v>45707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42459-2020</t>
        </is>
      </c>
      <c r="B328" s="1" t="n">
        <v>44076</v>
      </c>
      <c r="C328" s="1" t="n">
        <v>45707</v>
      </c>
      <c r="D328" t="inlineStr">
        <is>
          <t>ÖSTERGÖTLANDS LÄN</t>
        </is>
      </c>
      <c r="E328" t="inlineStr">
        <is>
          <t>FINSPÅNG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42452-2020</t>
        </is>
      </c>
      <c r="B329" s="1" t="n">
        <v>44076</v>
      </c>
      <c r="C329" s="1" t="n">
        <v>45707</v>
      </c>
      <c r="D329" t="inlineStr">
        <is>
          <t>ÖSTERGÖTLANDS LÄN</t>
        </is>
      </c>
      <c r="E329" t="inlineStr">
        <is>
          <t>FINSPÅNG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43118-2020</t>
        </is>
      </c>
      <c r="B330" s="1" t="n">
        <v>44079</v>
      </c>
      <c r="C330" s="1" t="n">
        <v>45707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43113-2020</t>
        </is>
      </c>
      <c r="B331" s="1" t="n">
        <v>44079</v>
      </c>
      <c r="C331" s="1" t="n">
        <v>45707</v>
      </c>
      <c r="D331" t="inlineStr">
        <is>
          <t>ÖSTERGÖTLANDS LÄN</t>
        </is>
      </c>
      <c r="E331" t="inlineStr">
        <is>
          <t>FINSPÅNG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44480-2020</t>
        </is>
      </c>
      <c r="B332" s="1" t="n">
        <v>44084</v>
      </c>
      <c r="C332" s="1" t="n">
        <v>45707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44477-2020</t>
        </is>
      </c>
      <c r="B333" s="1" t="n">
        <v>44084</v>
      </c>
      <c r="C333" s="1" t="n">
        <v>45707</v>
      </c>
      <c r="D333" t="inlineStr">
        <is>
          <t>ÖSTERGÖTLANDS LÄN</t>
        </is>
      </c>
      <c r="E333" t="inlineStr">
        <is>
          <t>FINSPÅNG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44478-2020</t>
        </is>
      </c>
      <c r="B334" s="1" t="n">
        <v>44084</v>
      </c>
      <c r="C334" s="1" t="n">
        <v>45707</v>
      </c>
      <c r="D334" t="inlineStr">
        <is>
          <t>ÖSTERGÖTLANDS LÄN</t>
        </is>
      </c>
      <c r="E334" t="inlineStr">
        <is>
          <t>FINSPÅNG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44485-2020</t>
        </is>
      </c>
      <c r="B335" s="1" t="n">
        <v>44084</v>
      </c>
      <c r="C335" s="1" t="n">
        <v>45707</v>
      </c>
      <c r="D335" t="inlineStr">
        <is>
          <t>ÖSTERGÖTLANDS LÄN</t>
        </is>
      </c>
      <c r="E335" t="inlineStr">
        <is>
          <t>FINSPÅNG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44817-2020</t>
        </is>
      </c>
      <c r="B336" s="1" t="n">
        <v>44085</v>
      </c>
      <c r="C336" s="1" t="n">
        <v>45707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44821-2020</t>
        </is>
      </c>
      <c r="B337" s="1" t="n">
        <v>44085</v>
      </c>
      <c r="C337" s="1" t="n">
        <v>45707</v>
      </c>
      <c r="D337" t="inlineStr">
        <is>
          <t>ÖSTERGÖTLANDS LÄN</t>
        </is>
      </c>
      <c r="E337" t="inlineStr">
        <is>
          <t>FINSPÅNG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44819-2020</t>
        </is>
      </c>
      <c r="B338" s="1" t="n">
        <v>44085</v>
      </c>
      <c r="C338" s="1" t="n">
        <v>45707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46063-2020</t>
        </is>
      </c>
      <c r="B339" s="1" t="n">
        <v>44088</v>
      </c>
      <c r="C339" s="1" t="n">
        <v>45707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47390-2020</t>
        </is>
      </c>
      <c r="B340" s="1" t="n">
        <v>44097</v>
      </c>
      <c r="C340" s="1" t="n">
        <v>45707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48015-2020</t>
        </is>
      </c>
      <c r="B341" s="1" t="n">
        <v>44099</v>
      </c>
      <c r="C341" s="1" t="n">
        <v>45707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48012-2020</t>
        </is>
      </c>
      <c r="B342" s="1" t="n">
        <v>44099</v>
      </c>
      <c r="C342" s="1" t="n">
        <v>45707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48273-2020</t>
        </is>
      </c>
      <c r="B343" s="1" t="n">
        <v>44102</v>
      </c>
      <c r="C343" s="1" t="n">
        <v>45707</v>
      </c>
      <c r="D343" t="inlineStr">
        <is>
          <t>ÖSTERGÖTLANDS LÄN</t>
        </is>
      </c>
      <c r="E343" t="inlineStr">
        <is>
          <t>FINSPÅNG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48674-2020</t>
        </is>
      </c>
      <c r="B344" s="1" t="n">
        <v>44103</v>
      </c>
      <c r="C344" s="1" t="n">
        <v>45707</v>
      </c>
      <c r="D344" t="inlineStr">
        <is>
          <t>ÖSTERGÖTLANDS LÄN</t>
        </is>
      </c>
      <c r="E344" t="inlineStr">
        <is>
          <t>FINSPÅNG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48669-2020</t>
        </is>
      </c>
      <c r="B345" s="1" t="n">
        <v>44103</v>
      </c>
      <c r="C345" s="1" t="n">
        <v>45707</v>
      </c>
      <c r="D345" t="inlineStr">
        <is>
          <t>ÖSTERGÖTLANDS LÄN</t>
        </is>
      </c>
      <c r="E345" t="inlineStr">
        <is>
          <t>FINSPÅNG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49620-2020</t>
        </is>
      </c>
      <c r="B346" s="1" t="n">
        <v>44103</v>
      </c>
      <c r="C346" s="1" t="n">
        <v>45707</v>
      </c>
      <c r="D346" t="inlineStr">
        <is>
          <t>ÖSTERGÖTLANDS LÄN</t>
        </is>
      </c>
      <c r="E346" t="inlineStr">
        <is>
          <t>FINSPÅNG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49861-2020</t>
        </is>
      </c>
      <c r="B347" s="1" t="n">
        <v>44107</v>
      </c>
      <c r="C347" s="1" t="n">
        <v>45707</v>
      </c>
      <c r="D347" t="inlineStr">
        <is>
          <t>ÖSTERGÖTLANDS LÄN</t>
        </is>
      </c>
      <c r="E347" t="inlineStr">
        <is>
          <t>FINSPÅNG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49862-2020</t>
        </is>
      </c>
      <c r="B348" s="1" t="n">
        <v>44107</v>
      </c>
      <c r="C348" s="1" t="n">
        <v>45707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50207-2020</t>
        </is>
      </c>
      <c r="B349" s="1" t="n">
        <v>44109</v>
      </c>
      <c r="C349" s="1" t="n">
        <v>45707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50284-2020</t>
        </is>
      </c>
      <c r="B350" s="1" t="n">
        <v>44109</v>
      </c>
      <c r="C350" s="1" t="n">
        <v>45707</v>
      </c>
      <c r="D350" t="inlineStr">
        <is>
          <t>ÖSTERGÖTLANDS LÄN</t>
        </is>
      </c>
      <c r="E350" t="inlineStr">
        <is>
          <t>FINSPÅNG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50288-2020</t>
        </is>
      </c>
      <c r="B351" s="1" t="n">
        <v>44110</v>
      </c>
      <c r="C351" s="1" t="n">
        <v>45707</v>
      </c>
      <c r="D351" t="inlineStr">
        <is>
          <t>ÖSTERGÖTLANDS LÄN</t>
        </is>
      </c>
      <c r="E351" t="inlineStr">
        <is>
          <t>FINSPÅNG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51234-2020</t>
        </is>
      </c>
      <c r="B352" s="1" t="n">
        <v>44112</v>
      </c>
      <c r="C352" s="1" t="n">
        <v>45707</v>
      </c>
      <c r="D352" t="inlineStr">
        <is>
          <t>ÖSTERGÖTLANDS LÄN</t>
        </is>
      </c>
      <c r="E352" t="inlineStr">
        <is>
          <t>FINSPÅNG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52183-2020</t>
        </is>
      </c>
      <c r="B353" s="1" t="n">
        <v>44117</v>
      </c>
      <c r="C353" s="1" t="n">
        <v>45707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52604-2020</t>
        </is>
      </c>
      <c r="B354" s="1" t="n">
        <v>44118</v>
      </c>
      <c r="C354" s="1" t="n">
        <v>45707</v>
      </c>
      <c r="D354" t="inlineStr">
        <is>
          <t>ÖSTERGÖTLANDS LÄN</t>
        </is>
      </c>
      <c r="E354" t="inlineStr">
        <is>
          <t>FINSPÅNG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52605-2020</t>
        </is>
      </c>
      <c r="B355" s="1" t="n">
        <v>44118</v>
      </c>
      <c r="C355" s="1" t="n">
        <v>45707</v>
      </c>
      <c r="D355" t="inlineStr">
        <is>
          <t>ÖSTERGÖTLANDS LÄN</t>
        </is>
      </c>
      <c r="E355" t="inlineStr">
        <is>
          <t>FINSPÅNG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52705-2020</t>
        </is>
      </c>
      <c r="B356" s="1" t="n">
        <v>44119</v>
      </c>
      <c r="C356" s="1" t="n">
        <v>45707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53403-2020</t>
        </is>
      </c>
      <c r="B357" s="1" t="n">
        <v>44123</v>
      </c>
      <c r="C357" s="1" t="n">
        <v>45707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54179-2020</t>
        </is>
      </c>
      <c r="B358" s="1" t="n">
        <v>44125</v>
      </c>
      <c r="C358" s="1" t="n">
        <v>45707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53867-2020</t>
        </is>
      </c>
      <c r="B359" s="1" t="n">
        <v>44125</v>
      </c>
      <c r="C359" s="1" t="n">
        <v>45707</v>
      </c>
      <c r="D359" t="inlineStr">
        <is>
          <t>ÖSTERGÖTLANDS LÄN</t>
        </is>
      </c>
      <c r="E359" t="inlineStr">
        <is>
          <t>FINSPÅNG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53896-2020</t>
        </is>
      </c>
      <c r="B360" s="1" t="n">
        <v>44125</v>
      </c>
      <c r="C360" s="1" t="n">
        <v>45707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54834-2020</t>
        </is>
      </c>
      <c r="B361" s="1" t="n">
        <v>44127</v>
      </c>
      <c r="C361" s="1" t="n">
        <v>45707</v>
      </c>
      <c r="D361" t="inlineStr">
        <is>
          <t>ÖSTERGÖTLANDS LÄN</t>
        </is>
      </c>
      <c r="E361" t="inlineStr">
        <is>
          <t>FINSPÅNG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54838-2020</t>
        </is>
      </c>
      <c r="B362" s="1" t="n">
        <v>44128</v>
      </c>
      <c r="C362" s="1" t="n">
        <v>45707</v>
      </c>
      <c r="D362" t="inlineStr">
        <is>
          <t>ÖSTERGÖTLANDS LÄN</t>
        </is>
      </c>
      <c r="E362" t="inlineStr">
        <is>
          <t>FINSPÅNG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54859-2020</t>
        </is>
      </c>
      <c r="B363" s="1" t="n">
        <v>44128</v>
      </c>
      <c r="C363" s="1" t="n">
        <v>45707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54855-2020</t>
        </is>
      </c>
      <c r="B364" s="1" t="n">
        <v>44128</v>
      </c>
      <c r="C364" s="1" t="n">
        <v>45707</v>
      </c>
      <c r="D364" t="inlineStr">
        <is>
          <t>ÖSTERGÖTLANDS LÄN</t>
        </is>
      </c>
      <c r="E364" t="inlineStr">
        <is>
          <t>FINSPÅNG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55405-2020</t>
        </is>
      </c>
      <c r="B365" s="1" t="n">
        <v>44131</v>
      </c>
      <c r="C365" s="1" t="n">
        <v>45707</v>
      </c>
      <c r="D365" t="inlineStr">
        <is>
          <t>ÖSTERGÖTLANDS LÄN</t>
        </is>
      </c>
      <c r="E365" t="inlineStr">
        <is>
          <t>FINSPÅNG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55860-2020</t>
        </is>
      </c>
      <c r="B366" s="1" t="n">
        <v>44132</v>
      </c>
      <c r="C366" s="1" t="n">
        <v>45707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56557-2020</t>
        </is>
      </c>
      <c r="B367" s="1" t="n">
        <v>44137</v>
      </c>
      <c r="C367" s="1" t="n">
        <v>45707</v>
      </c>
      <c r="D367" t="inlineStr">
        <is>
          <t>ÖSTERGÖTLANDS LÄN</t>
        </is>
      </c>
      <c r="E367" t="inlineStr">
        <is>
          <t>FINSPÅNG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58632-2020</t>
        </is>
      </c>
      <c r="B368" s="1" t="n">
        <v>44145</v>
      </c>
      <c r="C368" s="1" t="n">
        <v>45707</v>
      </c>
      <c r="D368" t="inlineStr">
        <is>
          <t>ÖSTERGÖTLANDS LÄN</t>
        </is>
      </c>
      <c r="E368" t="inlineStr">
        <is>
          <t>FINSPÅNG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59430-2020</t>
        </is>
      </c>
      <c r="B369" s="1" t="n">
        <v>44148</v>
      </c>
      <c r="C369" s="1" t="n">
        <v>45707</v>
      </c>
      <c r="D369" t="inlineStr">
        <is>
          <t>ÖSTERGÖTLANDS LÄN</t>
        </is>
      </c>
      <c r="E369" t="inlineStr">
        <is>
          <t>FINSPÅNG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59694-2020</t>
        </is>
      </c>
      <c r="B370" s="1" t="n">
        <v>44151</v>
      </c>
      <c r="C370" s="1" t="n">
        <v>45707</v>
      </c>
      <c r="D370" t="inlineStr">
        <is>
          <t>ÖSTERGÖTLANDS LÄN</t>
        </is>
      </c>
      <c r="E370" t="inlineStr">
        <is>
          <t>FINSPÅNG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59765-2020</t>
        </is>
      </c>
      <c r="B371" s="1" t="n">
        <v>44151</v>
      </c>
      <c r="C371" s="1" t="n">
        <v>45707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59931-2020</t>
        </is>
      </c>
      <c r="B372" s="1" t="n">
        <v>44151</v>
      </c>
      <c r="C372" s="1" t="n">
        <v>45707</v>
      </c>
      <c r="D372" t="inlineStr">
        <is>
          <t>ÖSTERGÖTLANDS LÄN</t>
        </is>
      </c>
      <c r="E372" t="inlineStr">
        <is>
          <t>FINSPÅNG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61384-2020</t>
        </is>
      </c>
      <c r="B373" s="1" t="n">
        <v>44155</v>
      </c>
      <c r="C373" s="1" t="n">
        <v>45707</v>
      </c>
      <c r="D373" t="inlineStr">
        <is>
          <t>ÖSTERGÖTLANDS LÄN</t>
        </is>
      </c>
      <c r="E373" t="inlineStr">
        <is>
          <t>FINSPÅNG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61262-2020</t>
        </is>
      </c>
      <c r="B374" s="1" t="n">
        <v>44155</v>
      </c>
      <c r="C374" s="1" t="n">
        <v>45707</v>
      </c>
      <c r="D374" t="inlineStr">
        <is>
          <t>ÖSTERGÖTLANDS LÄN</t>
        </is>
      </c>
      <c r="E374" t="inlineStr">
        <is>
          <t>FINSPÅNG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61783-2020</t>
        </is>
      </c>
      <c r="B375" s="1" t="n">
        <v>44158</v>
      </c>
      <c r="C375" s="1" t="n">
        <v>45707</v>
      </c>
      <c r="D375" t="inlineStr">
        <is>
          <t>ÖSTERGÖTLANDS LÄN</t>
        </is>
      </c>
      <c r="E375" t="inlineStr">
        <is>
          <t>FINSPÅNG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61782-2020</t>
        </is>
      </c>
      <c r="B376" s="1" t="n">
        <v>44158</v>
      </c>
      <c r="C376" s="1" t="n">
        <v>45707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61964-2020</t>
        </is>
      </c>
      <c r="B377" s="1" t="n">
        <v>44159</v>
      </c>
      <c r="C377" s="1" t="n">
        <v>45707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62413-2020</t>
        </is>
      </c>
      <c r="B378" s="1" t="n">
        <v>44160</v>
      </c>
      <c r="C378" s="1" t="n">
        <v>45707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62498-2020</t>
        </is>
      </c>
      <c r="B379" s="1" t="n">
        <v>44160</v>
      </c>
      <c r="C379" s="1" t="n">
        <v>45707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62436-2020</t>
        </is>
      </c>
      <c r="B380" s="1" t="n">
        <v>44160</v>
      </c>
      <c r="C380" s="1" t="n">
        <v>45707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62847-2020</t>
        </is>
      </c>
      <c r="B381" s="1" t="n">
        <v>44161</v>
      </c>
      <c r="C381" s="1" t="n">
        <v>45707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62845-2020</t>
        </is>
      </c>
      <c r="B382" s="1" t="n">
        <v>44161</v>
      </c>
      <c r="C382" s="1" t="n">
        <v>45707</v>
      </c>
      <c r="D382" t="inlineStr">
        <is>
          <t>ÖSTERGÖTLANDS LÄN</t>
        </is>
      </c>
      <c r="E382" t="inlineStr">
        <is>
          <t>FINSPÅNG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62976-2020</t>
        </is>
      </c>
      <c r="B383" s="1" t="n">
        <v>44162</v>
      </c>
      <c r="C383" s="1" t="n">
        <v>45707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63344-2020</t>
        </is>
      </c>
      <c r="B384" s="1" t="n">
        <v>44165</v>
      </c>
      <c r="C384" s="1" t="n">
        <v>45707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63407-2020</t>
        </is>
      </c>
      <c r="B385" s="1" t="n">
        <v>44165</v>
      </c>
      <c r="C385" s="1" t="n">
        <v>45707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63480-2020</t>
        </is>
      </c>
      <c r="B386" s="1" t="n">
        <v>44165</v>
      </c>
      <c r="C386" s="1" t="n">
        <v>45707</v>
      </c>
      <c r="D386" t="inlineStr">
        <is>
          <t>ÖSTERGÖTLANDS LÄN</t>
        </is>
      </c>
      <c r="E386" t="inlineStr">
        <is>
          <t>FINSPÅNG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64112-2020</t>
        </is>
      </c>
      <c r="B387" s="1" t="n">
        <v>44167</v>
      </c>
      <c r="C387" s="1" t="n">
        <v>45707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64617-2020</t>
        </is>
      </c>
      <c r="B388" s="1" t="n">
        <v>44169</v>
      </c>
      <c r="C388" s="1" t="n">
        <v>45707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65234-2020</t>
        </is>
      </c>
      <c r="B389" s="1" t="n">
        <v>44172</v>
      </c>
      <c r="C389" s="1" t="n">
        <v>45707</v>
      </c>
      <c r="D389" t="inlineStr">
        <is>
          <t>ÖSTERGÖTLANDS LÄN</t>
        </is>
      </c>
      <c r="E389" t="inlineStr">
        <is>
          <t>FINSPÅNG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65237-2020</t>
        </is>
      </c>
      <c r="B390" s="1" t="n">
        <v>44172</v>
      </c>
      <c r="C390" s="1" t="n">
        <v>45707</v>
      </c>
      <c r="D390" t="inlineStr">
        <is>
          <t>ÖSTERGÖTLANDS LÄN</t>
        </is>
      </c>
      <c r="E390" t="inlineStr">
        <is>
          <t>FINSPÅNG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66382-2020</t>
        </is>
      </c>
      <c r="B391" s="1" t="n">
        <v>44176</v>
      </c>
      <c r="C391" s="1" t="n">
        <v>45707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66351-2020</t>
        </is>
      </c>
      <c r="B392" s="1" t="n">
        <v>44176</v>
      </c>
      <c r="C392" s="1" t="n">
        <v>45707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67208-2020</t>
        </is>
      </c>
      <c r="B393" s="1" t="n">
        <v>44180</v>
      </c>
      <c r="C393" s="1" t="n">
        <v>45707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67452-2020</t>
        </is>
      </c>
      <c r="B394" s="1" t="n">
        <v>44181</v>
      </c>
      <c r="C394" s="1" t="n">
        <v>45707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67578-2020</t>
        </is>
      </c>
      <c r="B395" s="1" t="n">
        <v>44181</v>
      </c>
      <c r="C395" s="1" t="n">
        <v>45707</v>
      </c>
      <c r="D395" t="inlineStr">
        <is>
          <t>ÖSTERGÖTLANDS LÄN</t>
        </is>
      </c>
      <c r="E395" t="inlineStr">
        <is>
          <t>FINSPÅNG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67473-2020</t>
        </is>
      </c>
      <c r="B396" s="1" t="n">
        <v>44181</v>
      </c>
      <c r="C396" s="1" t="n">
        <v>45707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67794-2020</t>
        </is>
      </c>
      <c r="B397" s="1" t="n">
        <v>44182</v>
      </c>
      <c r="C397" s="1" t="n">
        <v>45707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67702-2020</t>
        </is>
      </c>
      <c r="B398" s="1" t="n">
        <v>44182</v>
      </c>
      <c r="C398" s="1" t="n">
        <v>45707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67937-2020</t>
        </is>
      </c>
      <c r="B399" s="1" t="n">
        <v>44182</v>
      </c>
      <c r="C399" s="1" t="n">
        <v>45707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69310-2020</t>
        </is>
      </c>
      <c r="B400" s="1" t="n">
        <v>44193</v>
      </c>
      <c r="C400" s="1" t="n">
        <v>45707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69377-2020</t>
        </is>
      </c>
      <c r="B401" s="1" t="n">
        <v>44193</v>
      </c>
      <c r="C401" s="1" t="n">
        <v>45707</v>
      </c>
      <c r="D401" t="inlineStr">
        <is>
          <t>ÖSTERGÖTLANDS LÄN</t>
        </is>
      </c>
      <c r="E401" t="inlineStr">
        <is>
          <t>FINSPÅNG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69395-2020</t>
        </is>
      </c>
      <c r="B402" s="1" t="n">
        <v>44193</v>
      </c>
      <c r="C402" s="1" t="n">
        <v>45707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69386-2020</t>
        </is>
      </c>
      <c r="B403" s="1" t="n">
        <v>44193</v>
      </c>
      <c r="C403" s="1" t="n">
        <v>45707</v>
      </c>
      <c r="D403" t="inlineStr">
        <is>
          <t>ÖSTERGÖTLANDS LÄN</t>
        </is>
      </c>
      <c r="E403" t="inlineStr">
        <is>
          <t>FINSPÅNG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594-2021</t>
        </is>
      </c>
      <c r="B404" s="1" t="n">
        <v>44203</v>
      </c>
      <c r="C404" s="1" t="n">
        <v>45707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595-2021</t>
        </is>
      </c>
      <c r="B405" s="1" t="n">
        <v>44203</v>
      </c>
      <c r="C405" s="1" t="n">
        <v>45707</v>
      </c>
      <c r="D405" t="inlineStr">
        <is>
          <t>ÖSTERGÖTLANDS LÄN</t>
        </is>
      </c>
      <c r="E405" t="inlineStr">
        <is>
          <t>FINSPÅNG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608-2021</t>
        </is>
      </c>
      <c r="B406" s="1" t="n">
        <v>44203</v>
      </c>
      <c r="C406" s="1" t="n">
        <v>45707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586-2021</t>
        </is>
      </c>
      <c r="B407" s="1" t="n">
        <v>44203</v>
      </c>
      <c r="C407" s="1" t="n">
        <v>45707</v>
      </c>
      <c r="D407" t="inlineStr">
        <is>
          <t>ÖSTERGÖTLANDS LÄN</t>
        </is>
      </c>
      <c r="E407" t="inlineStr">
        <is>
          <t>FINSPÅNG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1275-2021</t>
        </is>
      </c>
      <c r="B408" s="1" t="n">
        <v>44208</v>
      </c>
      <c r="C408" s="1" t="n">
        <v>45707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1514-2021</t>
        </is>
      </c>
      <c r="B409" s="1" t="n">
        <v>44209</v>
      </c>
      <c r="C409" s="1" t="n">
        <v>45707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1674-2021</t>
        </is>
      </c>
      <c r="B410" s="1" t="n">
        <v>44209</v>
      </c>
      <c r="C410" s="1" t="n">
        <v>45707</v>
      </c>
      <c r="D410" t="inlineStr">
        <is>
          <t>ÖSTERGÖTLANDS LÄN</t>
        </is>
      </c>
      <c r="E410" t="inlineStr">
        <is>
          <t>FINSPÅNG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2081-2021</t>
        </is>
      </c>
      <c r="B411" s="1" t="n">
        <v>44211</v>
      </c>
      <c r="C411" s="1" t="n">
        <v>45707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2329-2021</t>
        </is>
      </c>
      <c r="B412" s="1" t="n">
        <v>44214</v>
      </c>
      <c r="C412" s="1" t="n">
        <v>45707</v>
      </c>
      <c r="D412" t="inlineStr">
        <is>
          <t>ÖSTERGÖTLANDS LÄN</t>
        </is>
      </c>
      <c r="E412" t="inlineStr">
        <is>
          <t>FINSPÅNG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2330-2021</t>
        </is>
      </c>
      <c r="B413" s="1" t="n">
        <v>44214</v>
      </c>
      <c r="C413" s="1" t="n">
        <v>45707</v>
      </c>
      <c r="D413" t="inlineStr">
        <is>
          <t>ÖSTERGÖTLANDS LÄN</t>
        </is>
      </c>
      <c r="E413" t="inlineStr">
        <is>
          <t>FINSPÅNG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2740-2021</t>
        </is>
      </c>
      <c r="B414" s="1" t="n">
        <v>44215</v>
      </c>
      <c r="C414" s="1" t="n">
        <v>45707</v>
      </c>
      <c r="D414" t="inlineStr">
        <is>
          <t>ÖSTERGÖTLANDS LÄN</t>
        </is>
      </c>
      <c r="E414" t="inlineStr">
        <is>
          <t>FINSPÅNG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3001-2021</t>
        </is>
      </c>
      <c r="B415" s="1" t="n">
        <v>44216</v>
      </c>
      <c r="C415" s="1" t="n">
        <v>45707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3057-2021</t>
        </is>
      </c>
      <c r="B416" s="1" t="n">
        <v>44216</v>
      </c>
      <c r="C416" s="1" t="n">
        <v>45707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3079-2021</t>
        </is>
      </c>
      <c r="B417" s="1" t="n">
        <v>44216</v>
      </c>
      <c r="C417" s="1" t="n">
        <v>45707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2997-2021</t>
        </is>
      </c>
      <c r="B418" s="1" t="n">
        <v>44216</v>
      </c>
      <c r="C418" s="1" t="n">
        <v>45707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3055-2021</t>
        </is>
      </c>
      <c r="B419" s="1" t="n">
        <v>44216</v>
      </c>
      <c r="C419" s="1" t="n">
        <v>45707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3088-2021</t>
        </is>
      </c>
      <c r="B420" s="1" t="n">
        <v>44216</v>
      </c>
      <c r="C420" s="1" t="n">
        <v>45707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3324-2021</t>
        </is>
      </c>
      <c r="B421" s="1" t="n">
        <v>44217</v>
      </c>
      <c r="C421" s="1" t="n">
        <v>45707</v>
      </c>
      <c r="D421" t="inlineStr">
        <is>
          <t>ÖSTERGÖTLANDS LÄN</t>
        </is>
      </c>
      <c r="E421" t="inlineStr">
        <is>
          <t>FINSPÅNG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3416-2021</t>
        </is>
      </c>
      <c r="B422" s="1" t="n">
        <v>44218</v>
      </c>
      <c r="C422" s="1" t="n">
        <v>45707</v>
      </c>
      <c r="D422" t="inlineStr">
        <is>
          <t>ÖSTERGÖTLANDS LÄN</t>
        </is>
      </c>
      <c r="E422" t="inlineStr">
        <is>
          <t>FINSPÅNG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3503-2021</t>
        </is>
      </c>
      <c r="B423" s="1" t="n">
        <v>44218</v>
      </c>
      <c r="C423" s="1" t="n">
        <v>45707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3437-2021</t>
        </is>
      </c>
      <c r="B424" s="1" t="n">
        <v>44218</v>
      </c>
      <c r="C424" s="1" t="n">
        <v>45707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3398-2021</t>
        </is>
      </c>
      <c r="B425" s="1" t="n">
        <v>44218</v>
      </c>
      <c r="C425" s="1" t="n">
        <v>45707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3393-2021</t>
        </is>
      </c>
      <c r="B426" s="1" t="n">
        <v>44218</v>
      </c>
      <c r="C426" s="1" t="n">
        <v>45707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3700-2021</t>
        </is>
      </c>
      <c r="B427" s="1" t="n">
        <v>44221</v>
      </c>
      <c r="C427" s="1" t="n">
        <v>45707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3762-2021</t>
        </is>
      </c>
      <c r="B428" s="1" t="n">
        <v>44221</v>
      </c>
      <c r="C428" s="1" t="n">
        <v>45707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4237-2021</t>
        </is>
      </c>
      <c r="B429" s="1" t="n">
        <v>44223</v>
      </c>
      <c r="C429" s="1" t="n">
        <v>45707</v>
      </c>
      <c r="D429" t="inlineStr">
        <is>
          <t>ÖSTERGÖTLANDS LÄN</t>
        </is>
      </c>
      <c r="E429" t="inlineStr">
        <is>
          <t>FINSPÅNG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4955-2021</t>
        </is>
      </c>
      <c r="B430" s="1" t="n">
        <v>44228</v>
      </c>
      <c r="C430" s="1" t="n">
        <v>45707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7242-2021</t>
        </is>
      </c>
      <c r="B431" s="1" t="n">
        <v>44238</v>
      </c>
      <c r="C431" s="1" t="n">
        <v>45707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7543-2021</t>
        </is>
      </c>
      <c r="B432" s="1" t="n">
        <v>44239</v>
      </c>
      <c r="C432" s="1" t="n">
        <v>45707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7947-2021</t>
        </is>
      </c>
      <c r="B433" s="1" t="n">
        <v>44243</v>
      </c>
      <c r="C433" s="1" t="n">
        <v>45707</v>
      </c>
      <c r="D433" t="inlineStr">
        <is>
          <t>ÖSTERGÖTLANDS LÄN</t>
        </is>
      </c>
      <c r="E433" t="inlineStr">
        <is>
          <t>FINSPÅNG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8300-2021</t>
        </is>
      </c>
      <c r="B434" s="1" t="n">
        <v>44244</v>
      </c>
      <c r="C434" s="1" t="n">
        <v>45707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Naturvårdsverket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8554-2021</t>
        </is>
      </c>
      <c r="B435" s="1" t="n">
        <v>44245</v>
      </c>
      <c r="C435" s="1" t="n">
        <v>45707</v>
      </c>
      <c r="D435" t="inlineStr">
        <is>
          <t>ÖSTERGÖTLANDS LÄN</t>
        </is>
      </c>
      <c r="E435" t="inlineStr">
        <is>
          <t>FINSPÅNG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8703-2021</t>
        </is>
      </c>
      <c r="B436" s="1" t="n">
        <v>44246</v>
      </c>
      <c r="C436" s="1" t="n">
        <v>45707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8688-2021</t>
        </is>
      </c>
      <c r="B437" s="1" t="n">
        <v>44246</v>
      </c>
      <c r="C437" s="1" t="n">
        <v>45707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9093-2021</t>
        </is>
      </c>
      <c r="B438" s="1" t="n">
        <v>44249</v>
      </c>
      <c r="C438" s="1" t="n">
        <v>45707</v>
      </c>
      <c r="D438" t="inlineStr">
        <is>
          <t>ÖSTERGÖTLANDS LÄN</t>
        </is>
      </c>
      <c r="E438" t="inlineStr">
        <is>
          <t>FINSPÅNG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9159-2021</t>
        </is>
      </c>
      <c r="B439" s="1" t="n">
        <v>44249</v>
      </c>
      <c r="C439" s="1" t="n">
        <v>45707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9148-2021</t>
        </is>
      </c>
      <c r="B440" s="1" t="n">
        <v>44249</v>
      </c>
      <c r="C440" s="1" t="n">
        <v>45707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9079-2021</t>
        </is>
      </c>
      <c r="B441" s="1" t="n">
        <v>44249</v>
      </c>
      <c r="C441" s="1" t="n">
        <v>45707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9122-2021</t>
        </is>
      </c>
      <c r="B442" s="1" t="n">
        <v>44249</v>
      </c>
      <c r="C442" s="1" t="n">
        <v>45707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9139-2021</t>
        </is>
      </c>
      <c r="B443" s="1" t="n">
        <v>44249</v>
      </c>
      <c r="C443" s="1" t="n">
        <v>45707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9390-2021</t>
        </is>
      </c>
      <c r="B444" s="1" t="n">
        <v>44250</v>
      </c>
      <c r="C444" s="1" t="n">
        <v>45707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9346-2021</t>
        </is>
      </c>
      <c r="B445" s="1" t="n">
        <v>44250</v>
      </c>
      <c r="C445" s="1" t="n">
        <v>45707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9385-2021</t>
        </is>
      </c>
      <c r="B446" s="1" t="n">
        <v>44250</v>
      </c>
      <c r="C446" s="1" t="n">
        <v>45707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9765-2021</t>
        </is>
      </c>
      <c r="B447" s="1" t="n">
        <v>44252</v>
      </c>
      <c r="C447" s="1" t="n">
        <v>45707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9784-2021</t>
        </is>
      </c>
      <c r="B448" s="1" t="n">
        <v>44252</v>
      </c>
      <c r="C448" s="1" t="n">
        <v>45707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9832-2021</t>
        </is>
      </c>
      <c r="B449" s="1" t="n">
        <v>44253</v>
      </c>
      <c r="C449" s="1" t="n">
        <v>45707</v>
      </c>
      <c r="D449" t="inlineStr">
        <is>
          <t>ÖSTERGÖTLANDS LÄN</t>
        </is>
      </c>
      <c r="E449" t="inlineStr">
        <is>
          <t>FINSPÅNG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10465-2021</t>
        </is>
      </c>
      <c r="B450" s="1" t="n">
        <v>44257</v>
      </c>
      <c r="C450" s="1" t="n">
        <v>45707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10462-2021</t>
        </is>
      </c>
      <c r="B451" s="1" t="n">
        <v>44257</v>
      </c>
      <c r="C451" s="1" t="n">
        <v>45707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10654-2021</t>
        </is>
      </c>
      <c r="B452" s="1" t="n">
        <v>44258</v>
      </c>
      <c r="C452" s="1" t="n">
        <v>45707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10678-2021</t>
        </is>
      </c>
      <c r="B453" s="1" t="n">
        <v>44258</v>
      </c>
      <c r="C453" s="1" t="n">
        <v>45707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10866-2021</t>
        </is>
      </c>
      <c r="B454" s="1" t="n">
        <v>44259</v>
      </c>
      <c r="C454" s="1" t="n">
        <v>45707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10881-2021</t>
        </is>
      </c>
      <c r="B455" s="1" t="n">
        <v>44259</v>
      </c>
      <c r="C455" s="1" t="n">
        <v>45707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10830-2021</t>
        </is>
      </c>
      <c r="B456" s="1" t="n">
        <v>44259</v>
      </c>
      <c r="C456" s="1" t="n">
        <v>45707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11494-2021</t>
        </is>
      </c>
      <c r="B457" s="1" t="n">
        <v>44264</v>
      </c>
      <c r="C457" s="1" t="n">
        <v>45707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11892-2021</t>
        </is>
      </c>
      <c r="B458" s="1" t="n">
        <v>44265</v>
      </c>
      <c r="C458" s="1" t="n">
        <v>45707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11902-2021</t>
        </is>
      </c>
      <c r="B459" s="1" t="n">
        <v>44265</v>
      </c>
      <c r="C459" s="1" t="n">
        <v>45707</v>
      </c>
      <c r="D459" t="inlineStr">
        <is>
          <t>ÖSTERGÖTLANDS LÄN</t>
        </is>
      </c>
      <c r="E459" t="inlineStr">
        <is>
          <t>FINSPÅNG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12464-2021</t>
        </is>
      </c>
      <c r="B460" s="1" t="n">
        <v>44267</v>
      </c>
      <c r="C460" s="1" t="n">
        <v>45707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12561-2021</t>
        </is>
      </c>
      <c r="B461" s="1" t="n">
        <v>44267</v>
      </c>
      <c r="C461" s="1" t="n">
        <v>45707</v>
      </c>
      <c r="D461" t="inlineStr">
        <is>
          <t>ÖSTERGÖTLANDS LÄN</t>
        </is>
      </c>
      <c r="E461" t="inlineStr">
        <is>
          <t>FINSPÅNG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12455-2021</t>
        </is>
      </c>
      <c r="B462" s="1" t="n">
        <v>44267</v>
      </c>
      <c r="C462" s="1" t="n">
        <v>45707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12565-2021</t>
        </is>
      </c>
      <c r="B463" s="1" t="n">
        <v>44267</v>
      </c>
      <c r="C463" s="1" t="n">
        <v>45707</v>
      </c>
      <c r="D463" t="inlineStr">
        <is>
          <t>ÖSTERGÖTLANDS LÄN</t>
        </is>
      </c>
      <c r="E463" t="inlineStr">
        <is>
          <t>FINSPÅNG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13138-2021</t>
        </is>
      </c>
      <c r="B464" s="1" t="n">
        <v>44272</v>
      </c>
      <c r="C464" s="1" t="n">
        <v>45707</v>
      </c>
      <c r="D464" t="inlineStr">
        <is>
          <t>ÖSTERGÖTLANDS LÄN</t>
        </is>
      </c>
      <c r="E464" t="inlineStr">
        <is>
          <t>FINSPÅNG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13161-2021</t>
        </is>
      </c>
      <c r="B465" s="1" t="n">
        <v>44272</v>
      </c>
      <c r="C465" s="1" t="n">
        <v>45707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14793-2021</t>
        </is>
      </c>
      <c r="B466" s="1" t="n">
        <v>44280</v>
      </c>
      <c r="C466" s="1" t="n">
        <v>45707</v>
      </c>
      <c r="D466" t="inlineStr">
        <is>
          <t>ÖSTERGÖTLANDS LÄN</t>
        </is>
      </c>
      <c r="E466" t="inlineStr">
        <is>
          <t>FINSPÅNG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15434-2021</t>
        </is>
      </c>
      <c r="B467" s="1" t="n">
        <v>44285</v>
      </c>
      <c r="C467" s="1" t="n">
        <v>45707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16756-2021</t>
        </is>
      </c>
      <c r="B468" s="1" t="n">
        <v>44294</v>
      </c>
      <c r="C468" s="1" t="n">
        <v>45707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17246-2021</t>
        </is>
      </c>
      <c r="B469" s="1" t="n">
        <v>44298</v>
      </c>
      <c r="C469" s="1" t="n">
        <v>45707</v>
      </c>
      <c r="D469" t="inlineStr">
        <is>
          <t>ÖSTERGÖTLANDS LÄN</t>
        </is>
      </c>
      <c r="E469" t="inlineStr">
        <is>
          <t>FINSPÅNG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18184-2021</t>
        </is>
      </c>
      <c r="B470" s="1" t="n">
        <v>44302</v>
      </c>
      <c r="C470" s="1" t="n">
        <v>45707</v>
      </c>
      <c r="D470" t="inlineStr">
        <is>
          <t>ÖSTERGÖTLANDS LÄN</t>
        </is>
      </c>
      <c r="E470" t="inlineStr">
        <is>
          <t>FINSPÅNG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18187-2021</t>
        </is>
      </c>
      <c r="B471" s="1" t="n">
        <v>44302</v>
      </c>
      <c r="C471" s="1" t="n">
        <v>45707</v>
      </c>
      <c r="D471" t="inlineStr">
        <is>
          <t>ÖSTERGÖTLANDS LÄN</t>
        </is>
      </c>
      <c r="E471" t="inlineStr">
        <is>
          <t>FINSPÅNG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18262-2021</t>
        </is>
      </c>
      <c r="B472" s="1" t="n">
        <v>44305</v>
      </c>
      <c r="C472" s="1" t="n">
        <v>45707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18361-2021</t>
        </is>
      </c>
      <c r="B473" s="1" t="n">
        <v>44305</v>
      </c>
      <c r="C473" s="1" t="n">
        <v>45707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18367-2021</t>
        </is>
      </c>
      <c r="B474" s="1" t="n">
        <v>44305</v>
      </c>
      <c r="C474" s="1" t="n">
        <v>45707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18988-2021</t>
        </is>
      </c>
      <c r="B475" s="1" t="n">
        <v>44308</v>
      </c>
      <c r="C475" s="1" t="n">
        <v>45707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19755-2021</t>
        </is>
      </c>
      <c r="B476" s="1" t="n">
        <v>44313</v>
      </c>
      <c r="C476" s="1" t="n">
        <v>45707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19872-2021</t>
        </is>
      </c>
      <c r="B477" s="1" t="n">
        <v>44313</v>
      </c>
      <c r="C477" s="1" t="n">
        <v>45707</v>
      </c>
      <c r="D477" t="inlineStr">
        <is>
          <t>ÖSTERGÖTLANDS LÄN</t>
        </is>
      </c>
      <c r="E477" t="inlineStr">
        <is>
          <t>FINSPÅNG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19971-2021</t>
        </is>
      </c>
      <c r="B478" s="1" t="n">
        <v>44313</v>
      </c>
      <c r="C478" s="1" t="n">
        <v>45707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19987-2021</t>
        </is>
      </c>
      <c r="B479" s="1" t="n">
        <v>44313</v>
      </c>
      <c r="C479" s="1" t="n">
        <v>45707</v>
      </c>
      <c r="D479" t="inlineStr">
        <is>
          <t>ÖSTERGÖTLANDS LÄN</t>
        </is>
      </c>
      <c r="E479" t="inlineStr">
        <is>
          <t>FINSPÅNG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20226-2021</t>
        </is>
      </c>
      <c r="B480" s="1" t="n">
        <v>44314</v>
      </c>
      <c r="C480" s="1" t="n">
        <v>45707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20056-2021</t>
        </is>
      </c>
      <c r="B481" s="1" t="n">
        <v>44314</v>
      </c>
      <c r="C481" s="1" t="n">
        <v>45707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20287-2021</t>
        </is>
      </c>
      <c r="B482" s="1" t="n">
        <v>44314</v>
      </c>
      <c r="C482" s="1" t="n">
        <v>45707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20235-2021</t>
        </is>
      </c>
      <c r="B483" s="1" t="n">
        <v>44314</v>
      </c>
      <c r="C483" s="1" t="n">
        <v>45707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20480-2021</t>
        </is>
      </c>
      <c r="B484" s="1" t="n">
        <v>44315</v>
      </c>
      <c r="C484" s="1" t="n">
        <v>45707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20411-2021</t>
        </is>
      </c>
      <c r="B485" s="1" t="n">
        <v>44315</v>
      </c>
      <c r="C485" s="1" t="n">
        <v>45707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20403-2021</t>
        </is>
      </c>
      <c r="B486" s="1" t="n">
        <v>44315</v>
      </c>
      <c r="C486" s="1" t="n">
        <v>45707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20444-2021</t>
        </is>
      </c>
      <c r="B487" s="1" t="n">
        <v>44315</v>
      </c>
      <c r="C487" s="1" t="n">
        <v>45707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20485-2021</t>
        </is>
      </c>
      <c r="B488" s="1" t="n">
        <v>44315</v>
      </c>
      <c r="C488" s="1" t="n">
        <v>45707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28742-2021</t>
        </is>
      </c>
      <c r="B489" s="1" t="n">
        <v>44357</v>
      </c>
      <c r="C489" s="1" t="n">
        <v>45707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28791-2021</t>
        </is>
      </c>
      <c r="B490" s="1" t="n">
        <v>44357</v>
      </c>
      <c r="C490" s="1" t="n">
        <v>45707</v>
      </c>
      <c r="D490" t="inlineStr">
        <is>
          <t>ÖSTERGÖTLANDS LÄN</t>
        </is>
      </c>
      <c r="E490" t="inlineStr">
        <is>
          <t>FINSPÅNG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29716-2021</t>
        </is>
      </c>
      <c r="B491" s="1" t="n">
        <v>44362</v>
      </c>
      <c r="C491" s="1" t="n">
        <v>45707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29709-2021</t>
        </is>
      </c>
      <c r="B492" s="1" t="n">
        <v>44362</v>
      </c>
      <c r="C492" s="1" t="n">
        <v>45707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29718-2021</t>
        </is>
      </c>
      <c r="B493" s="1" t="n">
        <v>44362</v>
      </c>
      <c r="C493" s="1" t="n">
        <v>45707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30953-2021</t>
        </is>
      </c>
      <c r="B494" s="1" t="n">
        <v>44365</v>
      </c>
      <c r="C494" s="1" t="n">
        <v>45707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31309-2021</t>
        </is>
      </c>
      <c r="B495" s="1" t="n">
        <v>44368</v>
      </c>
      <c r="C495" s="1" t="n">
        <v>45707</v>
      </c>
      <c r="D495" t="inlineStr">
        <is>
          <t>ÖSTERGÖTLANDS LÄN</t>
        </is>
      </c>
      <c r="E495" t="inlineStr">
        <is>
          <t>FINSPÅNG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31334-2021</t>
        </is>
      </c>
      <c r="B496" s="1" t="n">
        <v>44368</v>
      </c>
      <c r="C496" s="1" t="n">
        <v>45707</v>
      </c>
      <c r="D496" t="inlineStr">
        <is>
          <t>ÖSTERGÖTLANDS LÄN</t>
        </is>
      </c>
      <c r="E496" t="inlineStr">
        <is>
          <t>FINSPÅNG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31371-2021</t>
        </is>
      </c>
      <c r="B497" s="1" t="n">
        <v>44369</v>
      </c>
      <c r="C497" s="1" t="n">
        <v>45707</v>
      </c>
      <c r="D497" t="inlineStr">
        <is>
          <t>ÖSTERGÖTLANDS LÄN</t>
        </is>
      </c>
      <c r="E497" t="inlineStr">
        <is>
          <t>FINSPÅNG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31373-2021</t>
        </is>
      </c>
      <c r="B498" s="1" t="n">
        <v>44368</v>
      </c>
      <c r="C498" s="1" t="n">
        <v>45707</v>
      </c>
      <c r="D498" t="inlineStr">
        <is>
          <t>ÖSTERGÖTLANDS LÄN</t>
        </is>
      </c>
      <c r="E498" t="inlineStr">
        <is>
          <t>FINSPÅNG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31375-2021</t>
        </is>
      </c>
      <c r="B499" s="1" t="n">
        <v>44368</v>
      </c>
      <c r="C499" s="1" t="n">
        <v>45707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31369-2021</t>
        </is>
      </c>
      <c r="B500" s="1" t="n">
        <v>44368</v>
      </c>
      <c r="C500" s="1" t="n">
        <v>45707</v>
      </c>
      <c r="D500" t="inlineStr">
        <is>
          <t>ÖSTERGÖTLANDS LÄN</t>
        </is>
      </c>
      <c r="E500" t="inlineStr">
        <is>
          <t>FINSPÅNG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31374-2021</t>
        </is>
      </c>
      <c r="B501" s="1" t="n">
        <v>44369</v>
      </c>
      <c r="C501" s="1" t="n">
        <v>45707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31376-2021</t>
        </is>
      </c>
      <c r="B502" s="1" t="n">
        <v>44369</v>
      </c>
      <c r="C502" s="1" t="n">
        <v>45707</v>
      </c>
      <c r="D502" t="inlineStr">
        <is>
          <t>ÖSTERGÖTLANDS LÄN</t>
        </is>
      </c>
      <c r="E502" t="inlineStr">
        <is>
          <t>FINSPÅNG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31377-2021</t>
        </is>
      </c>
      <c r="B503" s="1" t="n">
        <v>44369</v>
      </c>
      <c r="C503" s="1" t="n">
        <v>45707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31571-2021</t>
        </is>
      </c>
      <c r="B504" s="1" t="n">
        <v>44369</v>
      </c>
      <c r="C504" s="1" t="n">
        <v>45707</v>
      </c>
      <c r="D504" t="inlineStr">
        <is>
          <t>ÖSTERGÖTLANDS LÄN</t>
        </is>
      </c>
      <c r="E504" t="inlineStr">
        <is>
          <t>FINSPÅNG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45707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45707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45707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45707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45707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45707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45707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45707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45707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45707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45707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45707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45707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45707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45707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45707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45707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45707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45707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45707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45707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45707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45707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45707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45707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45707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45707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45707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45707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45707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45707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45707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45707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45707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45707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45707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45707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45707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45707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45707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45707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45707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45707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45707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45707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45707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45707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45707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45707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45707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45707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45707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45707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45707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45707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45707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45707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45707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45707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45707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45707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45707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45707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45707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45707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45707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45707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45707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45707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45707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45707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45707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45707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45707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45707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45707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45707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45707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45707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45707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45707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45707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45707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45707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45707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45707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45707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45707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45707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45707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45707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45707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45707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45707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45707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45707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45707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45707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45707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45707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45707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45707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45707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45707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45707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45707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45707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45707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45707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45707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45707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45707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45707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45707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45707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45707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45707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45707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45707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45707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45707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45707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45707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45707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45707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45707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45707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45707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45707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45707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45707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45707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45707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45707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45707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45707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45707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45707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45707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45707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45707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45707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45707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45707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45707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45707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45707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45707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45707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45707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45707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45707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45707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45707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45707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45707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45707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45707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45707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45707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45707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45707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45707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45707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45707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45707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45707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45707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45707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45707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45707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45707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45707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45707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45707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45707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45707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45707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45707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45707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45707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45707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45707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45707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45707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45707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45707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45707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45707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45707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45707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45707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45707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45707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45707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45707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45707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45707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45707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45707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45707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45707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45707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45707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45707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45707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45707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45707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45707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45707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45707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45707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45707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45707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45707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45707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45707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45707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45707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45707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45707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45707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45707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45707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45707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45707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45707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45707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45707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45707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45707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45707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45707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45707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45707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45707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45707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45707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45707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45707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45707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45707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45707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45707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45707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45707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45707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45707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45707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45707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45707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45707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45707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45707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45707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45707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45707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45707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45707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45707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45707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45707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45707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45707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45707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45707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45707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45707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45707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45707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45707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45707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45707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45707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45707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45707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45707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45707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45707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45707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45707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45707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45707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45707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45707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45707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45707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45707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45707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45707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45707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45707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45707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45707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45707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45707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45707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45707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45707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45707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45707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45707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45707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45707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45707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45707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45707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45707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45707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45707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45707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45707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45707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45707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45707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45707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45707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45707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45707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45707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45707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45707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45707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45707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45707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45707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45707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45707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45707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45707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45707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45707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45707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45707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45707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45707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45707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45707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45707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45707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45707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45707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45707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45707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45707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45707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45707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45707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45707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45707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45707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45707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45707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45707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45707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45707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45707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45707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45707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45707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45707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45707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45707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45707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45707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45707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45707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45707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45707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45707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45707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45707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45707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45707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45707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45707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45707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45707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45707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45707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45707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45707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45707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45707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45707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45707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45707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45707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45707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45707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45707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45707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45707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45707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45707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45707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45707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45707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45707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45707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45707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45707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45707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45707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45707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45707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45707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45707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45707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45707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45707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45707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45707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45707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45707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45707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45707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45707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45707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45707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45707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45707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45707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45707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45707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45707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45707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45707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45707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45707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45707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45707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45707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45707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45707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45707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45707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45707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45707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45707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45707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45707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45707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45707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45707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45707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45707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45707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45707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45707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45707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45707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45707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45707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45707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45707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45707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45707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45707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45707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45707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45707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45707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45707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45707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45707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45707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45707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45707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45707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45707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45707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45707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45707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45707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45707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45707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45707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45707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45707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45707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45707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45707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45707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45707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45707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45707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45707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45707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45707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45707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45707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45707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45707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45707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45707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45707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45707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45707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45707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45707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45707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45707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45707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45707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45707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45707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45707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45707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45707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45707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45707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45707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45707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45707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45707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45707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45707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45707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45707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45707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45707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45707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45707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45707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45707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45707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45707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45707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45707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45707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45707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45707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45707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45707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45707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45707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45707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45707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45707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45707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45707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45707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45707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45707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45707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45707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45707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45707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45707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45707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45707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45707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45707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45707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45707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45707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45707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45707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45707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45707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45707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45707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45707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45707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45707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45707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45707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45707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45707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45707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45707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45707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45707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45707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45707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45707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45707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45707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45707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45707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45707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45707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45707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45707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45707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45707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45707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45707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45707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45707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45707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45707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45707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45707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45707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45707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45707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45707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45707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45707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45707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45707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45707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45707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45707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45707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45707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45707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45707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45707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45707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45707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45707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45707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45707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45707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45707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45707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45707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45707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45707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45707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45707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45707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45707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45707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45707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45707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45707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45707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45707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45707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45707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45707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45707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45707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45707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45707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45707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45707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45707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45707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45707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45707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45707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45707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45707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45707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45707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45707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45707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45707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45707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45707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45707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45707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45707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45707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45707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45707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45707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45707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45707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45707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45707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45707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45707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45707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45707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45707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45707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45707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45707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45707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45707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45707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45707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45707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45707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45707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45707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45707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45707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45707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45707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45707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45707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45707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45707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45707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45707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45707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45707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45707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45707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45707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45707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45707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45707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45707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45707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45707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45707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45707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45707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45707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45707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45707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45707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45707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45707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45707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45707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45707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45707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45707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45707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45707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45707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45707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45707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45707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45707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45707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45707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45707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45707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45707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45707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45707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45707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45707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45707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45707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45707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45707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45707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45707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45707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45707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45707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45707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45707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45707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45707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45707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45707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45707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45707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45707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45707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45707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45707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45707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45707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45707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45707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45707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45707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45707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45707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45707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45707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45707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45707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45707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45707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45707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45707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45707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45707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45707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45707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45707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45707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45707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45707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45707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45707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45707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45707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45707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45707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45707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45707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45707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45707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45707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45707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45707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45707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45707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45707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45707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45707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45707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45707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45707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45707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45707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45707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45707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45707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45707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45707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45707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45707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45707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45707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45707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45707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45707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45707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45707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45707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45707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45707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45707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45707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45707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45707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45707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45707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45707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45707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45707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45707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45707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45707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45707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45707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45707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45707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45707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45707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45707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45707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45707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45707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45707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45707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45707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45707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45707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45707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45707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45707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45707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45707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45707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45707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45707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45707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45707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45707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45707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45707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45707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45707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45707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45707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45707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45707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45707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45707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45707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45707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45707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45707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45707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45707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45707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45707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45707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45707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45707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45707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45707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45707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45707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45707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45707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45707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45707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45707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45707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45707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45707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45707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45707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45707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45707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45707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45707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45707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45707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45707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45707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45707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45707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45707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45707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45707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45707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45707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45707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45707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45707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45707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45707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45707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45707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45707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45707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45707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45707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45707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45707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45707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45707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45707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45707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45707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45707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45707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45707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45707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45707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45707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45707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45707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45707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45707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45707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45707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45707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45707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45707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45707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45707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45707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45707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45707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45707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45707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45707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45707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45707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45707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45707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45707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45707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45707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45707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45707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45707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45707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45707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45707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45707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45707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45707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45707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45707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45707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45707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45707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45707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45707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45707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45707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45707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45707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45707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45707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45707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45707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45707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45707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45707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45707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45707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45707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45707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45707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45707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45707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45707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45707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45707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45707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45707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45707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45707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45707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45707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45707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45707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45707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45707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45707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45707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45707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45707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45707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45707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45707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45707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45707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45707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45707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45707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45707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45707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45707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45707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45707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45707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45707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45707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45707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45707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45707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45707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45707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45707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45707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45707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45707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45707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45707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45707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45707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45707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45707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45707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45707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45707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45707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45707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45707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45707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45707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45707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45707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45707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45707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45707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45707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45707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45707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45707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45707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45707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45707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45707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45707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45707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45707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45707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45707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45707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45707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45707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45707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45707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45707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45707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45707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45707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45707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45707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45707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45707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45707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45707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45707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45707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45707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45707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45707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45707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45707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45707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45707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45707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45707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45707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45707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45707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45707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45707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45707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45707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45707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45707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45707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45707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45707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45707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45707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45707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45707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45707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45707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45707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45707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45707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45707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45707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45707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45707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45707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45707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45707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45707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45707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45707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45707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45707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45707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45707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45707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45707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45707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45707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45707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45707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45707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45707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45707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45707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45707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45707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45707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45707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45707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45707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45707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45707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45707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45707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45707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45707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45707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45707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45707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45707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45707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45707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45707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45707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45707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45707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45707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45707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45707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45707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45707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45707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45707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45707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45707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45707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45707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45707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45707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3405-2025</t>
        </is>
      </c>
      <c r="B1673" s="1" t="n">
        <v>45680</v>
      </c>
      <c r="C1673" s="1" t="n">
        <v>45707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45707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3682-2025</t>
        </is>
      </c>
      <c r="B1675" s="1" t="n">
        <v>45681</v>
      </c>
      <c r="C1675" s="1" t="n">
        <v>45707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45707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45707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45707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45707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4753-2025</t>
        </is>
      </c>
      <c r="B1680" s="1" t="n">
        <v>45688</v>
      </c>
      <c r="C1680" s="1" t="n">
        <v>45707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45707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45707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5336-2025</t>
        </is>
      </c>
      <c r="B1683" s="1" t="n">
        <v>45692</v>
      </c>
      <c r="C1683" s="1" t="n">
        <v>45707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5349-2025</t>
        </is>
      </c>
      <c r="B1684" s="1" t="n">
        <v>45692</v>
      </c>
      <c r="C1684" s="1" t="n">
        <v>45707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5346-2025</t>
        </is>
      </c>
      <c r="B1685" s="1" t="n">
        <v>45692</v>
      </c>
      <c r="C1685" s="1" t="n">
        <v>45707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5333-2025</t>
        </is>
      </c>
      <c r="B1686" s="1" t="n">
        <v>45692</v>
      </c>
      <c r="C1686" s="1" t="n">
        <v>45707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5550-2025</t>
        </is>
      </c>
      <c r="B1687" s="1" t="n">
        <v>45693</v>
      </c>
      <c r="C1687" s="1" t="n">
        <v>45707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5554-2025</t>
        </is>
      </c>
      <c r="B1688" s="1" t="n">
        <v>45693</v>
      </c>
      <c r="C1688" s="1" t="n">
        <v>45707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6203-2025</t>
        </is>
      </c>
      <c r="B1689" s="1" t="n">
        <v>45698</v>
      </c>
      <c r="C1689" s="1" t="n">
        <v>45707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6191-2025</t>
        </is>
      </c>
      <c r="B1690" s="1" t="n">
        <v>45698</v>
      </c>
      <c r="C1690" s="1" t="n">
        <v>45707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6319-2025</t>
        </is>
      </c>
      <c r="B1691" s="1" t="n">
        <v>45698</v>
      </c>
      <c r="C1691" s="1" t="n">
        <v>45707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6573-2025</t>
        </is>
      </c>
      <c r="B1692" s="1" t="n">
        <v>45699</v>
      </c>
      <c r="C1692" s="1" t="n">
        <v>45707</v>
      </c>
      <c r="D1692" t="inlineStr">
        <is>
          <t>ÖSTERGÖTLANDS LÄN</t>
        </is>
      </c>
      <c r="E1692" t="inlineStr">
        <is>
          <t>FINSPÅNG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6635-2025</t>
        </is>
      </c>
      <c r="B1693" s="1" t="n">
        <v>45700</v>
      </c>
      <c r="C1693" s="1" t="n">
        <v>45707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7131-2025</t>
        </is>
      </c>
      <c r="B1694" s="1" t="n">
        <v>45702</v>
      </c>
      <c r="C1694" s="1" t="n">
        <v>45707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Övriga Aktiebolag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7484-2025</t>
        </is>
      </c>
      <c r="B1695" s="1" t="n">
        <v>45705</v>
      </c>
      <c r="C1695" s="1" t="n">
        <v>45707</v>
      </c>
      <c r="D1695" t="inlineStr">
        <is>
          <t>ÖSTERGÖTLANDS LÄN</t>
        </is>
      </c>
      <c r="E1695" t="inlineStr">
        <is>
          <t>FINSPÅNG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7529-2025</t>
        </is>
      </c>
      <c r="B1696" s="1" t="n">
        <v>45705</v>
      </c>
      <c r="C1696" s="1" t="n">
        <v>45707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45707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45707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7825-2025</t>
        </is>
      </c>
      <c r="B1699" s="1" t="n">
        <v>45706</v>
      </c>
      <c r="C1699" s="1" t="n">
        <v>45707</v>
      </c>
      <c r="D1699" t="inlineStr">
        <is>
          <t>ÖSTERGÖTLANDS LÄN</t>
        </is>
      </c>
      <c r="E1699" t="inlineStr">
        <is>
          <t>FINSPÅNG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>
      <c r="A1700" t="inlineStr">
        <is>
          <t>A 7826-2025</t>
        </is>
      </c>
      <c r="B1700" s="1" t="n">
        <v>45706</v>
      </c>
      <c r="C1700" s="1" t="n">
        <v>45707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2025-02-19T17:02:20Z</dcterms:created>
  <dcterms:modified xmlns:dcterms="http://purl.org/dc/terms/" xmlns:xsi="http://www.w3.org/2001/XMLSchema-instance" xsi:type="dcterms:W3CDTF">2025-02-19T17:02:21Z</dcterms:modified>
</cp:coreProperties>
</file>