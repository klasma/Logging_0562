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45714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45714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45714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45714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45714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45714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45714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45714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45714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45714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45714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45714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45714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45714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45714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45714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45714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45714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45714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45714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45714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45714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45714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45714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45714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45714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45714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45714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19407-2019</t>
        </is>
      </c>
      <c r="B49" s="1" t="n">
        <v>43565</v>
      </c>
      <c r="C49" s="1" t="n">
        <v>45714</v>
      </c>
      <c r="D49" t="inlineStr">
        <is>
          <t>ÖSTERGÖTLANDS LÄN</t>
        </is>
      </c>
      <c r="E49" t="inlineStr">
        <is>
          <t>FINSPÅNG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19407-2019 artfynd.xlsx", "A 19407-2019")</f>
        <v/>
      </c>
      <c r="T49">
        <f>HYPERLINK("https://klasma.github.io/Logging_0562/kartor/A 19407-2019 karta.png", "A 19407-2019")</f>
        <v/>
      </c>
      <c r="V49">
        <f>HYPERLINK("https://klasma.github.io/Logging_0562/klagomål/A 19407-2019 FSC-klagomål.docx", "A 19407-2019")</f>
        <v/>
      </c>
      <c r="W49">
        <f>HYPERLINK("https://klasma.github.io/Logging_0562/klagomålsmail/A 19407-2019 FSC-klagomål mail.docx", "A 19407-2019")</f>
        <v/>
      </c>
      <c r="X49">
        <f>HYPERLINK("https://klasma.github.io/Logging_0562/tillsyn/A 19407-2019 tillsynsbegäran.docx", "A 19407-2019")</f>
        <v/>
      </c>
      <c r="Y49">
        <f>HYPERLINK("https://klasma.github.io/Logging_0562/tillsynsmail/A 19407-2019 tillsynsbegäran mail.docx", "A 19407-2019")</f>
        <v/>
      </c>
    </row>
    <row r="50" ht="15" customHeight="1">
      <c r="A50" t="inlineStr">
        <is>
          <t>A 24547-2019</t>
        </is>
      </c>
      <c r="B50" s="1" t="n">
        <v>43600</v>
      </c>
      <c r="C50" s="1" t="n">
        <v>45714</v>
      </c>
      <c r="D50" t="inlineStr">
        <is>
          <t>ÖSTERGÖTLANDS LÄN</t>
        </is>
      </c>
      <c r="E50" t="inlineStr">
        <is>
          <t>FINSPÅNG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24547-2019 artfynd.xlsx", "A 24547-2019")</f>
        <v/>
      </c>
      <c r="T50">
        <f>HYPERLINK("https://klasma.github.io/Logging_0562/kartor/A 24547-2019 karta.png", "A 24547-2019")</f>
        <v/>
      </c>
      <c r="V50">
        <f>HYPERLINK("https://klasma.github.io/Logging_0562/klagomål/A 24547-2019 FSC-klagomål.docx", "A 24547-2019")</f>
        <v/>
      </c>
      <c r="W50">
        <f>HYPERLINK("https://klasma.github.io/Logging_0562/klagomålsmail/A 24547-2019 FSC-klagomål mail.docx", "A 24547-2019")</f>
        <v/>
      </c>
      <c r="X50">
        <f>HYPERLINK("https://klasma.github.io/Logging_0562/tillsyn/A 24547-2019 tillsynsbegäran.docx", "A 24547-2019")</f>
        <v/>
      </c>
      <c r="Y50">
        <f>HYPERLINK("https://klasma.github.io/Logging_0562/tillsynsmail/A 24547-2019 tillsynsbegäran mail.docx", "A 24547-2019")</f>
        <v/>
      </c>
    </row>
    <row r="51" ht="15" customHeight="1">
      <c r="A51" t="inlineStr">
        <is>
          <t>A 26223-2019</t>
        </is>
      </c>
      <c r="B51" s="1" t="n">
        <v>43609</v>
      </c>
      <c r="C51" s="1" t="n">
        <v>45714</v>
      </c>
      <c r="D51" t="inlineStr">
        <is>
          <t>ÖSTERGÖTLANDS LÄN</t>
        </is>
      </c>
      <c r="E51" t="inlineStr">
        <is>
          <t>FINSPÅNG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26223-2019 artfynd.xlsx", "A 26223-2019")</f>
        <v/>
      </c>
      <c r="T51">
        <f>HYPERLINK("https://klasma.github.io/Logging_0562/kartor/A 26223-2019 karta.png", "A 26223-2019")</f>
        <v/>
      </c>
      <c r="V51">
        <f>HYPERLINK("https://klasma.github.io/Logging_0562/klagomål/A 26223-2019 FSC-klagomål.docx", "A 26223-2019")</f>
        <v/>
      </c>
      <c r="W51">
        <f>HYPERLINK("https://klasma.github.io/Logging_0562/klagomålsmail/A 26223-2019 FSC-klagomål mail.docx", "A 26223-2019")</f>
        <v/>
      </c>
      <c r="X51">
        <f>HYPERLINK("https://klasma.github.io/Logging_0562/tillsyn/A 26223-2019 tillsynsbegäran.docx", "A 26223-2019")</f>
        <v/>
      </c>
      <c r="Y51">
        <f>HYPERLINK("https://klasma.github.io/Logging_0562/tillsynsmail/A 26223-2019 tillsynsbegäran mail.docx", "A 26223-2019")</f>
        <v/>
      </c>
    </row>
    <row r="52" ht="15" customHeight="1">
      <c r="A52" t="inlineStr">
        <is>
          <t>A 26227-2019</t>
        </is>
      </c>
      <c r="B52" s="1" t="n">
        <v>43609</v>
      </c>
      <c r="C52" s="1" t="n">
        <v>45714</v>
      </c>
      <c r="D52" t="inlineStr">
        <is>
          <t>ÖSTERGÖTLANDS LÄN</t>
        </is>
      </c>
      <c r="E52" t="inlineStr">
        <is>
          <t>FINSPÅNG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26227-2019 artfynd.xlsx", "A 26227-2019")</f>
        <v/>
      </c>
      <c r="T52">
        <f>HYPERLINK("https://klasma.github.io/Logging_0562/kartor/A 26227-2019 karta.png", "A 26227-2019")</f>
        <v/>
      </c>
      <c r="V52">
        <f>HYPERLINK("https://klasma.github.io/Logging_0562/klagomål/A 26227-2019 FSC-klagomål.docx", "A 26227-2019")</f>
        <v/>
      </c>
      <c r="W52">
        <f>HYPERLINK("https://klasma.github.io/Logging_0562/klagomålsmail/A 26227-2019 FSC-klagomål mail.docx", "A 26227-2019")</f>
        <v/>
      </c>
      <c r="X52">
        <f>HYPERLINK("https://klasma.github.io/Logging_0562/tillsyn/A 26227-2019 tillsynsbegäran.docx", "A 26227-2019")</f>
        <v/>
      </c>
      <c r="Y52">
        <f>HYPERLINK("https://klasma.github.io/Logging_0562/tillsynsmail/A 26227-2019 tillsynsbegäran mail.docx", "A 26227-2019")</f>
        <v/>
      </c>
    </row>
    <row r="53" ht="15" customHeight="1">
      <c r="A53" t="inlineStr">
        <is>
          <t>A 30229-2019</t>
        </is>
      </c>
      <c r="B53" s="1" t="n">
        <v>43633</v>
      </c>
      <c r="C53" s="1" t="n">
        <v>45714</v>
      </c>
      <c r="D53" t="inlineStr">
        <is>
          <t>ÖSTERGÖTLANDS LÄN</t>
        </is>
      </c>
      <c r="E53" t="inlineStr">
        <is>
          <t>FINSPÅNG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30229-2019 artfynd.xlsx", "A 30229-2019")</f>
        <v/>
      </c>
      <c r="T53">
        <f>HYPERLINK("https://klasma.github.io/Logging_0562/kartor/A 30229-2019 karta.png", "A 30229-2019")</f>
        <v/>
      </c>
      <c r="V53">
        <f>HYPERLINK("https://klasma.github.io/Logging_0562/klagomål/A 30229-2019 FSC-klagomål.docx", "A 30229-2019")</f>
        <v/>
      </c>
      <c r="W53">
        <f>HYPERLINK("https://klasma.github.io/Logging_0562/klagomålsmail/A 30229-2019 FSC-klagomål mail.docx", "A 30229-2019")</f>
        <v/>
      </c>
      <c r="X53">
        <f>HYPERLINK("https://klasma.github.io/Logging_0562/tillsyn/A 30229-2019 tillsynsbegäran.docx", "A 30229-2019")</f>
        <v/>
      </c>
      <c r="Y53">
        <f>HYPERLINK("https://klasma.github.io/Logging_0562/tillsynsmail/A 30229-2019 tillsynsbegäran mail.docx", "A 30229-2019")</f>
        <v/>
      </c>
    </row>
    <row r="54" ht="15" customHeight="1">
      <c r="A54" t="inlineStr">
        <is>
          <t>A 34632-2019</t>
        </is>
      </c>
      <c r="B54" s="1" t="n">
        <v>43657</v>
      </c>
      <c r="C54" s="1" t="n">
        <v>45714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HYPERLINK("https://klasma.github.io/Logging_0562/artfynd/A 34632-2019 artfynd.xlsx", "A 34632-2019")</f>
        <v/>
      </c>
      <c r="T54">
        <f>HYPERLINK("https://klasma.github.io/Logging_0562/kartor/A 34632-2019 karta.png", "A 34632-2019")</f>
        <v/>
      </c>
      <c r="V54">
        <f>HYPERLINK("https://klasma.github.io/Logging_0562/klagomål/A 34632-2019 FSC-klagomål.docx", "A 34632-2019")</f>
        <v/>
      </c>
      <c r="W54">
        <f>HYPERLINK("https://klasma.github.io/Logging_0562/klagomålsmail/A 34632-2019 FSC-klagomål mail.docx", "A 34632-2019")</f>
        <v/>
      </c>
      <c r="X54">
        <f>HYPERLINK("https://klasma.github.io/Logging_0562/tillsyn/A 34632-2019 tillsynsbegäran.docx", "A 34632-2019")</f>
        <v/>
      </c>
      <c r="Y54">
        <f>HYPERLINK("https://klasma.github.io/Logging_0562/tillsynsmail/A 34632-2019 tillsynsbegäran mail.docx", "A 34632-2019")</f>
        <v/>
      </c>
    </row>
    <row r="55" ht="15" customHeight="1">
      <c r="A55" t="inlineStr">
        <is>
          <t>A 49494-2019</t>
        </is>
      </c>
      <c r="B55" s="1" t="n">
        <v>43732</v>
      </c>
      <c r="C55" s="1" t="n">
        <v>45714</v>
      </c>
      <c r="D55" t="inlineStr">
        <is>
          <t>ÖSTERGÖTLANDS LÄN</t>
        </is>
      </c>
      <c r="E55" t="inlineStr">
        <is>
          <t>FINSPÅNG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HYPERLINK("https://klasma.github.io/Logging_0562/artfynd/A 49494-2019 artfynd.xlsx", "A 49494-2019")</f>
        <v/>
      </c>
      <c r="T55">
        <f>HYPERLINK("https://klasma.github.io/Logging_0562/kartor/A 49494-2019 karta.png", "A 49494-2019")</f>
        <v/>
      </c>
      <c r="V55">
        <f>HYPERLINK("https://klasma.github.io/Logging_0562/klagomål/A 49494-2019 FSC-klagomål.docx", "A 49494-2019")</f>
        <v/>
      </c>
      <c r="W55">
        <f>HYPERLINK("https://klasma.github.io/Logging_0562/klagomålsmail/A 49494-2019 FSC-klagomål mail.docx", "A 49494-2019")</f>
        <v/>
      </c>
      <c r="X55">
        <f>HYPERLINK("https://klasma.github.io/Logging_0562/tillsyn/A 49494-2019 tillsynsbegäran.docx", "A 49494-2019")</f>
        <v/>
      </c>
      <c r="Y55">
        <f>HYPERLINK("https://klasma.github.io/Logging_0562/tillsynsmail/A 49494-2019 tillsynsbegäran mail.docx", "A 49494-2019")</f>
        <v/>
      </c>
    </row>
    <row r="56" ht="15" customHeight="1">
      <c r="A56" t="inlineStr">
        <is>
          <t>A 55658-2019</t>
        </is>
      </c>
      <c r="B56" s="1" t="n">
        <v>43760</v>
      </c>
      <c r="C56" s="1" t="n">
        <v>45714</v>
      </c>
      <c r="D56" t="inlineStr">
        <is>
          <t>ÖSTERGÖTLANDS LÄN</t>
        </is>
      </c>
      <c r="E56" t="inlineStr">
        <is>
          <t>FINSPÅNG</t>
        </is>
      </c>
      <c r="G56" t="n">
        <v>8.4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Raggbock</t>
        </is>
      </c>
      <c r="S56">
        <f>HYPERLINK("https://klasma.github.io/Logging_0562/artfynd/A 55658-2019 artfynd.xlsx", "A 55658-2019")</f>
        <v/>
      </c>
      <c r="T56">
        <f>HYPERLINK("https://klasma.github.io/Logging_0562/kartor/A 55658-2019 karta.png", "A 55658-2019")</f>
        <v/>
      </c>
      <c r="V56">
        <f>HYPERLINK("https://klasma.github.io/Logging_0562/klagomål/A 55658-2019 FSC-klagomål.docx", "A 55658-2019")</f>
        <v/>
      </c>
      <c r="W56">
        <f>HYPERLINK("https://klasma.github.io/Logging_0562/klagomålsmail/A 55658-2019 FSC-klagomål mail.docx", "A 55658-2019")</f>
        <v/>
      </c>
      <c r="X56">
        <f>HYPERLINK("https://klasma.github.io/Logging_0562/tillsyn/A 55658-2019 tillsynsbegäran.docx", "A 55658-2019")</f>
        <v/>
      </c>
      <c r="Y56">
        <f>HYPERLINK("https://klasma.github.io/Logging_0562/tillsynsmail/A 55658-2019 tillsynsbegäran mail.docx", "A 55658-2019")</f>
        <v/>
      </c>
    </row>
    <row r="57" ht="15" customHeight="1">
      <c r="A57" t="inlineStr">
        <is>
          <t>A 2350-2020</t>
        </is>
      </c>
      <c r="B57" s="1" t="n">
        <v>43846</v>
      </c>
      <c r="C57" s="1" t="n">
        <v>45714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Övriga Aktiebolag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HYPERLINK("https://klasma.github.io/Logging_0562/artfynd/A 2350-2020 artfynd.xlsx", "A 2350-2020")</f>
        <v/>
      </c>
      <c r="T57">
        <f>HYPERLINK("https://klasma.github.io/Logging_0562/kartor/A 2350-2020 karta.png", "A 2350-2020")</f>
        <v/>
      </c>
      <c r="V57">
        <f>HYPERLINK("https://klasma.github.io/Logging_0562/klagomål/A 2350-2020 FSC-klagomål.docx", "A 2350-2020")</f>
        <v/>
      </c>
      <c r="W57">
        <f>HYPERLINK("https://klasma.github.io/Logging_0562/klagomålsmail/A 2350-2020 FSC-klagomål mail.docx", "A 2350-2020")</f>
        <v/>
      </c>
      <c r="X57">
        <f>HYPERLINK("https://klasma.github.io/Logging_0562/tillsyn/A 2350-2020 tillsynsbegäran.docx", "A 2350-2020")</f>
        <v/>
      </c>
      <c r="Y57">
        <f>HYPERLINK("https://klasma.github.io/Logging_0562/tillsynsmail/A 2350-2020 tillsynsbegäran mail.docx", "A 2350-2020")</f>
        <v/>
      </c>
    </row>
    <row r="58" ht="15" customHeight="1">
      <c r="A58" t="inlineStr">
        <is>
          <t>A 3021-2020</t>
        </is>
      </c>
      <c r="B58" s="1" t="n">
        <v>43851</v>
      </c>
      <c r="C58" s="1" t="n">
        <v>45714</v>
      </c>
      <c r="D58" t="inlineStr">
        <is>
          <t>ÖSTERGÖTLANDS LÄN</t>
        </is>
      </c>
      <c r="E58" t="inlineStr">
        <is>
          <t>FINSPÅNG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HYPERLINK("https://klasma.github.io/Logging_0562/artfynd/A 3021-2020 artfynd.xlsx", "A 3021-2020")</f>
        <v/>
      </c>
      <c r="T58">
        <f>HYPERLINK("https://klasma.github.io/Logging_0562/kartor/A 3021-2020 karta.png", "A 3021-2020")</f>
        <v/>
      </c>
      <c r="V58">
        <f>HYPERLINK("https://klasma.github.io/Logging_0562/klagomål/A 3021-2020 FSC-klagomål.docx", "A 3021-2020")</f>
        <v/>
      </c>
      <c r="W58">
        <f>HYPERLINK("https://klasma.github.io/Logging_0562/klagomålsmail/A 3021-2020 FSC-klagomål mail.docx", "A 3021-2020")</f>
        <v/>
      </c>
      <c r="X58">
        <f>HYPERLINK("https://klasma.github.io/Logging_0562/tillsyn/A 3021-2020 tillsynsbegäran.docx", "A 3021-2020")</f>
        <v/>
      </c>
      <c r="Y58">
        <f>HYPERLINK("https://klasma.github.io/Logging_0562/tillsynsmail/A 3021-2020 tillsynsbegäran mail.docx", "A 3021-2020")</f>
        <v/>
      </c>
    </row>
    <row r="59" ht="15" customHeight="1">
      <c r="A59" t="inlineStr">
        <is>
          <t>A 14835-2020</t>
        </is>
      </c>
      <c r="B59" s="1" t="n">
        <v>43909</v>
      </c>
      <c r="C59" s="1" t="n">
        <v>45714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Vedtrappmossa</t>
        </is>
      </c>
      <c r="S59">
        <f>HYPERLINK("https://klasma.github.io/Logging_0562/artfynd/A 14835-2020 artfynd.xlsx", "A 14835-2020")</f>
        <v/>
      </c>
      <c r="T59">
        <f>HYPERLINK("https://klasma.github.io/Logging_0562/kartor/A 14835-2020 karta.png", "A 14835-2020")</f>
        <v/>
      </c>
      <c r="V59">
        <f>HYPERLINK("https://klasma.github.io/Logging_0562/klagomål/A 14835-2020 FSC-klagomål.docx", "A 14835-2020")</f>
        <v/>
      </c>
      <c r="W59">
        <f>HYPERLINK("https://klasma.github.io/Logging_0562/klagomålsmail/A 14835-2020 FSC-klagomål mail.docx", "A 14835-2020")</f>
        <v/>
      </c>
      <c r="X59">
        <f>HYPERLINK("https://klasma.github.io/Logging_0562/tillsyn/A 14835-2020 tillsynsbegäran.docx", "A 14835-2020")</f>
        <v/>
      </c>
      <c r="Y59">
        <f>HYPERLINK("https://klasma.github.io/Logging_0562/tillsynsmail/A 14835-2020 tillsynsbegäran mail.docx", "A 14835-2020")</f>
        <v/>
      </c>
    </row>
    <row r="60" ht="15" customHeight="1">
      <c r="A60" t="inlineStr">
        <is>
          <t>A 54832-2020</t>
        </is>
      </c>
      <c r="B60" s="1" t="n">
        <v>44127</v>
      </c>
      <c r="C60" s="1" t="n">
        <v>45714</v>
      </c>
      <c r="D60" t="inlineStr">
        <is>
          <t>ÖSTERGÖTLANDS LÄN</t>
        </is>
      </c>
      <c r="E60" t="inlineStr">
        <is>
          <t>FINSPÅNG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 aspvedbock</t>
        </is>
      </c>
      <c r="S60">
        <f>HYPERLINK("https://klasma.github.io/Logging_0562/artfynd/A 54832-2020 artfynd.xlsx", "A 54832-2020")</f>
        <v/>
      </c>
      <c r="T60">
        <f>HYPERLINK("https://klasma.github.io/Logging_0562/kartor/A 54832-2020 karta.png", "A 54832-2020")</f>
        <v/>
      </c>
      <c r="V60">
        <f>HYPERLINK("https://klasma.github.io/Logging_0562/klagomål/A 54832-2020 FSC-klagomål.docx", "A 54832-2020")</f>
        <v/>
      </c>
      <c r="W60">
        <f>HYPERLINK("https://klasma.github.io/Logging_0562/klagomålsmail/A 54832-2020 FSC-klagomål mail.docx", "A 54832-2020")</f>
        <v/>
      </c>
      <c r="X60">
        <f>HYPERLINK("https://klasma.github.io/Logging_0562/tillsyn/A 54832-2020 tillsynsbegäran.docx", "A 54832-2020")</f>
        <v/>
      </c>
      <c r="Y60">
        <f>HYPERLINK("https://klasma.github.io/Logging_0562/tillsynsmail/A 54832-2020 tillsynsbegäran mail.docx", "A 54832-2020")</f>
        <v/>
      </c>
    </row>
    <row r="61" ht="15" customHeight="1">
      <c r="A61" t="inlineStr">
        <is>
          <t>A 5534-2021</t>
        </is>
      </c>
      <c r="B61" s="1" t="n">
        <v>44230</v>
      </c>
      <c r="C61" s="1" t="n">
        <v>45714</v>
      </c>
      <c r="D61" t="inlineStr">
        <is>
          <t>ÖSTERGÖTLANDS LÄN</t>
        </is>
      </c>
      <c r="E61" t="inlineStr">
        <is>
          <t>FINSPÅNG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HYPERLINK("https://klasma.github.io/Logging_0562/artfynd/A 5534-2021 artfynd.xlsx", "A 5534-2021")</f>
        <v/>
      </c>
      <c r="T61">
        <f>HYPERLINK("https://klasma.github.io/Logging_0562/kartor/A 5534-2021 karta.png", "A 5534-2021")</f>
        <v/>
      </c>
      <c r="V61">
        <f>HYPERLINK("https://klasma.github.io/Logging_0562/klagomål/A 5534-2021 FSC-klagomål.docx", "A 5534-2021")</f>
        <v/>
      </c>
      <c r="W61">
        <f>HYPERLINK("https://klasma.github.io/Logging_0562/klagomålsmail/A 5534-2021 FSC-klagomål mail.docx", "A 5534-2021")</f>
        <v/>
      </c>
      <c r="X61">
        <f>HYPERLINK("https://klasma.github.io/Logging_0562/tillsyn/A 5534-2021 tillsynsbegäran.docx", "A 5534-2021")</f>
        <v/>
      </c>
      <c r="Y61">
        <f>HYPERLINK("https://klasma.github.io/Logging_0562/tillsynsmail/A 5534-2021 tillsynsbegäran mail.docx", "A 5534-2021")</f>
        <v/>
      </c>
      <c r="Z61">
        <f>HYPERLINK("https://klasma.github.io/Logging_0562/fåglar/A 5534-2021 prioriterade fågelarter.docx", "A 5534-2021")</f>
        <v/>
      </c>
    </row>
    <row r="62" ht="15" customHeight="1">
      <c r="A62" t="inlineStr">
        <is>
          <t>A 12446-2021</t>
        </is>
      </c>
      <c r="B62" s="1" t="n">
        <v>44267</v>
      </c>
      <c r="C62" s="1" t="n">
        <v>45714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4.6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HYPERLINK("https://klasma.github.io/Logging_0562/artfynd/A 12446-2021 artfynd.xlsx", "A 12446-2021")</f>
        <v/>
      </c>
      <c r="T62">
        <f>HYPERLINK("https://klasma.github.io/Logging_0562/kartor/A 12446-2021 karta.png", "A 12446-2021")</f>
        <v/>
      </c>
      <c r="V62">
        <f>HYPERLINK("https://klasma.github.io/Logging_0562/klagomål/A 12446-2021 FSC-klagomål.docx", "A 12446-2021")</f>
        <v/>
      </c>
      <c r="W62">
        <f>HYPERLINK("https://klasma.github.io/Logging_0562/klagomålsmail/A 12446-2021 FSC-klagomål mail.docx", "A 12446-2021")</f>
        <v/>
      </c>
      <c r="X62">
        <f>HYPERLINK("https://klasma.github.io/Logging_0562/tillsyn/A 12446-2021 tillsynsbegäran.docx", "A 12446-2021")</f>
        <v/>
      </c>
      <c r="Y62">
        <f>HYPERLINK("https://klasma.github.io/Logging_0562/tillsynsmail/A 12446-2021 tillsynsbegäran mail.docx", "A 12446-2021")</f>
        <v/>
      </c>
    </row>
    <row r="63" ht="15" customHeight="1">
      <c r="A63" t="inlineStr">
        <is>
          <t>A 16747-2021</t>
        </is>
      </c>
      <c r="B63" s="1" t="n">
        <v>44294</v>
      </c>
      <c r="C63" s="1" t="n">
        <v>45714</v>
      </c>
      <c r="D63" t="inlineStr">
        <is>
          <t>ÖSTERGÖTLANDS LÄN</t>
        </is>
      </c>
      <c r="E63" t="inlineStr">
        <is>
          <t>FINSPÅNG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HYPERLINK("https://klasma.github.io/Logging_0562/artfynd/A 16747-2021 artfynd.xlsx", "A 16747-2021")</f>
        <v/>
      </c>
      <c r="T63">
        <f>HYPERLINK("https://klasma.github.io/Logging_0562/kartor/A 16747-2021 karta.png", "A 16747-2021")</f>
        <v/>
      </c>
      <c r="V63">
        <f>HYPERLINK("https://klasma.github.io/Logging_0562/klagomål/A 16747-2021 FSC-klagomål.docx", "A 16747-2021")</f>
        <v/>
      </c>
      <c r="W63">
        <f>HYPERLINK("https://klasma.github.io/Logging_0562/klagomålsmail/A 16747-2021 FSC-klagomål mail.docx", "A 16747-2021")</f>
        <v/>
      </c>
      <c r="X63">
        <f>HYPERLINK("https://klasma.github.io/Logging_0562/tillsyn/A 16747-2021 tillsynsbegäran.docx", "A 16747-2021")</f>
        <v/>
      </c>
      <c r="Y63">
        <f>HYPERLINK("https://klasma.github.io/Logging_0562/tillsynsmail/A 16747-2021 tillsynsbegäran mail.docx", "A 16747-2021")</f>
        <v/>
      </c>
    </row>
    <row r="64" ht="15" customHeight="1">
      <c r="A64" t="inlineStr">
        <is>
          <t>A 38056-2021</t>
        </is>
      </c>
      <c r="B64" s="1" t="n">
        <v>44404</v>
      </c>
      <c r="C64" s="1" t="n">
        <v>45714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HYPERLINK("https://klasma.github.io/Logging_0562/artfynd/A 38056-2021 artfynd.xlsx", "A 38056-2021")</f>
        <v/>
      </c>
      <c r="T64">
        <f>HYPERLINK("https://klasma.github.io/Logging_0562/kartor/A 38056-2021 karta.png", "A 38056-2021")</f>
        <v/>
      </c>
      <c r="V64">
        <f>HYPERLINK("https://klasma.github.io/Logging_0562/klagomål/A 38056-2021 FSC-klagomål.docx", "A 38056-2021")</f>
        <v/>
      </c>
      <c r="W64">
        <f>HYPERLINK("https://klasma.github.io/Logging_0562/klagomålsmail/A 38056-2021 FSC-klagomål mail.docx", "A 38056-2021")</f>
        <v/>
      </c>
      <c r="X64">
        <f>HYPERLINK("https://klasma.github.io/Logging_0562/tillsyn/A 38056-2021 tillsynsbegäran.docx", "A 38056-2021")</f>
        <v/>
      </c>
      <c r="Y64">
        <f>HYPERLINK("https://klasma.github.io/Logging_0562/tillsynsmail/A 38056-2021 tillsynsbegäran mail.docx", "A 38056-2021")</f>
        <v/>
      </c>
    </row>
    <row r="65" ht="15" customHeight="1">
      <c r="A65" t="inlineStr">
        <is>
          <t>A 68414-2021</t>
        </is>
      </c>
      <c r="B65" s="1" t="n">
        <v>44529</v>
      </c>
      <c r="C65" s="1" t="n">
        <v>45714</v>
      </c>
      <c r="D65" t="inlineStr">
        <is>
          <t>ÖSTERGÖTLANDS LÄN</t>
        </is>
      </c>
      <c r="E65" t="inlineStr">
        <is>
          <t>FINSPÅNG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HYPERLINK("https://klasma.github.io/Logging_0562/artfynd/A 68414-2021 artfynd.xlsx", "A 68414-2021")</f>
        <v/>
      </c>
      <c r="T65">
        <f>HYPERLINK("https://klasma.github.io/Logging_0562/kartor/A 68414-2021 karta.png", "A 68414-2021")</f>
        <v/>
      </c>
      <c r="V65">
        <f>HYPERLINK("https://klasma.github.io/Logging_0562/klagomål/A 68414-2021 FSC-klagomål.docx", "A 68414-2021")</f>
        <v/>
      </c>
      <c r="W65">
        <f>HYPERLINK("https://klasma.github.io/Logging_0562/klagomålsmail/A 68414-2021 FSC-klagomål mail.docx", "A 68414-2021")</f>
        <v/>
      </c>
      <c r="X65">
        <f>HYPERLINK("https://klasma.github.io/Logging_0562/tillsyn/A 68414-2021 tillsynsbegäran.docx", "A 68414-2021")</f>
        <v/>
      </c>
      <c r="Y65">
        <f>HYPERLINK("https://klasma.github.io/Logging_0562/tillsynsmail/A 68414-2021 tillsynsbegäran mail.docx", "A 68414-2021")</f>
        <v/>
      </c>
    </row>
    <row r="66" ht="15" customHeight="1">
      <c r="A66" t="inlineStr">
        <is>
          <t>A 6035-2022</t>
        </is>
      </c>
      <c r="B66" s="1" t="n">
        <v>44599</v>
      </c>
      <c r="C66" s="1" t="n">
        <v>45714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Naturvårdsverket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Bred kärrtrollslända</t>
        </is>
      </c>
      <c r="S66">
        <f>HYPERLINK("https://klasma.github.io/Logging_0562/artfynd/A 6035-2022 artfynd.xlsx", "A 6035-2022")</f>
        <v/>
      </c>
      <c r="T66">
        <f>HYPERLINK("https://klasma.github.io/Logging_0562/kartor/A 6035-2022 karta.png", "A 6035-2022")</f>
        <v/>
      </c>
      <c r="V66">
        <f>HYPERLINK("https://klasma.github.io/Logging_0562/klagomål/A 6035-2022 FSC-klagomål.docx", "A 6035-2022")</f>
        <v/>
      </c>
      <c r="W66">
        <f>HYPERLINK("https://klasma.github.io/Logging_0562/klagomålsmail/A 6035-2022 FSC-klagomål mail.docx", "A 6035-2022")</f>
        <v/>
      </c>
      <c r="X66">
        <f>HYPERLINK("https://klasma.github.io/Logging_0562/tillsyn/A 6035-2022 tillsynsbegäran.docx", "A 6035-2022")</f>
        <v/>
      </c>
      <c r="Y66">
        <f>HYPERLINK("https://klasma.github.io/Logging_0562/tillsynsmail/A 6035-2022 tillsynsbegäran mail.docx", "A 6035-2022")</f>
        <v/>
      </c>
    </row>
    <row r="67" ht="15" customHeight="1">
      <c r="A67" t="inlineStr">
        <is>
          <t>A 10203-2022</t>
        </is>
      </c>
      <c r="B67" s="1" t="n">
        <v>44622</v>
      </c>
      <c r="C67" s="1" t="n">
        <v>45714</v>
      </c>
      <c r="D67" t="inlineStr">
        <is>
          <t>ÖSTERGÖTLANDS LÄN</t>
        </is>
      </c>
      <c r="E67" t="inlineStr">
        <is>
          <t>FINSPÅNG</t>
        </is>
      </c>
      <c r="G67" t="n">
        <v>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HYPERLINK("https://klasma.github.io/Logging_0562/artfynd/A 10203-2022 artfynd.xlsx", "A 10203-2022")</f>
        <v/>
      </c>
      <c r="T67">
        <f>HYPERLINK("https://klasma.github.io/Logging_0562/kartor/A 10203-2022 karta.png", "A 10203-2022")</f>
        <v/>
      </c>
      <c r="V67">
        <f>HYPERLINK("https://klasma.github.io/Logging_0562/klagomål/A 10203-2022 FSC-klagomål.docx", "A 10203-2022")</f>
        <v/>
      </c>
      <c r="W67">
        <f>HYPERLINK("https://klasma.github.io/Logging_0562/klagomålsmail/A 10203-2022 FSC-klagomål mail.docx", "A 10203-2022")</f>
        <v/>
      </c>
      <c r="X67">
        <f>HYPERLINK("https://klasma.github.io/Logging_0562/tillsyn/A 10203-2022 tillsynsbegäran.docx", "A 10203-2022")</f>
        <v/>
      </c>
      <c r="Y67">
        <f>HYPERLINK("https://klasma.github.io/Logging_0562/tillsynsmail/A 10203-2022 tillsynsbegäran mail.docx", "A 10203-2022")</f>
        <v/>
      </c>
    </row>
    <row r="68" ht="15" customHeight="1">
      <c r="A68" t="inlineStr">
        <is>
          <t>A 17960-2022</t>
        </is>
      </c>
      <c r="B68" s="1" t="n">
        <v>44683</v>
      </c>
      <c r="C68" s="1" t="n">
        <v>45714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HYPERLINK("https://klasma.github.io/Logging_0562/artfynd/A 17960-2022 artfynd.xlsx", "A 17960-2022")</f>
        <v/>
      </c>
      <c r="T68">
        <f>HYPERLINK("https://klasma.github.io/Logging_0562/kartor/A 17960-2022 karta.png", "A 17960-2022")</f>
        <v/>
      </c>
      <c r="V68">
        <f>HYPERLINK("https://klasma.github.io/Logging_0562/klagomål/A 17960-2022 FSC-klagomål.docx", "A 17960-2022")</f>
        <v/>
      </c>
      <c r="W68">
        <f>HYPERLINK("https://klasma.github.io/Logging_0562/klagomålsmail/A 17960-2022 FSC-klagomål mail.docx", "A 17960-2022")</f>
        <v/>
      </c>
      <c r="X68">
        <f>HYPERLINK("https://klasma.github.io/Logging_0562/tillsyn/A 17960-2022 tillsynsbegäran.docx", "A 17960-2022")</f>
        <v/>
      </c>
      <c r="Y68">
        <f>HYPERLINK("https://klasma.github.io/Logging_0562/tillsynsmail/A 17960-2022 tillsynsbegäran mail.docx", "A 17960-2022")</f>
        <v/>
      </c>
    </row>
    <row r="69" ht="15" customHeight="1">
      <c r="A69" t="inlineStr">
        <is>
          <t>A 29467-2022</t>
        </is>
      </c>
      <c r="B69" s="1" t="n">
        <v>44753</v>
      </c>
      <c r="C69" s="1" t="n">
        <v>45714</v>
      </c>
      <c r="D69" t="inlineStr">
        <is>
          <t>ÖSTERGÖTLANDS LÄN</t>
        </is>
      </c>
      <c r="E69" t="inlineStr">
        <is>
          <t>FINSPÅNG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HYPERLINK("https://klasma.github.io/Logging_0562/artfynd/A 29467-2022 artfynd.xlsx", "A 29467-2022")</f>
        <v/>
      </c>
      <c r="T69">
        <f>HYPERLINK("https://klasma.github.io/Logging_0562/kartor/A 29467-2022 karta.png", "A 29467-2022")</f>
        <v/>
      </c>
      <c r="V69">
        <f>HYPERLINK("https://klasma.github.io/Logging_0562/klagomål/A 29467-2022 FSC-klagomål.docx", "A 29467-2022")</f>
        <v/>
      </c>
      <c r="W69">
        <f>HYPERLINK("https://klasma.github.io/Logging_0562/klagomålsmail/A 29467-2022 FSC-klagomål mail.docx", "A 29467-2022")</f>
        <v/>
      </c>
      <c r="X69">
        <f>HYPERLINK("https://klasma.github.io/Logging_0562/tillsyn/A 29467-2022 tillsynsbegäran.docx", "A 29467-2022")</f>
        <v/>
      </c>
      <c r="Y69">
        <f>HYPERLINK("https://klasma.github.io/Logging_0562/tillsynsmail/A 29467-2022 tillsynsbegäran mail.docx", "A 29467-2022")</f>
        <v/>
      </c>
    </row>
    <row r="70" ht="15" customHeight="1">
      <c r="A70" t="inlineStr">
        <is>
          <t>A 31750-2022</t>
        </is>
      </c>
      <c r="B70" s="1" t="n">
        <v>44776</v>
      </c>
      <c r="C70" s="1" t="n">
        <v>45714</v>
      </c>
      <c r="D70" t="inlineStr">
        <is>
          <t>ÖSTERGÖTLANDS LÄN</t>
        </is>
      </c>
      <c r="E70" t="inlineStr">
        <is>
          <t>FINSPÅNG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HYPERLINK("https://klasma.github.io/Logging_0562/artfynd/A 31750-2022 artfynd.xlsx", "A 31750-2022")</f>
        <v/>
      </c>
      <c r="T70">
        <f>HYPERLINK("https://klasma.github.io/Logging_0562/kartor/A 31750-2022 karta.png", "A 31750-2022")</f>
        <v/>
      </c>
      <c r="V70">
        <f>HYPERLINK("https://klasma.github.io/Logging_0562/klagomål/A 31750-2022 FSC-klagomål.docx", "A 31750-2022")</f>
        <v/>
      </c>
      <c r="W70">
        <f>HYPERLINK("https://klasma.github.io/Logging_0562/klagomålsmail/A 31750-2022 FSC-klagomål mail.docx", "A 31750-2022")</f>
        <v/>
      </c>
      <c r="X70">
        <f>HYPERLINK("https://klasma.github.io/Logging_0562/tillsyn/A 31750-2022 tillsynsbegäran.docx", "A 31750-2022")</f>
        <v/>
      </c>
      <c r="Y70">
        <f>HYPERLINK("https://klasma.github.io/Logging_0562/tillsynsmail/A 31750-2022 tillsynsbegäran mail.docx", "A 31750-2022")</f>
        <v/>
      </c>
    </row>
    <row r="71" ht="15" customHeight="1">
      <c r="A71" t="inlineStr">
        <is>
          <t>A 45256-2022</t>
        </is>
      </c>
      <c r="B71" s="1" t="n">
        <v>44840</v>
      </c>
      <c r="C71" s="1" t="n">
        <v>45714</v>
      </c>
      <c r="D71" t="inlineStr">
        <is>
          <t>ÖSTERGÖTLANDS LÄN</t>
        </is>
      </c>
      <c r="E71" t="inlineStr">
        <is>
          <t>FINSPÅNG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HYPERLINK("https://klasma.github.io/Logging_0562/artfynd/A 45256-2022 artfynd.xlsx", "A 45256-2022")</f>
        <v/>
      </c>
      <c r="T71">
        <f>HYPERLINK("https://klasma.github.io/Logging_0562/kartor/A 45256-2022 karta.png", "A 45256-2022")</f>
        <v/>
      </c>
      <c r="V71">
        <f>HYPERLINK("https://klasma.github.io/Logging_0562/klagomål/A 45256-2022 FSC-klagomål.docx", "A 45256-2022")</f>
        <v/>
      </c>
      <c r="W71">
        <f>HYPERLINK("https://klasma.github.io/Logging_0562/klagomålsmail/A 45256-2022 FSC-klagomål mail.docx", "A 45256-2022")</f>
        <v/>
      </c>
      <c r="X71">
        <f>HYPERLINK("https://klasma.github.io/Logging_0562/tillsyn/A 45256-2022 tillsynsbegäran.docx", "A 45256-2022")</f>
        <v/>
      </c>
      <c r="Y71">
        <f>HYPERLINK("https://klasma.github.io/Logging_0562/tillsynsmail/A 45256-2022 tillsynsbegäran mail.docx", "A 45256-2022")</f>
        <v/>
      </c>
    </row>
    <row r="72" ht="15" customHeight="1">
      <c r="A72" t="inlineStr">
        <is>
          <t>A 61104-2022</t>
        </is>
      </c>
      <c r="B72" s="1" t="n">
        <v>44915</v>
      </c>
      <c r="C72" s="1" t="n">
        <v>45714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HYPERLINK("https://klasma.github.io/Logging_0562/artfynd/A 61104-2022 artfynd.xlsx", "A 61104-2022")</f>
        <v/>
      </c>
      <c r="T72">
        <f>HYPERLINK("https://klasma.github.io/Logging_0562/kartor/A 61104-2022 karta.png", "A 61104-2022")</f>
        <v/>
      </c>
      <c r="V72">
        <f>HYPERLINK("https://klasma.github.io/Logging_0562/klagomål/A 61104-2022 FSC-klagomål.docx", "A 61104-2022")</f>
        <v/>
      </c>
      <c r="W72">
        <f>HYPERLINK("https://klasma.github.io/Logging_0562/klagomålsmail/A 61104-2022 FSC-klagomål mail.docx", "A 61104-2022")</f>
        <v/>
      </c>
      <c r="X72">
        <f>HYPERLINK("https://klasma.github.io/Logging_0562/tillsyn/A 61104-2022 tillsynsbegäran.docx", "A 61104-2022")</f>
        <v/>
      </c>
      <c r="Y72">
        <f>HYPERLINK("https://klasma.github.io/Logging_0562/tillsynsmail/A 61104-2022 tillsynsbegäran mail.docx", "A 61104-2022")</f>
        <v/>
      </c>
    </row>
    <row r="73" ht="15" customHeight="1">
      <c r="A73" t="inlineStr">
        <is>
          <t>A 663-2023</t>
        </is>
      </c>
      <c r="B73" s="1" t="n">
        <v>44930</v>
      </c>
      <c r="C73" s="1" t="n">
        <v>45714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HYPERLINK("https://klasma.github.io/Logging_0562/artfynd/A 663-2023 artfynd.xlsx", "A 663-2023")</f>
        <v/>
      </c>
      <c r="T73">
        <f>HYPERLINK("https://klasma.github.io/Logging_0562/kartor/A 663-2023 karta.png", "A 663-2023")</f>
        <v/>
      </c>
      <c r="V73">
        <f>HYPERLINK("https://klasma.github.io/Logging_0562/klagomål/A 663-2023 FSC-klagomål.docx", "A 663-2023")</f>
        <v/>
      </c>
      <c r="W73">
        <f>HYPERLINK("https://klasma.github.io/Logging_0562/klagomålsmail/A 663-2023 FSC-klagomål mail.docx", "A 663-2023")</f>
        <v/>
      </c>
      <c r="X73">
        <f>HYPERLINK("https://klasma.github.io/Logging_0562/tillsyn/A 663-2023 tillsynsbegäran.docx", "A 663-2023")</f>
        <v/>
      </c>
      <c r="Y73">
        <f>HYPERLINK("https://klasma.github.io/Logging_0562/tillsynsmail/A 663-2023 tillsynsbegäran mail.docx", "A 663-2023")</f>
        <v/>
      </c>
    </row>
    <row r="74" ht="15" customHeight="1">
      <c r="A74" t="inlineStr">
        <is>
          <t>A 3088-2023</t>
        </is>
      </c>
      <c r="B74" s="1" t="n">
        <v>44946</v>
      </c>
      <c r="C74" s="1" t="n">
        <v>45714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3088-2023 artfynd.xlsx", "A 3088-2023")</f>
        <v/>
      </c>
      <c r="T74">
        <f>HYPERLINK("https://klasma.github.io/Logging_0562/kartor/A 3088-2023 karta.png", "A 3088-2023")</f>
        <v/>
      </c>
      <c r="V74">
        <f>HYPERLINK("https://klasma.github.io/Logging_0562/klagomål/A 3088-2023 FSC-klagomål.docx", "A 3088-2023")</f>
        <v/>
      </c>
      <c r="W74">
        <f>HYPERLINK("https://klasma.github.io/Logging_0562/klagomålsmail/A 3088-2023 FSC-klagomål mail.docx", "A 3088-2023")</f>
        <v/>
      </c>
      <c r="X74">
        <f>HYPERLINK("https://klasma.github.io/Logging_0562/tillsyn/A 3088-2023 tillsynsbegäran.docx", "A 3088-2023")</f>
        <v/>
      </c>
      <c r="Y74">
        <f>HYPERLINK("https://klasma.github.io/Logging_0562/tillsynsmail/A 3088-2023 tillsynsbegäran mail.docx", "A 3088-2023")</f>
        <v/>
      </c>
    </row>
    <row r="75" ht="15" customHeight="1">
      <c r="A75" t="inlineStr">
        <is>
          <t>A 3096-2023</t>
        </is>
      </c>
      <c r="B75" s="1" t="n">
        <v>44946</v>
      </c>
      <c r="C75" s="1" t="n">
        <v>45714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3096-2023 artfynd.xlsx", "A 3096-2023")</f>
        <v/>
      </c>
      <c r="T75">
        <f>HYPERLINK("https://klasma.github.io/Logging_0562/kartor/A 3096-2023 karta.png", "A 3096-2023")</f>
        <v/>
      </c>
      <c r="V75">
        <f>HYPERLINK("https://klasma.github.io/Logging_0562/klagomål/A 3096-2023 FSC-klagomål.docx", "A 3096-2023")</f>
        <v/>
      </c>
      <c r="W75">
        <f>HYPERLINK("https://klasma.github.io/Logging_0562/klagomålsmail/A 3096-2023 FSC-klagomål mail.docx", "A 3096-2023")</f>
        <v/>
      </c>
      <c r="X75">
        <f>HYPERLINK("https://klasma.github.io/Logging_0562/tillsyn/A 3096-2023 tillsynsbegäran.docx", "A 3096-2023")</f>
        <v/>
      </c>
      <c r="Y75">
        <f>HYPERLINK("https://klasma.github.io/Logging_0562/tillsynsmail/A 3096-2023 tillsynsbegäran mail.docx", "A 3096-2023")</f>
        <v/>
      </c>
    </row>
    <row r="76" ht="15" customHeight="1">
      <c r="A76" t="inlineStr">
        <is>
          <t>A 6707-2023</t>
        </is>
      </c>
      <c r="B76" s="1" t="n">
        <v>44966</v>
      </c>
      <c r="C76" s="1" t="n">
        <v>45714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Vedtrappmossa</t>
        </is>
      </c>
      <c r="S76">
        <f>HYPERLINK("https://klasma.github.io/Logging_0562/artfynd/A 6707-2023 artfynd.xlsx", "A 6707-2023")</f>
        <v/>
      </c>
      <c r="T76">
        <f>HYPERLINK("https://klasma.github.io/Logging_0562/kartor/A 6707-2023 karta.png", "A 6707-2023")</f>
        <v/>
      </c>
      <c r="V76">
        <f>HYPERLINK("https://klasma.github.io/Logging_0562/klagomål/A 6707-2023 FSC-klagomål.docx", "A 6707-2023")</f>
        <v/>
      </c>
      <c r="W76">
        <f>HYPERLINK("https://klasma.github.io/Logging_0562/klagomålsmail/A 6707-2023 FSC-klagomål mail.docx", "A 6707-2023")</f>
        <v/>
      </c>
      <c r="X76">
        <f>HYPERLINK("https://klasma.github.io/Logging_0562/tillsyn/A 6707-2023 tillsynsbegäran.docx", "A 6707-2023")</f>
        <v/>
      </c>
      <c r="Y76">
        <f>HYPERLINK("https://klasma.github.io/Logging_0562/tillsynsmail/A 6707-2023 tillsynsbegäran mail.docx", "A 6707-2023")</f>
        <v/>
      </c>
    </row>
    <row r="77" ht="15" customHeight="1">
      <c r="A77" t="inlineStr">
        <is>
          <t>A 6729-2023</t>
        </is>
      </c>
      <c r="B77" s="1" t="n">
        <v>44966</v>
      </c>
      <c r="C77" s="1" t="n">
        <v>45714</v>
      </c>
      <c r="D77" t="inlineStr">
        <is>
          <t>ÖSTERGÖTLANDS LÄN</t>
        </is>
      </c>
      <c r="E77" t="inlineStr">
        <is>
          <t>FINSPÅNG</t>
        </is>
      </c>
      <c r="G77" t="n">
        <v>4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HYPERLINK("https://klasma.github.io/Logging_0562/artfynd/A 6729-2023 artfynd.xlsx", "A 6729-2023")</f>
        <v/>
      </c>
      <c r="T77">
        <f>HYPERLINK("https://klasma.github.io/Logging_0562/kartor/A 6729-2023 karta.png", "A 6729-2023")</f>
        <v/>
      </c>
      <c r="V77">
        <f>HYPERLINK("https://klasma.github.io/Logging_0562/klagomål/A 6729-2023 FSC-klagomål.docx", "A 6729-2023")</f>
        <v/>
      </c>
      <c r="W77">
        <f>HYPERLINK("https://klasma.github.io/Logging_0562/klagomålsmail/A 6729-2023 FSC-klagomål mail.docx", "A 6729-2023")</f>
        <v/>
      </c>
      <c r="X77">
        <f>HYPERLINK("https://klasma.github.io/Logging_0562/tillsyn/A 6729-2023 tillsynsbegäran.docx", "A 6729-2023")</f>
        <v/>
      </c>
      <c r="Y77">
        <f>HYPERLINK("https://klasma.github.io/Logging_0562/tillsynsmail/A 6729-2023 tillsynsbegäran mail.docx", "A 6729-2023")</f>
        <v/>
      </c>
    </row>
    <row r="78" ht="15" customHeight="1">
      <c r="A78" t="inlineStr">
        <is>
          <t>A 19404-2023</t>
        </is>
      </c>
      <c r="B78" s="1" t="n">
        <v>45049</v>
      </c>
      <c r="C78" s="1" t="n">
        <v>45714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Naturvårdsverket</t>
        </is>
      </c>
      <c r="G78" t="n">
        <v>5.1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HYPERLINK("https://klasma.github.io/Logging_0562/artfynd/A 19404-2023 artfynd.xlsx", "A 19404-2023")</f>
        <v/>
      </c>
      <c r="T78">
        <f>HYPERLINK("https://klasma.github.io/Logging_0562/kartor/A 19404-2023 karta.png", "A 19404-2023")</f>
        <v/>
      </c>
      <c r="V78">
        <f>HYPERLINK("https://klasma.github.io/Logging_0562/klagomål/A 19404-2023 FSC-klagomål.docx", "A 19404-2023")</f>
        <v/>
      </c>
      <c r="W78">
        <f>HYPERLINK("https://klasma.github.io/Logging_0562/klagomålsmail/A 19404-2023 FSC-klagomål mail.docx", "A 19404-2023")</f>
        <v/>
      </c>
      <c r="X78">
        <f>HYPERLINK("https://klasma.github.io/Logging_0562/tillsyn/A 19404-2023 tillsynsbegäran.docx", "A 19404-2023")</f>
        <v/>
      </c>
      <c r="Y78">
        <f>HYPERLINK("https://klasma.github.io/Logging_0562/tillsynsmail/A 19404-2023 tillsynsbegäran mail.docx", "A 19404-2023")</f>
        <v/>
      </c>
    </row>
    <row r="79" ht="15" customHeight="1">
      <c r="A79" t="inlineStr">
        <is>
          <t>A 24411-2023</t>
        </is>
      </c>
      <c r="B79" s="1" t="n">
        <v>45082</v>
      </c>
      <c r="C79" s="1" t="n">
        <v>45714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HYPERLINK("https://klasma.github.io/Logging_0562/artfynd/A 24411-2023 artfynd.xlsx", "A 24411-2023")</f>
        <v/>
      </c>
      <c r="T79">
        <f>HYPERLINK("https://klasma.github.io/Logging_0562/kartor/A 24411-2023 karta.png", "A 24411-2023")</f>
        <v/>
      </c>
      <c r="V79">
        <f>HYPERLINK("https://klasma.github.io/Logging_0562/klagomål/A 24411-2023 FSC-klagomål.docx", "A 24411-2023")</f>
        <v/>
      </c>
      <c r="W79">
        <f>HYPERLINK("https://klasma.github.io/Logging_0562/klagomålsmail/A 24411-2023 FSC-klagomål mail.docx", "A 24411-2023")</f>
        <v/>
      </c>
      <c r="X79">
        <f>HYPERLINK("https://klasma.github.io/Logging_0562/tillsyn/A 24411-2023 tillsynsbegäran.docx", "A 24411-2023")</f>
        <v/>
      </c>
      <c r="Y79">
        <f>HYPERLINK("https://klasma.github.io/Logging_0562/tillsynsmail/A 24411-2023 tillsynsbegäran mail.docx", "A 24411-2023")</f>
        <v/>
      </c>
    </row>
    <row r="80" ht="15" customHeight="1">
      <c r="A80" t="inlineStr">
        <is>
          <t>A 32570-2023</t>
        </is>
      </c>
      <c r="B80" s="1" t="n">
        <v>45121</v>
      </c>
      <c r="C80" s="1" t="n">
        <v>45714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7.7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HYPERLINK("https://klasma.github.io/Logging_0562/artfynd/A 32570-2023 artfynd.xlsx", "A 32570-2023")</f>
        <v/>
      </c>
      <c r="T80">
        <f>HYPERLINK("https://klasma.github.io/Logging_0562/kartor/A 32570-2023 karta.png", "A 32570-2023")</f>
        <v/>
      </c>
      <c r="V80">
        <f>HYPERLINK("https://klasma.github.io/Logging_0562/klagomål/A 32570-2023 FSC-klagomål.docx", "A 32570-2023")</f>
        <v/>
      </c>
      <c r="W80">
        <f>HYPERLINK("https://klasma.github.io/Logging_0562/klagomålsmail/A 32570-2023 FSC-klagomål mail.docx", "A 32570-2023")</f>
        <v/>
      </c>
      <c r="X80">
        <f>HYPERLINK("https://klasma.github.io/Logging_0562/tillsyn/A 32570-2023 tillsynsbegäran.docx", "A 32570-2023")</f>
        <v/>
      </c>
      <c r="Y80">
        <f>HYPERLINK("https://klasma.github.io/Logging_0562/tillsynsmail/A 32570-2023 tillsynsbegäran mail.docx", "A 32570-2023")</f>
        <v/>
      </c>
      <c r="Z80">
        <f>HYPERLINK("https://klasma.github.io/Logging_0562/fåglar/A 32570-2023 prioriterade fågelarter.docx", "A 32570-2023")</f>
        <v/>
      </c>
    </row>
    <row r="81" ht="15" customHeight="1">
      <c r="A81" t="inlineStr">
        <is>
          <t>A 34115-2023</t>
        </is>
      </c>
      <c r="B81" s="1" t="n">
        <v>45135</v>
      </c>
      <c r="C81" s="1" t="n">
        <v>45714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HYPERLINK("https://klasma.github.io/Logging_0562/artfynd/A 34115-2023 artfynd.xlsx", "A 34115-2023")</f>
        <v/>
      </c>
      <c r="T81">
        <f>HYPERLINK("https://klasma.github.io/Logging_0562/kartor/A 34115-2023 karta.png", "A 34115-2023")</f>
        <v/>
      </c>
      <c r="V81">
        <f>HYPERLINK("https://klasma.github.io/Logging_0562/klagomål/A 34115-2023 FSC-klagomål.docx", "A 34115-2023")</f>
        <v/>
      </c>
      <c r="W81">
        <f>HYPERLINK("https://klasma.github.io/Logging_0562/klagomålsmail/A 34115-2023 FSC-klagomål mail.docx", "A 34115-2023")</f>
        <v/>
      </c>
      <c r="X81">
        <f>HYPERLINK("https://klasma.github.io/Logging_0562/tillsyn/A 34115-2023 tillsynsbegäran.docx", "A 34115-2023")</f>
        <v/>
      </c>
      <c r="Y81">
        <f>HYPERLINK("https://klasma.github.io/Logging_0562/tillsynsmail/A 34115-2023 tillsynsbegäran mail.docx", "A 34115-2023")</f>
        <v/>
      </c>
      <c r="Z81">
        <f>HYPERLINK("https://klasma.github.io/Logging_0562/fåglar/A 34115-2023 prioriterade fågelarter.docx", "A 34115-2023")</f>
        <v/>
      </c>
    </row>
    <row r="82" ht="15" customHeight="1">
      <c r="A82" t="inlineStr">
        <is>
          <t>A 53265-2023</t>
        </is>
      </c>
      <c r="B82" s="1" t="n">
        <v>45229</v>
      </c>
      <c r="C82" s="1" t="n">
        <v>45714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HYPERLINK("https://klasma.github.io/Logging_0562/artfynd/A 53265-2023 artfynd.xlsx", "A 53265-2023")</f>
        <v/>
      </c>
      <c r="T82">
        <f>HYPERLINK("https://klasma.github.io/Logging_0562/kartor/A 53265-2023 karta.png", "A 53265-2023")</f>
        <v/>
      </c>
      <c r="V82">
        <f>HYPERLINK("https://klasma.github.io/Logging_0562/klagomål/A 53265-2023 FSC-klagomål.docx", "A 53265-2023")</f>
        <v/>
      </c>
      <c r="W82">
        <f>HYPERLINK("https://klasma.github.io/Logging_0562/klagomålsmail/A 53265-2023 FSC-klagomål mail.docx", "A 53265-2023")</f>
        <v/>
      </c>
      <c r="X82">
        <f>HYPERLINK("https://klasma.github.io/Logging_0562/tillsyn/A 53265-2023 tillsynsbegäran.docx", "A 53265-2023")</f>
        <v/>
      </c>
      <c r="Y82">
        <f>HYPERLINK("https://klasma.github.io/Logging_0562/tillsynsmail/A 53265-2023 tillsynsbegäran mail.docx", "A 53265-2023")</f>
        <v/>
      </c>
    </row>
    <row r="83" ht="15" customHeight="1">
      <c r="A83" t="inlineStr">
        <is>
          <t>A 54379-2023</t>
        </is>
      </c>
      <c r="B83" s="1" t="n">
        <v>45233</v>
      </c>
      <c r="C83" s="1" t="n">
        <v>45714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Flagellkvastmossa</t>
        </is>
      </c>
      <c r="S83">
        <f>HYPERLINK("https://klasma.github.io/Logging_0562/artfynd/A 54379-2023 artfynd.xlsx", "A 54379-2023")</f>
        <v/>
      </c>
      <c r="T83">
        <f>HYPERLINK("https://klasma.github.io/Logging_0562/kartor/A 54379-2023 karta.png", "A 54379-2023")</f>
        <v/>
      </c>
      <c r="V83">
        <f>HYPERLINK("https://klasma.github.io/Logging_0562/klagomål/A 54379-2023 FSC-klagomål.docx", "A 54379-2023")</f>
        <v/>
      </c>
      <c r="W83">
        <f>HYPERLINK("https://klasma.github.io/Logging_0562/klagomålsmail/A 54379-2023 FSC-klagomål mail.docx", "A 54379-2023")</f>
        <v/>
      </c>
      <c r="X83">
        <f>HYPERLINK("https://klasma.github.io/Logging_0562/tillsyn/A 54379-2023 tillsynsbegäran.docx", "A 54379-2023")</f>
        <v/>
      </c>
      <c r="Y83">
        <f>HYPERLINK("https://klasma.github.io/Logging_0562/tillsynsmail/A 54379-2023 tillsynsbegäran mail.docx", "A 54379-2023")</f>
        <v/>
      </c>
    </row>
    <row r="84" ht="15" customHeight="1">
      <c r="A84" t="inlineStr">
        <is>
          <t>A 54756-2023</t>
        </is>
      </c>
      <c r="B84" s="1" t="n">
        <v>45236</v>
      </c>
      <c r="C84" s="1" t="n">
        <v>45714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Övriga Aktiebolag</t>
        </is>
      </c>
      <c r="G84" t="n">
        <v>1.9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HYPERLINK("https://klasma.github.io/Logging_0562/artfynd/A 54756-2023 artfynd.xlsx", "A 54756-2023")</f>
        <v/>
      </c>
      <c r="T84">
        <f>HYPERLINK("https://klasma.github.io/Logging_0562/kartor/A 54756-2023 karta.png", "A 54756-2023")</f>
        <v/>
      </c>
      <c r="V84">
        <f>HYPERLINK("https://klasma.github.io/Logging_0562/klagomål/A 54756-2023 FSC-klagomål.docx", "A 54756-2023")</f>
        <v/>
      </c>
      <c r="W84">
        <f>HYPERLINK("https://klasma.github.io/Logging_0562/klagomålsmail/A 54756-2023 FSC-klagomål mail.docx", "A 54756-2023")</f>
        <v/>
      </c>
      <c r="X84">
        <f>HYPERLINK("https://klasma.github.io/Logging_0562/tillsyn/A 54756-2023 tillsynsbegäran.docx", "A 54756-2023")</f>
        <v/>
      </c>
      <c r="Y84">
        <f>HYPERLINK("https://klasma.github.io/Logging_0562/tillsynsmail/A 54756-2023 tillsynsbegäran mail.docx", "A 54756-2023")</f>
        <v/>
      </c>
      <c r="Z84">
        <f>HYPERLINK("https://klasma.github.io/Logging_0562/fåglar/A 54756-2023 prioriterade fågelarter.docx", "A 54756-2023")</f>
        <v/>
      </c>
    </row>
    <row r="85" ht="15" customHeight="1">
      <c r="A85" t="inlineStr">
        <is>
          <t>A 1177-2024</t>
        </is>
      </c>
      <c r="B85" s="1" t="n">
        <v>45302</v>
      </c>
      <c r="C85" s="1" t="n">
        <v>45714</v>
      </c>
      <c r="D85" t="inlineStr">
        <is>
          <t>ÖSTERGÖTLANDS LÄN</t>
        </is>
      </c>
      <c r="E85" t="inlineStr">
        <is>
          <t>FINSPÅNG</t>
        </is>
      </c>
      <c r="G85" t="n">
        <v>6.7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HYPERLINK("https://klasma.github.io/Logging_0562/artfynd/A 1177-2024 artfynd.xlsx", "A 1177-2024")</f>
        <v/>
      </c>
      <c r="T85">
        <f>HYPERLINK("https://klasma.github.io/Logging_0562/kartor/A 1177-2024 karta.png", "A 1177-2024")</f>
        <v/>
      </c>
      <c r="U85">
        <f>HYPERLINK("https://klasma.github.io/Logging_0562/knärot/A 1177-2024 karta knärot.png", "A 1177-2024")</f>
        <v/>
      </c>
      <c r="V85">
        <f>HYPERLINK("https://klasma.github.io/Logging_0562/klagomål/A 1177-2024 FSC-klagomål.docx", "A 1177-2024")</f>
        <v/>
      </c>
      <c r="W85">
        <f>HYPERLINK("https://klasma.github.io/Logging_0562/klagomålsmail/A 1177-2024 FSC-klagomål mail.docx", "A 1177-2024")</f>
        <v/>
      </c>
      <c r="X85">
        <f>HYPERLINK("https://klasma.github.io/Logging_0562/tillsyn/A 1177-2024 tillsynsbegäran.docx", "A 1177-2024")</f>
        <v/>
      </c>
      <c r="Y85">
        <f>HYPERLINK("https://klasma.github.io/Logging_0562/tillsynsmail/A 1177-2024 tillsynsbegäran mail.docx", "A 1177-2024")</f>
        <v/>
      </c>
    </row>
    <row r="86" ht="15" customHeight="1">
      <c r="A86" t="inlineStr">
        <is>
          <t>A 4543-2024</t>
        </is>
      </c>
      <c r="B86" s="1" t="n">
        <v>45327</v>
      </c>
      <c r="C86" s="1" t="n">
        <v>45714</v>
      </c>
      <c r="D86" t="inlineStr">
        <is>
          <t>ÖSTERGÖTLANDS LÄN</t>
        </is>
      </c>
      <c r="E86" t="inlineStr">
        <is>
          <t>FINSPÅNG</t>
        </is>
      </c>
      <c r="G86" t="n">
        <v>12.1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Nätådrig parkmätare</t>
        </is>
      </c>
      <c r="S86">
        <f>HYPERLINK("https://klasma.github.io/Logging_0562/artfynd/A 4543-2024 artfynd.xlsx", "A 4543-2024")</f>
        <v/>
      </c>
      <c r="T86">
        <f>HYPERLINK("https://klasma.github.io/Logging_0562/kartor/A 4543-2024 karta.png", "A 4543-2024")</f>
        <v/>
      </c>
      <c r="V86">
        <f>HYPERLINK("https://klasma.github.io/Logging_0562/klagomål/A 4543-2024 FSC-klagomål.docx", "A 4543-2024")</f>
        <v/>
      </c>
      <c r="W86">
        <f>HYPERLINK("https://klasma.github.io/Logging_0562/klagomålsmail/A 4543-2024 FSC-klagomål mail.docx", "A 4543-2024")</f>
        <v/>
      </c>
      <c r="X86">
        <f>HYPERLINK("https://klasma.github.io/Logging_0562/tillsyn/A 4543-2024 tillsynsbegäran.docx", "A 4543-2024")</f>
        <v/>
      </c>
      <c r="Y86">
        <f>HYPERLINK("https://klasma.github.io/Logging_0562/tillsynsmail/A 4543-2024 tillsynsbegäran mail.docx", "A 4543-2024")</f>
        <v/>
      </c>
    </row>
    <row r="87" ht="15" customHeight="1">
      <c r="A87" t="inlineStr">
        <is>
          <t>A 4644-2024</t>
        </is>
      </c>
      <c r="B87" s="1" t="n">
        <v>45328</v>
      </c>
      <c r="C87" s="1" t="n">
        <v>45714</v>
      </c>
      <c r="D87" t="inlineStr">
        <is>
          <t>ÖSTERGÖTLANDS LÄN</t>
        </is>
      </c>
      <c r="E87" t="inlineStr">
        <is>
          <t>FINSPÅNG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HYPERLINK("https://klasma.github.io/Logging_0562/artfynd/A 4644-2024 artfynd.xlsx", "A 4644-2024")</f>
        <v/>
      </c>
      <c r="T87">
        <f>HYPERLINK("https://klasma.github.io/Logging_0562/kartor/A 4644-2024 karta.png", "A 4644-2024")</f>
        <v/>
      </c>
      <c r="V87">
        <f>HYPERLINK("https://klasma.github.io/Logging_0562/klagomål/A 4644-2024 FSC-klagomål.docx", "A 4644-2024")</f>
        <v/>
      </c>
      <c r="W87">
        <f>HYPERLINK("https://klasma.github.io/Logging_0562/klagomålsmail/A 4644-2024 FSC-klagomål mail.docx", "A 4644-2024")</f>
        <v/>
      </c>
      <c r="X87">
        <f>HYPERLINK("https://klasma.github.io/Logging_0562/tillsyn/A 4644-2024 tillsynsbegäran.docx", "A 4644-2024")</f>
        <v/>
      </c>
      <c r="Y87">
        <f>HYPERLINK("https://klasma.github.io/Logging_0562/tillsynsmail/A 4644-2024 tillsynsbegäran mail.docx", "A 4644-2024")</f>
        <v/>
      </c>
      <c r="Z87">
        <f>HYPERLINK("https://klasma.github.io/Logging_0562/fåglar/A 4644-2024 prioriterade fågelarter.docx", "A 4644-2024")</f>
        <v/>
      </c>
    </row>
    <row r="88" ht="15" customHeight="1">
      <c r="A88" t="inlineStr">
        <is>
          <t>A 5742-2024</t>
        </is>
      </c>
      <c r="B88" s="1" t="n">
        <v>45335</v>
      </c>
      <c r="C88" s="1" t="n">
        <v>45714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5742-2024 artfynd.xlsx", "A 5742-2024")</f>
        <v/>
      </c>
      <c r="T88">
        <f>HYPERLINK("https://klasma.github.io/Logging_0562/kartor/A 5742-2024 karta.png", "A 5742-2024")</f>
        <v/>
      </c>
      <c r="V88">
        <f>HYPERLINK("https://klasma.github.io/Logging_0562/klagomål/A 5742-2024 FSC-klagomål.docx", "A 5742-2024")</f>
        <v/>
      </c>
      <c r="W88">
        <f>HYPERLINK("https://klasma.github.io/Logging_0562/klagomålsmail/A 5742-2024 FSC-klagomål mail.docx", "A 5742-2024")</f>
        <v/>
      </c>
      <c r="X88">
        <f>HYPERLINK("https://klasma.github.io/Logging_0562/tillsyn/A 5742-2024 tillsynsbegäran.docx", "A 5742-2024")</f>
        <v/>
      </c>
      <c r="Y88">
        <f>HYPERLINK("https://klasma.github.io/Logging_0562/tillsynsmail/A 5742-2024 tillsynsbegäran mail.docx", "A 5742-2024")</f>
        <v/>
      </c>
    </row>
    <row r="89" ht="15" customHeight="1">
      <c r="A89" t="inlineStr">
        <is>
          <t>A 13477-2024</t>
        </is>
      </c>
      <c r="B89" s="1" t="n">
        <v>45387</v>
      </c>
      <c r="C89" s="1" t="n">
        <v>45714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HYPERLINK("https://klasma.github.io/Logging_0562/artfynd/A 13477-2024 artfynd.xlsx", "A 13477-2024")</f>
        <v/>
      </c>
      <c r="T89">
        <f>HYPERLINK("https://klasma.github.io/Logging_0562/kartor/A 13477-2024 karta.png", "A 13477-2024")</f>
        <v/>
      </c>
      <c r="V89">
        <f>HYPERLINK("https://klasma.github.io/Logging_0562/klagomål/A 13477-2024 FSC-klagomål.docx", "A 13477-2024")</f>
        <v/>
      </c>
      <c r="W89">
        <f>HYPERLINK("https://klasma.github.io/Logging_0562/klagomålsmail/A 13477-2024 FSC-klagomål mail.docx", "A 13477-2024")</f>
        <v/>
      </c>
      <c r="X89">
        <f>HYPERLINK("https://klasma.github.io/Logging_0562/tillsyn/A 13477-2024 tillsynsbegäran.docx", "A 13477-2024")</f>
        <v/>
      </c>
      <c r="Y89">
        <f>HYPERLINK("https://klasma.github.io/Logging_0562/tillsynsmail/A 13477-2024 tillsynsbegäran mail.docx", "A 13477-2024")</f>
        <v/>
      </c>
    </row>
    <row r="90" ht="15" customHeight="1">
      <c r="A90" t="inlineStr">
        <is>
          <t>A 18462-2024</t>
        </is>
      </c>
      <c r="B90" s="1" t="n">
        <v>45425</v>
      </c>
      <c r="C90" s="1" t="n">
        <v>45714</v>
      </c>
      <c r="D90" t="inlineStr">
        <is>
          <t>ÖSTERGÖTLANDS LÄN</t>
        </is>
      </c>
      <c r="E90" t="inlineStr">
        <is>
          <t>FINSPÅNG</t>
        </is>
      </c>
      <c r="G90" t="n">
        <v>6.1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Mosippa</t>
        </is>
      </c>
      <c r="S90">
        <f>HYPERLINK("https://klasma.github.io/Logging_0562/artfynd/A 18462-2024 artfynd.xlsx", "A 18462-2024")</f>
        <v/>
      </c>
      <c r="T90">
        <f>HYPERLINK("https://klasma.github.io/Logging_0562/kartor/A 18462-2024 karta.png", "A 18462-2024")</f>
        <v/>
      </c>
      <c r="V90">
        <f>HYPERLINK("https://klasma.github.io/Logging_0562/klagomål/A 18462-2024 FSC-klagomål.docx", "A 18462-2024")</f>
        <v/>
      </c>
      <c r="W90">
        <f>HYPERLINK("https://klasma.github.io/Logging_0562/klagomålsmail/A 18462-2024 FSC-klagomål mail.docx", "A 18462-2024")</f>
        <v/>
      </c>
      <c r="X90">
        <f>HYPERLINK("https://klasma.github.io/Logging_0562/tillsyn/A 18462-2024 tillsynsbegäran.docx", "A 18462-2024")</f>
        <v/>
      </c>
      <c r="Y90">
        <f>HYPERLINK("https://klasma.github.io/Logging_0562/tillsynsmail/A 18462-2024 tillsynsbegäran mail.docx", "A 18462-2024")</f>
        <v/>
      </c>
    </row>
    <row r="91" ht="15" customHeight="1">
      <c r="A91" t="inlineStr">
        <is>
          <t>A 38573-2024</t>
        </is>
      </c>
      <c r="B91" s="1" t="n">
        <v>45546</v>
      </c>
      <c r="C91" s="1" t="n">
        <v>45714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9.699999999999999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38573-2024 artfynd.xlsx", "A 38573-2024")</f>
        <v/>
      </c>
      <c r="T91">
        <f>HYPERLINK("https://klasma.github.io/Logging_0562/kartor/A 38573-2024 karta.png", "A 38573-2024")</f>
        <v/>
      </c>
      <c r="V91">
        <f>HYPERLINK("https://klasma.github.io/Logging_0562/klagomål/A 38573-2024 FSC-klagomål.docx", "A 38573-2024")</f>
        <v/>
      </c>
      <c r="W91">
        <f>HYPERLINK("https://klasma.github.io/Logging_0562/klagomålsmail/A 38573-2024 FSC-klagomål mail.docx", "A 38573-2024")</f>
        <v/>
      </c>
      <c r="X91">
        <f>HYPERLINK("https://klasma.github.io/Logging_0562/tillsyn/A 38573-2024 tillsynsbegäran.docx", "A 38573-2024")</f>
        <v/>
      </c>
      <c r="Y91">
        <f>HYPERLINK("https://klasma.github.io/Logging_0562/tillsynsmail/A 38573-2024 tillsynsbegäran mail.docx", "A 38573-2024")</f>
        <v/>
      </c>
    </row>
    <row r="92" ht="15" customHeight="1">
      <c r="A92" t="inlineStr">
        <is>
          <t>A 40311-2024</t>
        </is>
      </c>
      <c r="B92" s="1" t="n">
        <v>45554</v>
      </c>
      <c r="C92" s="1" t="n">
        <v>45714</v>
      </c>
      <c r="D92" t="inlineStr">
        <is>
          <t>ÖSTERGÖTLANDS LÄN</t>
        </is>
      </c>
      <c r="E92" t="inlineStr">
        <is>
          <t>FINSPÅNG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40311-2024 artfynd.xlsx", "A 40311-2024")</f>
        <v/>
      </c>
      <c r="T92">
        <f>HYPERLINK("https://klasma.github.io/Logging_0562/kartor/A 40311-2024 karta.png", "A 40311-2024")</f>
        <v/>
      </c>
      <c r="V92">
        <f>HYPERLINK("https://klasma.github.io/Logging_0562/klagomål/A 40311-2024 FSC-klagomål.docx", "A 40311-2024")</f>
        <v/>
      </c>
      <c r="W92">
        <f>HYPERLINK("https://klasma.github.io/Logging_0562/klagomålsmail/A 40311-2024 FSC-klagomål mail.docx", "A 40311-2024")</f>
        <v/>
      </c>
      <c r="X92">
        <f>HYPERLINK("https://klasma.github.io/Logging_0562/tillsyn/A 40311-2024 tillsynsbegäran.docx", "A 40311-2024")</f>
        <v/>
      </c>
      <c r="Y92">
        <f>HYPERLINK("https://klasma.github.io/Logging_0562/tillsynsmail/A 40311-2024 tillsynsbegäran mail.docx", "A 40311-2024")</f>
        <v/>
      </c>
    </row>
    <row r="93" ht="15" customHeight="1">
      <c r="A93" t="inlineStr">
        <is>
          <t>A 40385-2024</t>
        </is>
      </c>
      <c r="B93" s="1" t="n">
        <v>45555</v>
      </c>
      <c r="C93" s="1" t="n">
        <v>45714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HYPERLINK("https://klasma.github.io/Logging_0562/artfynd/A 40385-2024 artfynd.xlsx", "A 40385-2024")</f>
        <v/>
      </c>
      <c r="T93">
        <f>HYPERLINK("https://klasma.github.io/Logging_0562/kartor/A 40385-2024 karta.png", "A 40385-2024")</f>
        <v/>
      </c>
      <c r="V93">
        <f>HYPERLINK("https://klasma.github.io/Logging_0562/klagomål/A 40385-2024 FSC-klagomål.docx", "A 40385-2024")</f>
        <v/>
      </c>
      <c r="W93">
        <f>HYPERLINK("https://klasma.github.io/Logging_0562/klagomålsmail/A 40385-2024 FSC-klagomål mail.docx", "A 40385-2024")</f>
        <v/>
      </c>
      <c r="X93">
        <f>HYPERLINK("https://klasma.github.io/Logging_0562/tillsyn/A 40385-2024 tillsynsbegäran.docx", "A 40385-2024")</f>
        <v/>
      </c>
      <c r="Y93">
        <f>HYPERLINK("https://klasma.github.io/Logging_0562/tillsynsmail/A 40385-2024 tillsynsbegäran mail.docx", "A 40385-2024")</f>
        <v/>
      </c>
      <c r="Z93">
        <f>HYPERLINK("https://klasma.github.io/Logging_0562/fåglar/A 40385-2024 prioriterade fågelarter.docx", "A 40385-2024")</f>
        <v/>
      </c>
    </row>
    <row r="94" ht="15" customHeight="1">
      <c r="A94" t="inlineStr">
        <is>
          <t>A 40478-2024</t>
        </is>
      </c>
      <c r="B94" s="1" t="n">
        <v>45555</v>
      </c>
      <c r="C94" s="1" t="n">
        <v>45714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7.4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40478-2024 artfynd.xlsx", "A 40478-2024")</f>
        <v/>
      </c>
      <c r="T94">
        <f>HYPERLINK("https://klasma.github.io/Logging_0562/kartor/A 40478-2024 karta.png", "A 40478-2024")</f>
        <v/>
      </c>
      <c r="V94">
        <f>HYPERLINK("https://klasma.github.io/Logging_0562/klagomål/A 40478-2024 FSC-klagomål.docx", "A 40478-2024")</f>
        <v/>
      </c>
      <c r="W94">
        <f>HYPERLINK("https://klasma.github.io/Logging_0562/klagomålsmail/A 40478-2024 FSC-klagomål mail.docx", "A 40478-2024")</f>
        <v/>
      </c>
      <c r="X94">
        <f>HYPERLINK("https://klasma.github.io/Logging_0562/tillsyn/A 40478-2024 tillsynsbegäran.docx", "A 40478-2024")</f>
        <v/>
      </c>
      <c r="Y94">
        <f>HYPERLINK("https://klasma.github.io/Logging_0562/tillsynsmail/A 40478-2024 tillsynsbegäran mail.docx", "A 40478-2024")</f>
        <v/>
      </c>
    </row>
    <row r="95" ht="15" customHeight="1">
      <c r="A95" t="inlineStr">
        <is>
          <t>A 40686-2024</t>
        </is>
      </c>
      <c r="B95" s="1" t="n">
        <v>45558</v>
      </c>
      <c r="C95" s="1" t="n">
        <v>45714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19.6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40686-2024 artfynd.xlsx", "A 40686-2024")</f>
        <v/>
      </c>
      <c r="T95">
        <f>HYPERLINK("https://klasma.github.io/Logging_0562/kartor/A 40686-2024 karta.png", "A 40686-2024")</f>
        <v/>
      </c>
      <c r="V95">
        <f>HYPERLINK("https://klasma.github.io/Logging_0562/klagomål/A 40686-2024 FSC-klagomål.docx", "A 40686-2024")</f>
        <v/>
      </c>
      <c r="W95">
        <f>HYPERLINK("https://klasma.github.io/Logging_0562/klagomålsmail/A 40686-2024 FSC-klagomål mail.docx", "A 40686-2024")</f>
        <v/>
      </c>
      <c r="X95">
        <f>HYPERLINK("https://klasma.github.io/Logging_0562/tillsyn/A 40686-2024 tillsynsbegäran.docx", "A 40686-2024")</f>
        <v/>
      </c>
      <c r="Y95">
        <f>HYPERLINK("https://klasma.github.io/Logging_0562/tillsynsmail/A 40686-2024 tillsynsbegäran mail.docx", "A 40686-2024")</f>
        <v/>
      </c>
    </row>
    <row r="96" ht="15" customHeight="1">
      <c r="A96" t="inlineStr">
        <is>
          <t>A 42837-2024</t>
        </is>
      </c>
      <c r="B96" s="1" t="n">
        <v>45566</v>
      </c>
      <c r="C96" s="1" t="n">
        <v>45714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42837-2024 artfynd.xlsx", "A 42837-2024")</f>
        <v/>
      </c>
      <c r="T96">
        <f>HYPERLINK("https://klasma.github.io/Logging_0562/kartor/A 42837-2024 karta.png", "A 42837-2024")</f>
        <v/>
      </c>
      <c r="U96">
        <f>HYPERLINK("https://klasma.github.io/Logging_0562/knärot/A 42837-2024 karta knärot.png", "A 42837-2024")</f>
        <v/>
      </c>
      <c r="V96">
        <f>HYPERLINK("https://klasma.github.io/Logging_0562/klagomål/A 42837-2024 FSC-klagomål.docx", "A 42837-2024")</f>
        <v/>
      </c>
      <c r="W96">
        <f>HYPERLINK("https://klasma.github.io/Logging_0562/klagomålsmail/A 42837-2024 FSC-klagomål mail.docx", "A 42837-2024")</f>
        <v/>
      </c>
      <c r="X96">
        <f>HYPERLINK("https://klasma.github.io/Logging_0562/tillsyn/A 42837-2024 tillsynsbegäran.docx", "A 42837-2024")</f>
        <v/>
      </c>
      <c r="Y96">
        <f>HYPERLINK("https://klasma.github.io/Logging_0562/tillsynsmail/A 42837-2024 tillsynsbegäran mail.docx", "A 42837-2024")</f>
        <v/>
      </c>
    </row>
    <row r="97" ht="15" customHeight="1">
      <c r="A97" t="inlineStr">
        <is>
          <t>A 42650-2024</t>
        </is>
      </c>
      <c r="B97" s="1" t="n">
        <v>45566</v>
      </c>
      <c r="C97" s="1" t="n">
        <v>45714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42650-2024 artfynd.xlsx", "A 42650-2024")</f>
        <v/>
      </c>
      <c r="T97">
        <f>HYPERLINK("https://klasma.github.io/Logging_0562/kartor/A 42650-2024 karta.png", "A 42650-2024")</f>
        <v/>
      </c>
      <c r="V97">
        <f>HYPERLINK("https://klasma.github.io/Logging_0562/klagomål/A 42650-2024 FSC-klagomål.docx", "A 42650-2024")</f>
        <v/>
      </c>
      <c r="W97">
        <f>HYPERLINK("https://klasma.github.io/Logging_0562/klagomålsmail/A 42650-2024 FSC-klagomål mail.docx", "A 42650-2024")</f>
        <v/>
      </c>
      <c r="X97">
        <f>HYPERLINK("https://klasma.github.io/Logging_0562/tillsyn/A 42650-2024 tillsynsbegäran.docx", "A 42650-2024")</f>
        <v/>
      </c>
      <c r="Y97">
        <f>HYPERLINK("https://klasma.github.io/Logging_0562/tillsynsmail/A 42650-2024 tillsynsbegäran mail.docx", "A 42650-2024")</f>
        <v/>
      </c>
    </row>
    <row r="98" ht="15" customHeight="1">
      <c r="A98" t="inlineStr">
        <is>
          <t>A 42648-2024</t>
        </is>
      </c>
      <c r="B98" s="1" t="n">
        <v>45566</v>
      </c>
      <c r="C98" s="1" t="n">
        <v>45714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HYPERLINK("https://klasma.github.io/Logging_0562/artfynd/A 42648-2024 artfynd.xlsx", "A 42648-2024")</f>
        <v/>
      </c>
      <c r="T98">
        <f>HYPERLINK("https://klasma.github.io/Logging_0562/kartor/A 42648-2024 karta.png", "A 42648-2024")</f>
        <v/>
      </c>
      <c r="U98">
        <f>HYPERLINK("https://klasma.github.io/Logging_0562/knärot/A 42648-2024 karta knärot.png", "A 42648-2024")</f>
        <v/>
      </c>
      <c r="V98">
        <f>HYPERLINK("https://klasma.github.io/Logging_0562/klagomål/A 42648-2024 FSC-klagomål.docx", "A 42648-2024")</f>
        <v/>
      </c>
      <c r="W98">
        <f>HYPERLINK("https://klasma.github.io/Logging_0562/klagomålsmail/A 42648-2024 FSC-klagomål mail.docx", "A 42648-2024")</f>
        <v/>
      </c>
      <c r="X98">
        <f>HYPERLINK("https://klasma.github.io/Logging_0562/tillsyn/A 42648-2024 tillsynsbegäran.docx", "A 42648-2024")</f>
        <v/>
      </c>
      <c r="Y98">
        <f>HYPERLINK("https://klasma.github.io/Logging_0562/tillsynsmail/A 42648-2024 tillsynsbegäran mail.docx", "A 42648-2024")</f>
        <v/>
      </c>
    </row>
    <row r="99" ht="15" customHeight="1">
      <c r="A99" t="inlineStr">
        <is>
          <t>A 44984-2024</t>
        </is>
      </c>
      <c r="B99" s="1" t="n">
        <v>45575</v>
      </c>
      <c r="C99" s="1" t="n">
        <v>45714</v>
      </c>
      <c r="D99" t="inlineStr">
        <is>
          <t>ÖSTERGÖTLANDS LÄN</t>
        </is>
      </c>
      <c r="E99" t="inlineStr">
        <is>
          <t>FINSPÅNG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HYPERLINK("https://klasma.github.io/Logging_0562/artfynd/A 44984-2024 artfynd.xlsx", "A 44984-2024")</f>
        <v/>
      </c>
      <c r="T99">
        <f>HYPERLINK("https://klasma.github.io/Logging_0562/kartor/A 44984-2024 karta.png", "A 44984-2024")</f>
        <v/>
      </c>
      <c r="V99">
        <f>HYPERLINK("https://klasma.github.io/Logging_0562/klagomål/A 44984-2024 FSC-klagomål.docx", "A 44984-2024")</f>
        <v/>
      </c>
      <c r="W99">
        <f>HYPERLINK("https://klasma.github.io/Logging_0562/klagomålsmail/A 44984-2024 FSC-klagomål mail.docx", "A 44984-2024")</f>
        <v/>
      </c>
      <c r="X99">
        <f>HYPERLINK("https://klasma.github.io/Logging_0562/tillsyn/A 44984-2024 tillsynsbegäran.docx", "A 44984-2024")</f>
        <v/>
      </c>
      <c r="Y99">
        <f>HYPERLINK("https://klasma.github.io/Logging_0562/tillsynsmail/A 44984-2024 tillsynsbegäran mail.docx", "A 44984-2024")</f>
        <v/>
      </c>
    </row>
    <row r="100" ht="15" customHeight="1">
      <c r="A100" t="inlineStr">
        <is>
          <t>A 50639-2024</t>
        </is>
      </c>
      <c r="B100" s="1" t="n">
        <v>45601</v>
      </c>
      <c r="C100" s="1" t="n">
        <v>45714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13.4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HYPERLINK("https://klasma.github.io/Logging_0562/artfynd/A 50639-2024 artfynd.xlsx", "A 50639-2024")</f>
        <v/>
      </c>
      <c r="T100">
        <f>HYPERLINK("https://klasma.github.io/Logging_0562/kartor/A 50639-2024 karta.png", "A 50639-2024")</f>
        <v/>
      </c>
      <c r="V100">
        <f>HYPERLINK("https://klasma.github.io/Logging_0562/klagomål/A 50639-2024 FSC-klagomål.docx", "A 50639-2024")</f>
        <v/>
      </c>
      <c r="W100">
        <f>HYPERLINK("https://klasma.github.io/Logging_0562/klagomålsmail/A 50639-2024 FSC-klagomål mail.docx", "A 50639-2024")</f>
        <v/>
      </c>
      <c r="X100">
        <f>HYPERLINK("https://klasma.github.io/Logging_0562/tillsyn/A 50639-2024 tillsynsbegäran.docx", "A 50639-2024")</f>
        <v/>
      </c>
      <c r="Y100">
        <f>HYPERLINK("https://klasma.github.io/Logging_0562/tillsynsmail/A 50639-2024 tillsynsbegäran mail.docx", "A 50639-2024")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45714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45714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45714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45714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45714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45714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45714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45714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45714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45714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45714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45714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45714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45714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45714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45714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45714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45714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45714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45714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45714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45714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45714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45714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45714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45714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45714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45714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45714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45714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45714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45714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45714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45714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45714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45714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45714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45714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45714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45714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45714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45714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45714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45714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45714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45714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45714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45714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45714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45714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45714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45714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45714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45714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45714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45714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45714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45714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45714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45714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45714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45714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45714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45714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45714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45714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45714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45714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45714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45714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45714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45714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45714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45714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45714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45714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45714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45714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45714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45714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45714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45714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45714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45714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45714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45714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45714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45714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45714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45714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45714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45714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45714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45714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45714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45714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45714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45714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45714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45714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45714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45714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45714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45714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45714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45714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45714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45714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45714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45714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45714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45714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45714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45714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45714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45714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45714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45714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45714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45714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45714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45714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45714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45714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45714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45714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45714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45714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45714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45714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45714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45714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45714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45714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45714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45714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45714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45714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45714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45714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45714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45714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45714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45714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45714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45714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45714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45714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45714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45714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45714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45714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45714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45714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45714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45714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45714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45714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45714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45714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45714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45714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45714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45714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45714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45714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45714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45714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45714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45714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45714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45714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45714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45714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45714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45714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45714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45714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45714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45714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45714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45714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45714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45714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45714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45714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45714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45714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45714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45714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45714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45714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45714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45714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45714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45714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45714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45714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45714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45714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45714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45714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45714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45714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45714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45714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45714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45714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45714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45714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45714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45714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45714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45714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45714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45714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45714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45714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45714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45714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45714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45714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45714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45714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45714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45714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45714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45714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45714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45714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45714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45714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45714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45714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45714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45714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45714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45714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45714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45714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45714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45714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45714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45714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45714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45714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45714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45714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45714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45714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45714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45714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45714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45714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45714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45714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45714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45714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45714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45714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45714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45714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45714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45714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45714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45714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45714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45714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45714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45714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45714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45714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45714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45714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45714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45714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45714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45714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45714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45714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45714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45714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45714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45714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45714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45714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45714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45714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45714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45714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45714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45714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45714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45714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45714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45714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45714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45714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45714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45714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45714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45714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45714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45714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45714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45714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45714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45714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45714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45714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45714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45714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45714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45714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45714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45714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45714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45714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45714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45714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45714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45714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45714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45714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45714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45714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45714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45714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45714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45714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45714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45714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45714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45714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45714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45714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45714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45714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45714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45714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45714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45714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45714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45714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45714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45714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45714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45714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45714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45714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45714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45714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45714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45714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45714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45714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45714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45714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45714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45714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45714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45714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45714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45714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45714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45714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45714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45714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45714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45714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45714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45714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45714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45714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45714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45714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45714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45714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45714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45714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45714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45714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45714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45714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45714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45714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45714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45714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45714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45714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45714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45714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45714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45714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45714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45714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45714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45714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45714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45714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45714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45714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45714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45714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45714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45714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45714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45714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45714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45714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45714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45714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45714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45714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45714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45714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45714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45714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45714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45714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45714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45714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45714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45714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45714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45714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45714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45714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45714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45714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45714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45714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45714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45714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45714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45714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45714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45714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45714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45714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45714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45714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45714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45714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45714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45714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45714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45714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45714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45714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45714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45714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45714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45714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45714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45714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45714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45714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45714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45714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45714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45714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45714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45714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45714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45714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45714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45714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45714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45714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45714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45714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45714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45714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45714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45714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45714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45714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45714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45714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45714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45714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45714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45714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45714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45714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45714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45714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45714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45714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45714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45714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45714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45714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45714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45714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45714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45714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45714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45714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45714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45714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45714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45714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45714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45714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45714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45714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45714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45714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45714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45714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45714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45714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45714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45714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45714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45714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45714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45714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45714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45714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45714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45714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45714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45714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45714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45714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45714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45714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45714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45714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45714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45714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45714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45714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45714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45714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45714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45714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45714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45714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45714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45714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45714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45714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45714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45714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45714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45714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45714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45714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45714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45714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45714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45714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45714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45714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45714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45714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45714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45714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45714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45714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45714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45714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45714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45714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45714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45714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45714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45714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45714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45714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45714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45714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45714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45714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45714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45714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45714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45714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45714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45714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45714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45714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45714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45714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45714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45714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45714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45714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45714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45714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45714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45714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45714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45714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45714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45714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45714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45714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45714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45714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45714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45714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45714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45714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45714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45714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45714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45714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45714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45714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45714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45714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45714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45714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45714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45714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45714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45714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45714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45714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45714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45714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45714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45714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45714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45714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45714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45714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45714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45714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45714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45714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45714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45714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45714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45714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45714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45714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45714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45714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45714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45714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45714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45714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45714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45714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45714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45714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45714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45714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45714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45714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45714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45714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45714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45714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45714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45714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45714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45714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45714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45714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45714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45714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45714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45714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45714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45714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45714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45714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45714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45714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45714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45714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45714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45714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45714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45714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45714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45714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45714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45714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45714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45714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45714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45714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45714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45714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45714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45714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45714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45714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45714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45714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45714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45714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45714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45714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45714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45714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45714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45714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45714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45714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45714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45714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45714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45714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45714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45714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45714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45714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45714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45714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45714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45714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45714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45714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45714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45714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45714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45714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45714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45714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45714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45714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45714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45714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45714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45714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45714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45714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45714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45714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45714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45714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45714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45714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45714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45714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45714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45714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45714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45714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45714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45714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45714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45714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45714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45714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45714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45714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45714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45714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45714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45714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45714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45714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45714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45714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45714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45714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45714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45714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45714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45714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45714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45714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45714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45714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45714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45714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45714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45714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45714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45714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45714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45714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45714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45714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45714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45714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45714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45714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45714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45714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45714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45714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45714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45714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45714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45714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45714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45714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45714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45714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45714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45714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45714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45714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45714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45714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45714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45714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45714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45714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45714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45714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45714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45714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45714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45714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45714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45714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45714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45714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45714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45714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45714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45714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45714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45714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45714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45714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45714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45714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45714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45714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45714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45714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45714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45714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45714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45714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45714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45714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45714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45714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45714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45714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45714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45714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45714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45714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45714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45714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45714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45714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45714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45714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45714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45714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45714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45714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45714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45714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45714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45714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45714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45714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45714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45714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45714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45714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45714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45714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45714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45714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45714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45714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45714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45714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45714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45714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45714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45714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45714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45714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45714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45714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45714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45714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45714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45714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45714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45714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45714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45714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45714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45714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45714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45714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45714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45714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45714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45714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45714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45714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45714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45714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45714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45714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45714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45714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45714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45714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45714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45714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45714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45714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45714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45714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45714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45714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45714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45714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45714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45714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45714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45714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45714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45714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45714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45714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45714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45714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45714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45714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45714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45714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45714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45714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45714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45714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45714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45714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45714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45714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45714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45714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45714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45714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45714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45714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45714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45714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45714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45714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45714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45714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45714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45714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45714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45714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45714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45714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45714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45714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45714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HYPERLINK("https://klasma.github.io/Logging_0562/knärot/A 42947-2024 karta knärot.png", "A 42947-2024")</f>
        <v/>
      </c>
      <c r="V1543">
        <f>HYPERLINK("https://klasma.github.io/Logging_0562/klagomål/A 42947-2024 FSC-klagomål.docx", "A 42947-2024")</f>
        <v/>
      </c>
      <c r="W1543">
        <f>HYPERLINK("https://klasma.github.io/Logging_0562/klagomålsmail/A 42947-2024 FSC-klagomål mail.docx", "A 42947-2024")</f>
        <v/>
      </c>
      <c r="X1543">
        <f>HYPERLINK("https://klasma.github.io/Logging_0562/tillsyn/A 42947-2024 tillsynsbegäran.docx", "A 42947-2024")</f>
        <v/>
      </c>
      <c r="Y1543">
        <f>HYPERLINK("https://klasma.github.io/Logging_0562/tillsynsmail/A 42947-2024 tillsynsbegäran mail.docx", "A 42947-2024")</f>
        <v/>
      </c>
    </row>
    <row r="1544" ht="15" customHeight="1">
      <c r="A1544" t="inlineStr">
        <is>
          <t>A 42946-2024</t>
        </is>
      </c>
      <c r="B1544" s="1" t="n">
        <v>45567</v>
      </c>
      <c r="C1544" s="1" t="n">
        <v>45714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45714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45714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45714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45714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45714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45714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45714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45714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45714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45714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45714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45714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45714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45714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45714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45714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45714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45714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45714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45714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45714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45714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45714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45714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45714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45714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45714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45714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45714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45714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45714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45714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45714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45714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45714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45714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45714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45714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45714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45714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45714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45714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45714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45714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45714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45714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45714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45714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45714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45714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45714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45714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45714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45714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45714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45714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45714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45714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45714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45714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45714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45714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45714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45714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45714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45714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45714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45714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45714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45714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45714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45714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45714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45714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45714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45714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45714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45714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45714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4753-2025</t>
        </is>
      </c>
      <c r="B1681" s="1" t="n">
        <v>45688</v>
      </c>
      <c r="C1681" s="1" t="n">
        <v>45714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4.3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4754-2025</t>
        </is>
      </c>
      <c r="B1682" s="1" t="n">
        <v>45688</v>
      </c>
      <c r="C1682" s="1" t="n">
        <v>45714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4946-2025</t>
        </is>
      </c>
      <c r="B1683" s="1" t="n">
        <v>45688</v>
      </c>
      <c r="C1683" s="1" t="n">
        <v>45714</v>
      </c>
      <c r="D1683" t="inlineStr">
        <is>
          <t>ÖSTERGÖTLANDS LÄN</t>
        </is>
      </c>
      <c r="E1683" t="inlineStr">
        <is>
          <t>FINSPÅNG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5333-2025</t>
        </is>
      </c>
      <c r="B1684" s="1" t="n">
        <v>45692</v>
      </c>
      <c r="C1684" s="1" t="n">
        <v>45714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5336-2025</t>
        </is>
      </c>
      <c r="B1685" s="1" t="n">
        <v>45692</v>
      </c>
      <c r="C1685" s="1" t="n">
        <v>45714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5349-2025</t>
        </is>
      </c>
      <c r="B1686" s="1" t="n">
        <v>45692</v>
      </c>
      <c r="C1686" s="1" t="n">
        <v>45714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5346-2025</t>
        </is>
      </c>
      <c r="B1687" s="1" t="n">
        <v>45692</v>
      </c>
      <c r="C1687" s="1" t="n">
        <v>45714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45714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6191-2025</t>
        </is>
      </c>
      <c r="B1690" s="1" t="n">
        <v>45698</v>
      </c>
      <c r="C1690" s="1" t="n">
        <v>45714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6203-2025</t>
        </is>
      </c>
      <c r="B1691" s="1" t="n">
        <v>45698</v>
      </c>
      <c r="C1691" s="1" t="n">
        <v>45714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45714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45714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7527-2025</t>
        </is>
      </c>
      <c r="B1696" s="1" t="n">
        <v>45705</v>
      </c>
      <c r="C1696" s="1" t="n">
        <v>45714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7531-2025</t>
        </is>
      </c>
      <c r="B1697" s="1" t="n">
        <v>45705</v>
      </c>
      <c r="C1697" s="1" t="n">
        <v>45714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7529-2025</t>
        </is>
      </c>
      <c r="B1698" s="1" t="n">
        <v>45705</v>
      </c>
      <c r="C1698" s="1" t="n">
        <v>45714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45714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7826-2025</t>
        </is>
      </c>
      <c r="B1700" s="1" t="n">
        <v>45706</v>
      </c>
      <c r="C1700" s="1" t="n">
        <v>45714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7825-2025</t>
        </is>
      </c>
      <c r="B1701" s="1" t="n">
        <v>45706</v>
      </c>
      <c r="C1701" s="1" t="n">
        <v>45714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45714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8403-2025</t>
        </is>
      </c>
      <c r="B1703" s="1" t="n">
        <v>45709</v>
      </c>
      <c r="C1703" s="1" t="n">
        <v>45714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8535-2025</t>
        </is>
      </c>
      <c r="B1704" s="1" t="n">
        <v>45709</v>
      </c>
      <c r="C1704" s="1" t="n">
        <v>45714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8438-2025</t>
        </is>
      </c>
      <c r="B1705" s="1" t="n">
        <v>45709</v>
      </c>
      <c r="C1705" s="1" t="n">
        <v>45714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8526-2025</t>
        </is>
      </c>
      <c r="B1706" s="1" t="n">
        <v>45709</v>
      </c>
      <c r="C1706" s="1" t="n">
        <v>45714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8611-2025</t>
        </is>
      </c>
      <c r="B1707" s="1" t="n">
        <v>45710</v>
      </c>
      <c r="C1707" s="1" t="n">
        <v>45714</v>
      </c>
      <c r="D1707" t="inlineStr">
        <is>
          <t>ÖSTERGÖTLANDS LÄN</t>
        </is>
      </c>
      <c r="E1707" t="inlineStr">
        <is>
          <t>FINSPÅNG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8613-2025</t>
        </is>
      </c>
      <c r="B1708" s="1" t="n">
        <v>45710</v>
      </c>
      <c r="C1708" s="1" t="n">
        <v>45714</v>
      </c>
      <c r="D1708" t="inlineStr">
        <is>
          <t>ÖSTERGÖTLANDS LÄN</t>
        </is>
      </c>
      <c r="E1708" t="inlineStr">
        <is>
          <t>FINSPÅNG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8610-2025</t>
        </is>
      </c>
      <c r="B1709" s="1" t="n">
        <v>45710</v>
      </c>
      <c r="C1709" s="1" t="n">
        <v>45714</v>
      </c>
      <c r="D1709" t="inlineStr">
        <is>
          <t>ÖSTERGÖTLANDS LÄN</t>
        </is>
      </c>
      <c r="E1709" t="inlineStr">
        <is>
          <t>FINSPÅNG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8614-2025</t>
        </is>
      </c>
      <c r="B1710" s="1" t="n">
        <v>45710</v>
      </c>
      <c r="C1710" s="1" t="n">
        <v>45714</v>
      </c>
      <c r="D1710" t="inlineStr">
        <is>
          <t>ÖSTERGÖTLANDS LÄN</t>
        </is>
      </c>
      <c r="E1710" t="inlineStr">
        <is>
          <t>FINSPÅNG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8612-2025</t>
        </is>
      </c>
      <c r="B1711" s="1" t="n">
        <v>45710</v>
      </c>
      <c r="C1711" s="1" t="n">
        <v>45714</v>
      </c>
      <c r="D1711" t="inlineStr">
        <is>
          <t>ÖSTERGÖTLANDS LÄN</t>
        </is>
      </c>
      <c r="E1711" t="inlineStr">
        <is>
          <t>FINSPÅNG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8700-2025</t>
        </is>
      </c>
      <c r="B1712" s="1" t="n">
        <v>45712</v>
      </c>
      <c r="C1712" s="1" t="n">
        <v>45714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>
      <c r="A1713" t="inlineStr">
        <is>
          <t>A 8924-2025</t>
        </is>
      </c>
      <c r="B1713" s="1" t="n">
        <v>45713</v>
      </c>
      <c r="C1713" s="1" t="n">
        <v>45714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2025-02-26T16:20:44Z</dcterms:created>
  <dcterms:modified xmlns:dcterms="http://purl.org/dc/terms/" xmlns:xsi="http://www.w3.org/2001/XMLSchema-instance" xsi:type="dcterms:W3CDTF">2025-02-26T16:20:46Z</dcterms:modified>
</cp:coreProperties>
</file>