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49142-2023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45210</v>
      </c>
      <c r="E6" s="1" t="n">
        <v>46319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12.3</v>
      </c>
      <c r="J6" t="n">
        <v>3</v>
      </c>
      <c r="K6" t="n">
        <v>4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13</v>
      </c>
      <c r="T6" t="n">
        <v>29</v>
      </c>
      <c r="U6" t="n">
        <v>29</v>
      </c>
      <c r="V6" s="2" t="inlineStr">
        <is>
          <t>Raggbock
Dvärgbägarlav
Grönhjon
Tallkötticka
Tallticka
Talltita
Vedskivlav
Blodticka
Bronshjon
Dolkstekelsglasvinge
Mindre märgborre
Spillkråka
Tofsmes</t>
        </is>
      </c>
      <c r="W6">
        <f>HYPERLINK("https://klasma.github.io/Logging_0562/artfynd/A 49142-2023 artfynd.xlsx", "A 49142-2023")</f>
        <v/>
      </c>
      <c r="X6">
        <f>HYPERLINK("https://klasma.github.io/Logging_0562/kartor/A 49142-2023 karta.png", "A 49142-2023")</f>
        <v/>
      </c>
      <c r="Y6">
        <f>HYPERLINK("https://klasma.github.io/Logging_0562/kartor_geotiff/A 49142-2023 georefererad karta.tif", "A 49142-2023")</f>
        <v/>
      </c>
      <c r="AA6">
        <f>HYPERLINK("https://klasma.github.io/Logging_0562/klagomål/A 49142-2023 FSC-klagomål.docx", "A 49142-2023")</f>
        <v/>
      </c>
      <c r="AB6">
        <f>HYPERLINK("https://klasma.github.io/Logging_0562/klagomålsmail/A 49142-2023 FSC-klagomål mail.docx", "A 49142-2023")</f>
        <v/>
      </c>
      <c r="AC6">
        <f>HYPERLINK("https://klasma.github.io/Logging_0562/tillsyn/A 49142-2023 tillsynsbegäran.docx", "A 49142-2023")</f>
        <v/>
      </c>
      <c r="AD6">
        <f>HYPERLINK("https://klasma.github.io/Logging_0562/tillsynsmail/A 49142-2023 tillsynsbegäran mail.docx", "A 49142-2023")</f>
        <v/>
      </c>
      <c r="AE6">
        <f>HYPERLINK("https://klasma.github.io/Logging_0562/fåglar/A 49142-2023 prioriterade fågelarter.docx", "A 49142-2023")</f>
        <v/>
      </c>
    </row>
    <row r="7" ht="15" customHeight="1">
      <c r="A7" t="inlineStr">
        <is>
          <t>A 55723-2022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44888</v>
      </c>
      <c r="E7" s="1" t="n">
        <v>46319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4.3</v>
      </c>
      <c r="J7" t="n">
        <v>5</v>
      </c>
      <c r="K7" t="n">
        <v>4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13</v>
      </c>
      <c r="T7" t="n">
        <v>24</v>
      </c>
      <c r="U7" t="n">
        <v>18</v>
      </c>
      <c r="V7" s="2" t="inlineStr">
        <is>
          <t>Ask
Ekticka
Nordfladdermus
Rosa skärelav
Brun nållav
Fällmossa
Hasselticka
Sotlav
Blåsippa
Krushättemossa
Dvärgpipistrell
Större brunfladdermus
Vattenfladdermus</t>
        </is>
      </c>
      <c r="W7">
        <f>HYPERLINK("https://klasma.github.io/Logging_0562/artfynd/A 55723-2022 artfynd.xlsx", "A 55723-2022")</f>
        <v/>
      </c>
      <c r="X7">
        <f>HYPERLINK("https://klasma.github.io/Logging_0562/kartor/A 55723-2022 karta.png", "A 55723-2022")</f>
        <v/>
      </c>
      <c r="Y7">
        <f>HYPERLINK("https://klasma.github.io/Logging_0562/kartor_geotiff/A 55723-2022 georefererad karta.tif", "A 55723-2022")</f>
        <v/>
      </c>
      <c r="AA7">
        <f>HYPERLINK("https://klasma.github.io/Logging_0562/klagomål/A 55723-2022 FSC-klagomål.docx", "A 55723-2022")</f>
        <v/>
      </c>
      <c r="AB7">
        <f>HYPERLINK("https://klasma.github.io/Logging_0562/klagomålsmail/A 55723-2022 FSC-klagomål mail.docx", "A 55723-2022")</f>
        <v/>
      </c>
      <c r="AC7">
        <f>HYPERLINK("https://klasma.github.io/Logging_0562/tillsyn/A 55723-2022 tillsynsbegäran.docx", "A 55723-2022")</f>
        <v/>
      </c>
      <c r="AD7">
        <f>HYPERLINK("https://klasma.github.io/Logging_0562/tillsynsmail/A 55723-2022 tillsynsbegäran mail.docx", "A 55723-2022")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46319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46319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46319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42399-2026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46307</v>
      </c>
      <c r="E23" s="1" t="n">
        <v>46319</v>
      </c>
      <c r="F23" t="inlineStr">
        <is>
          <t>ÖSTERGÖTLANDS LÄN</t>
        </is>
      </c>
      <c r="G23" t="inlineStr">
        <is>
          <t>FINSPÅNG</t>
        </is>
      </c>
      <c r="I23" t="n">
        <v>3.2</v>
      </c>
      <c r="J23" t="n">
        <v>3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Kungsörn
Större träfjäril
Gröngöling
Trollpipistrell</t>
        </is>
      </c>
      <c r="W23">
        <f>HYPERLINK("https://klasma.github.io/Logging_0562/artfynd/A 42399-2026 artfynd.xlsx", "A 42399-2026")</f>
        <v/>
      </c>
      <c r="X23">
        <f>HYPERLINK("https://klasma.github.io/Logging_0562/kartor/A 42399-2026 karta.png", "A 42399-2026")</f>
        <v/>
      </c>
      <c r="Y23">
        <f>HYPERLINK("https://klasma.github.io/Logging_0562/kartor_geotiff/A 42399-2026 georefererad karta.tif", "A 42399-2026")</f>
        <v/>
      </c>
      <c r="AA23">
        <f>HYPERLINK("https://klasma.github.io/Logging_0562/klagomål/A 42399-2026 FSC-klagomål.docx", "A 42399-2026")</f>
        <v/>
      </c>
      <c r="AB23">
        <f>HYPERLINK("https://klasma.github.io/Logging_0562/klagomålsmail/A 42399-2026 FSC-klagomål mail.docx", "A 42399-2026")</f>
        <v/>
      </c>
      <c r="AC23">
        <f>HYPERLINK("https://klasma.github.io/Logging_0562/tillsyn/A 42399-2026 tillsynsbegäran.docx", "A 42399-2026")</f>
        <v/>
      </c>
      <c r="AD23">
        <f>HYPERLINK("https://klasma.github.io/Logging_0562/tillsynsmail/A 42399-2026 tillsynsbegäran mail.docx", "A 42399-2026")</f>
        <v/>
      </c>
      <c r="AE23">
        <f>HYPERLINK("https://klasma.github.io/Logging_0562/fåglar/A 42399-2026 prioriterade fågelarter.docx", "A 42399-2026")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46319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9</v>
      </c>
      <c r="U24" t="n">
        <v>7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46319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t="n">
        <v>7</v>
      </c>
      <c r="V25" s="2" t="inlineStr">
        <is>
          <t>Dropptaggsvamp
Tallticka
Spillkråka</t>
        </is>
      </c>
      <c r="W25">
        <f>HYPERLINK("https://klasma.github.io/Logging_0562/artfynd/A 28464-2025 artfynd.xlsx", "A 28464-2025")</f>
        <v/>
      </c>
      <c r="X25">
        <f>HYPERLINK("https://klasma.github.io/Logging_0562/kartor/A 28464-2025 karta.png", "A 28464-2025")</f>
        <v/>
      </c>
      <c r="Y25">
        <f>HYPERLINK("https://klasma.github.io/Logging_0562/kartor_geotiff/A 28464-2025 georefererad karta.tif", "A 28464-2025")</f>
        <v/>
      </c>
      <c r="AA25">
        <f>HYPERLINK("https://klasma.github.io/Logging_0562/klagomål/A 28464-2025 FSC-klagomål.docx", "A 28464-2025")</f>
        <v/>
      </c>
      <c r="AB25">
        <f>HYPERLINK("https://klasma.github.io/Logging_0562/klagomålsmail/A 28464-2025 FSC-klagomål mail.docx", "A 28464-2025")</f>
        <v/>
      </c>
      <c r="AC25">
        <f>HYPERLINK("https://klasma.github.io/Logging_0562/tillsyn/A 28464-2025 tillsynsbegäran.docx", "A 28464-2025")</f>
        <v/>
      </c>
      <c r="AD25">
        <f>HYPERLINK("https://klasma.github.io/Logging_0562/tillsynsmail/A 28464-2025 tillsynsbegäran mail.docx", "A 28464-2025")</f>
        <v/>
      </c>
      <c r="AE25">
        <f>HYPERLINK("https://klasma.github.io/Logging_0562/fåglar/A 28464-2025 prioriterade fågelarter.docx", "A 28464-2025")</f>
        <v/>
      </c>
    </row>
    <row r="26" ht="15" customHeight="1">
      <c r="A26" t="inlineStr">
        <is>
          <t>A 28382-2026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46196</v>
      </c>
      <c r="E26" s="1" t="n">
        <v>46319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Kommuner</t>
        </is>
      </c>
      <c r="I26" t="n">
        <v>2.4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Mindre bastardsvärmare
Noshornsoxe
Svart trolldruva</t>
        </is>
      </c>
      <c r="W26">
        <f>HYPERLINK("https://klasma.github.io/Logging_0562/artfynd/A 28382-2026 artfynd.xlsx", "A 28382-2026")</f>
        <v/>
      </c>
      <c r="X26">
        <f>HYPERLINK("https://klasma.github.io/Logging_0562/kartor/A 28382-2026 karta.png", "A 28382-2026")</f>
        <v/>
      </c>
      <c r="Y26">
        <f>HYPERLINK("https://klasma.github.io/Logging_0562/kartor_geotiff/A 28382-2026 georefererad karta.tif", "A 28382-2026")</f>
        <v/>
      </c>
      <c r="AA26">
        <f>HYPERLINK("https://klasma.github.io/Logging_0562/klagomål/A 28382-2026 FSC-klagomål.docx", "A 28382-2026")</f>
        <v/>
      </c>
      <c r="AB26">
        <f>HYPERLINK("https://klasma.github.io/Logging_0562/klagomålsmail/A 28382-2026 FSC-klagomål mail.docx", "A 28382-2026")</f>
        <v/>
      </c>
      <c r="AC26">
        <f>HYPERLINK("https://klasma.github.io/Logging_0562/tillsyn/A 28382-2026 tillsynsbegäran.docx", "A 28382-2026")</f>
        <v/>
      </c>
      <c r="AD26">
        <f>HYPERLINK("https://klasma.github.io/Logging_0562/tillsynsmail/A 28382-2026 tillsynsbegäran mail.docx", "A 28382-2026")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46319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t="n">
        <v>5</v>
      </c>
      <c r="V27" s="2" t="inlineStr">
        <is>
          <t>Skogsklocka
Igelkottsröksvamp
Svart trolldruva</t>
        </is>
      </c>
      <c r="W27">
        <f>HYPERLINK("https://klasma.github.io/Logging_0562/artfynd/A 50904-2024 artfynd.xlsx", "A 50904-2024")</f>
        <v/>
      </c>
      <c r="X27">
        <f>HYPERLINK("https://klasma.github.io/Logging_0562/kartor/A 50904-2024 karta.png", "A 50904-2024")</f>
        <v/>
      </c>
      <c r="Y27">
        <f>HYPERLINK("https://klasma.github.io/Logging_0562/kartor_geotiff/A 50904-2024 georefererad karta.tif", "A 50904-2024")</f>
        <v/>
      </c>
      <c r="AA27">
        <f>HYPERLINK("https://klasma.github.io/Logging_0562/klagomål/A 50904-2024 FSC-klagomål.docx", "A 50904-2024")</f>
        <v/>
      </c>
      <c r="AB27">
        <f>HYPERLINK("https://klasma.github.io/Logging_0562/klagomålsmail/A 50904-2024 FSC-klagomål mail.docx", "A 50904-2024")</f>
        <v/>
      </c>
      <c r="AC27">
        <f>HYPERLINK("https://klasma.github.io/Logging_0562/tillsyn/A 50904-2024 tillsynsbegäran.docx", "A 50904-2024")</f>
        <v/>
      </c>
      <c r="AD27">
        <f>HYPERLINK("https://klasma.github.io/Logging_0562/tillsynsmail/A 50904-2024 tillsynsbegäran mail.docx", "A 50904-2024")</f>
        <v/>
      </c>
    </row>
    <row r="28" ht="15" customHeight="1">
      <c r="A28" t="inlineStr">
        <is>
          <t>A 25284-2025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45800</v>
      </c>
      <c r="E28" s="1" t="n">
        <v>46319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Naturvårdsverket</t>
        </is>
      </c>
      <c r="I28" t="n">
        <v>5.9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Fjällig taggsvamp s.str.
Skogsklocka
Revlummer</t>
        </is>
      </c>
      <c r="W28">
        <f>HYPERLINK("https://klasma.github.io/Logging_0562/artfynd/A 25284-2025 artfynd.xlsx", "A 25284-2025")</f>
        <v/>
      </c>
      <c r="X28">
        <f>HYPERLINK("https://klasma.github.io/Logging_0562/kartor/A 25284-2025 karta.png", "A 25284-2025")</f>
        <v/>
      </c>
      <c r="Y28">
        <f>HYPERLINK("https://klasma.github.io/Logging_0562/kartor_geotiff/A 25284-2025 georefererad karta.tif", "A 25284-2025")</f>
        <v/>
      </c>
      <c r="AA28">
        <f>HYPERLINK("https://klasma.github.io/Logging_0562/klagomål/A 25284-2025 FSC-klagomål.docx", "A 25284-2025")</f>
        <v/>
      </c>
      <c r="AB28">
        <f>HYPERLINK("https://klasma.github.io/Logging_0562/klagomålsmail/A 25284-2025 FSC-klagomål mail.docx", "A 25284-2025")</f>
        <v/>
      </c>
      <c r="AC28">
        <f>HYPERLINK("https://klasma.github.io/Logging_0562/tillsyn/A 25284-2025 tillsynsbegäran.docx", "A 25284-2025")</f>
        <v/>
      </c>
      <c r="AD28">
        <f>HYPERLINK("https://klasma.github.io/Logging_0562/tillsynsmail/A 25284-2025 tillsynsbegäran mail.docx", "A 25284-2025")</f>
        <v/>
      </c>
    </row>
    <row r="29" ht="15" customHeight="1">
      <c r="A29" t="inlineStr">
        <is>
          <t>A 24404-2023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45082</v>
      </c>
      <c r="E29" s="1" t="n">
        <v>46319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12.4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Fällmossa
Tibast
Blåsippa</t>
        </is>
      </c>
      <c r="W29">
        <f>HYPERLINK("https://klasma.github.io/Logging_0562/artfynd/A 24404-2023 artfynd.xlsx", "A 24404-2023")</f>
        <v/>
      </c>
      <c r="X29">
        <f>HYPERLINK("https://klasma.github.io/Logging_0562/kartor/A 24404-2023 karta.png", "A 24404-2023")</f>
        <v/>
      </c>
      <c r="Y29">
        <f>HYPERLINK("https://klasma.github.io/Logging_0562/kartor_geotiff/A 24404-2023 georefererad karta.tif", "A 24404-2023")</f>
        <v/>
      </c>
      <c r="AA29">
        <f>HYPERLINK("https://klasma.github.io/Logging_0562/klagomål/A 24404-2023 FSC-klagomål.docx", "A 24404-2023")</f>
        <v/>
      </c>
      <c r="AB29">
        <f>HYPERLINK("https://klasma.github.io/Logging_0562/klagomålsmail/A 24404-2023 FSC-klagomål mail.docx", "A 24404-2023")</f>
        <v/>
      </c>
      <c r="AC29">
        <f>HYPERLINK("https://klasma.github.io/Logging_0562/tillsyn/A 24404-2023 tillsynsbegäran.docx", "A 24404-2023")</f>
        <v/>
      </c>
      <c r="AD29">
        <f>HYPERLINK("https://klasma.github.io/Logging_0562/tillsynsmail/A 24404-2023 tillsynsbegäran mail.docx", "A 24404-2023")</f>
        <v/>
      </c>
    </row>
    <row r="30" ht="15" customHeight="1">
      <c r="A30" t="inlineStr">
        <is>
          <t>A 31393-2022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44774</v>
      </c>
      <c r="E30" s="1" t="n">
        <v>46319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0.4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Gullpudra
Tibast
Vätteros</t>
        </is>
      </c>
      <c r="W30">
        <f>HYPERLINK("https://klasma.github.io/Logging_0562/artfynd/A 31393-2022 artfynd.xlsx", "A 31393-2022")</f>
        <v/>
      </c>
      <c r="X30">
        <f>HYPERLINK("https://klasma.github.io/Logging_0562/kartor/A 31393-2022 karta.png", "A 31393-2022")</f>
        <v/>
      </c>
      <c r="Y30">
        <f>HYPERLINK("https://klasma.github.io/Logging_0562/kartor_geotiff/A 31393-2022 georefererad karta.tif", "A 31393-2022")</f>
        <v/>
      </c>
      <c r="AA30">
        <f>HYPERLINK("https://klasma.github.io/Logging_0562/klagomål/A 31393-2022 FSC-klagomål.docx", "A 31393-2022")</f>
        <v/>
      </c>
      <c r="AB30">
        <f>HYPERLINK("https://klasma.github.io/Logging_0562/klagomålsmail/A 31393-2022 FSC-klagomål mail.docx", "A 31393-2022")</f>
        <v/>
      </c>
      <c r="AC30">
        <f>HYPERLINK("https://klasma.github.io/Logging_0562/tillsyn/A 31393-2022 tillsynsbegäran.docx", "A 31393-2022")</f>
        <v/>
      </c>
      <c r="AD30">
        <f>HYPERLINK("https://klasma.github.io/Logging_0562/tillsynsmail/A 31393-2022 tillsynsbegäran mail.docx", "A 31393-2022")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40002-2025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46319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2.4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Svartvit taggsvamp
Orre</t>
        </is>
      </c>
      <c r="W32">
        <f>HYPERLINK("https://klasma.github.io/Logging_0562/artfynd/A 40002-2025 artfynd.xlsx", "A 40002-2025")</f>
        <v/>
      </c>
      <c r="X32">
        <f>HYPERLINK("https://klasma.github.io/Logging_0562/kartor/A 40002-2025 karta.png", "A 40002-2025")</f>
        <v/>
      </c>
      <c r="Y32">
        <f>HYPERLINK("https://klasma.github.io/Logging_0562/kartor_geotiff/A 40002-2025 georefererad karta.tif", "A 40002-2025")</f>
        <v/>
      </c>
      <c r="AA32">
        <f>HYPERLINK("https://klasma.github.io/Logging_0562/klagomål/A 40002-2025 FSC-klagomål.docx", "A 40002-2025")</f>
        <v/>
      </c>
      <c r="AB32">
        <f>HYPERLINK("https://klasma.github.io/Logging_0562/klagomålsmail/A 40002-2025 FSC-klagomål mail.docx", "A 40002-2025")</f>
        <v/>
      </c>
      <c r="AC32">
        <f>HYPERLINK("https://klasma.github.io/Logging_0562/tillsyn/A 40002-2025 tillsynsbegäran.docx", "A 40002-2025")</f>
        <v/>
      </c>
      <c r="AD32">
        <f>HYPERLINK("https://klasma.github.io/Logging_0562/tillsynsmail/A 40002-2025 tillsynsbegäran mail.docx", "A 40002-2025")</f>
        <v/>
      </c>
      <c r="AE32">
        <f>HYPERLINK("https://klasma.github.io/Logging_0562/fåglar/A 40002-2025 prioriterade fågelarter.docx", "A 40002-2025")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46319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46319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24834-2026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46319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Sveaskog</t>
        </is>
      </c>
      <c r="I35" t="n">
        <v>6.5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Backruta
Fläcknycklar</t>
        </is>
      </c>
      <c r="W35">
        <f>HYPERLINK("https://klasma.github.io/Logging_0562/artfynd/A 24834-2026 artfynd.xlsx", "A 24834-2026")</f>
        <v/>
      </c>
      <c r="X35">
        <f>HYPERLINK("https://klasma.github.io/Logging_0562/kartor/A 24834-2026 karta.png", "A 24834-2026")</f>
        <v/>
      </c>
      <c r="Y35">
        <f>HYPERLINK("https://klasma.github.io/Logging_0562/kartor_geotiff/A 24834-2026 georefererad karta.tif", "A 24834-2026")</f>
        <v/>
      </c>
      <c r="AA35">
        <f>HYPERLINK("https://klasma.github.io/Logging_0562/klagomål/A 24834-2026 FSC-klagomål.docx", "A 24834-2026")</f>
        <v/>
      </c>
      <c r="AB35">
        <f>HYPERLINK("https://klasma.github.io/Logging_0562/klagomålsmail/A 24834-2026 FSC-klagomål mail.docx", "A 24834-2026")</f>
        <v/>
      </c>
      <c r="AC35">
        <f>HYPERLINK("https://klasma.github.io/Logging_0562/tillsyn/A 24834-2026 tillsynsbegäran.docx", "A 24834-2026")</f>
        <v/>
      </c>
      <c r="AD35">
        <f>HYPERLINK("https://klasma.github.io/Logging_0562/tillsynsmail/A 24834-2026 tillsynsbegäran mail.docx", "A 24834-2026")</f>
        <v/>
      </c>
    </row>
    <row r="36" ht="15" customHeight="1">
      <c r="A36" t="inlineStr">
        <is>
          <t>A 18462-2024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45425</v>
      </c>
      <c r="E36" s="1" t="n">
        <v>46319</v>
      </c>
      <c r="F36" t="inlineStr">
        <is>
          <t>ÖSTERGÖTLANDS LÄN</t>
        </is>
      </c>
      <c r="G36" t="inlineStr">
        <is>
          <t>FINSPÅNG</t>
        </is>
      </c>
      <c r="I36" t="n">
        <v>6.1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Mosippa
Gullklöver</t>
        </is>
      </c>
      <c r="W36">
        <f>HYPERLINK("https://klasma.github.io/Logging_0562/artfynd/A 18462-2024 artfynd.xlsx", "A 18462-2024")</f>
        <v/>
      </c>
      <c r="X36">
        <f>HYPERLINK("https://klasma.github.io/Logging_0562/kartor/A 18462-2024 karta.png", "A 18462-2024")</f>
        <v/>
      </c>
      <c r="Y36">
        <f>HYPERLINK("https://klasma.github.io/Logging_0562/kartor_geotiff/A 18462-2024 georefererad karta.tif", "A 18462-2024")</f>
        <v/>
      </c>
      <c r="AA36">
        <f>HYPERLINK("https://klasma.github.io/Logging_0562/klagomål/A 18462-2024 FSC-klagomål.docx", "A 18462-2024")</f>
        <v/>
      </c>
      <c r="AB36">
        <f>HYPERLINK("https://klasma.github.io/Logging_0562/klagomålsmail/A 18462-2024 FSC-klagomål mail.docx", "A 18462-2024")</f>
        <v/>
      </c>
      <c r="AC36">
        <f>HYPERLINK("https://klasma.github.io/Logging_0562/tillsyn/A 18462-2024 tillsynsbegäran.docx", "A 18462-2024")</f>
        <v/>
      </c>
      <c r="AD36">
        <f>HYPERLINK("https://klasma.github.io/Logging_0562/tillsynsmail/A 18462-2024 tillsynsbegäran mail.docx", "A 18462-2024")</f>
        <v/>
      </c>
    </row>
    <row r="37" ht="15" customHeight="1">
      <c r="A37" t="inlineStr">
        <is>
          <t>A 32570-2023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45121</v>
      </c>
      <c r="E37" s="1" t="n">
        <v>46319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7.7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Talltita
Havsörn</t>
        </is>
      </c>
      <c r="W37">
        <f>HYPERLINK("https://klasma.github.io/Logging_0562/artfynd/A 32570-2023 artfynd.xlsx", "A 32570-2023")</f>
        <v/>
      </c>
      <c r="X37">
        <f>HYPERLINK("https://klasma.github.io/Logging_0562/kartor/A 32570-2023 karta.png", "A 32570-2023")</f>
        <v/>
      </c>
      <c r="Y37">
        <f>HYPERLINK("https://klasma.github.io/Logging_0562/kartor_geotiff/A 32570-2023 georefererad karta.tif", "A 32570-2023")</f>
        <v/>
      </c>
      <c r="AA37">
        <f>HYPERLINK("https://klasma.github.io/Logging_0562/klagomål/A 32570-2023 FSC-klagomål.docx", "A 32570-2023")</f>
        <v/>
      </c>
      <c r="AB37">
        <f>HYPERLINK("https://klasma.github.io/Logging_0562/klagomålsmail/A 32570-2023 FSC-klagomål mail.docx", "A 32570-2023")</f>
        <v/>
      </c>
      <c r="AC37">
        <f>HYPERLINK("https://klasma.github.io/Logging_0562/tillsyn/A 32570-2023 tillsynsbegäran.docx", "A 32570-2023")</f>
        <v/>
      </c>
      <c r="AD37">
        <f>HYPERLINK("https://klasma.github.io/Logging_0562/tillsynsmail/A 32570-2023 tillsynsbegäran mail.docx", "A 32570-2023")</f>
        <v/>
      </c>
      <c r="AE37">
        <f>HYPERLINK("https://klasma.github.io/Logging_0562/fåglar/A 32570-2023 prioriterade fågelarter.docx", "A 32570-2023")</f>
        <v/>
      </c>
    </row>
    <row r="38" ht="15" customHeight="1">
      <c r="A38" t="inlineStr">
        <is>
          <t>A 58806-2022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44903</v>
      </c>
      <c r="E38" s="1" t="n">
        <v>46319</v>
      </c>
      <c r="F38" t="inlineStr">
        <is>
          <t>ÖSTERGÖTLANDS LÄN</t>
        </is>
      </c>
      <c r="G38" t="inlineStr">
        <is>
          <t>FINSPÅNG</t>
        </is>
      </c>
      <c r="I38" t="n">
        <v>3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Flagellkvastmossa</t>
        </is>
      </c>
      <c r="W38">
        <f>HYPERLINK("https://klasma.github.io/Logging_0562/artfynd/A 58806-2022 artfynd.xlsx", "A 58806-2022")</f>
        <v/>
      </c>
      <c r="X38">
        <f>HYPERLINK("https://klasma.github.io/Logging_0562/kartor/A 58806-2022 karta.png", "A 58806-2022")</f>
        <v/>
      </c>
      <c r="Y38">
        <f>HYPERLINK("https://klasma.github.io/Logging_0562/kartor_geotiff/A 58806-2022 georefererad karta.tif", "A 58806-2022")</f>
        <v/>
      </c>
      <c r="Z38">
        <f>HYPERLINK("https://klasma.github.io/Logging_0562/knärot/A 58806-2022 karta knärot.png", "A 58806-2022")</f>
        <v/>
      </c>
      <c r="AA38">
        <f>HYPERLINK("https://klasma.github.io/Logging_0562/klagomål/A 58806-2022 FSC-klagomål.docx", "A 58806-2022")</f>
        <v/>
      </c>
      <c r="AB38">
        <f>HYPERLINK("https://klasma.github.io/Logging_0562/klagomålsmail/A 58806-2022 FSC-klagomål mail.docx", "A 58806-2022")</f>
        <v/>
      </c>
      <c r="AC38">
        <f>HYPERLINK("https://klasma.github.io/Logging_0562/tillsyn/A 58806-2022 tillsynsbegäran.docx", "A 58806-2022")</f>
        <v/>
      </c>
      <c r="AD38">
        <f>HYPERLINK("https://klasma.github.io/Logging_0562/tillsynsmail/A 58806-2022 tillsynsbegäran mail.docx", "A 58806-2022")</f>
        <v/>
      </c>
    </row>
    <row r="39" ht="15" customHeight="1">
      <c r="A39" t="inlineStr">
        <is>
          <t>A 25940-2026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46319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Sveaskog</t>
        </is>
      </c>
      <c r="I39" t="n">
        <v>5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Motaggsvamp
Flagellkvastmossa</t>
        </is>
      </c>
      <c r="W39">
        <f>HYPERLINK("https://klasma.github.io/Logging_0562/artfynd/A 25940-2026 artfynd.xlsx", "A 25940-2026")</f>
        <v/>
      </c>
      <c r="X39">
        <f>HYPERLINK("https://klasma.github.io/Logging_0562/kartor/A 25940-2026 karta.png", "A 25940-2026")</f>
        <v/>
      </c>
      <c r="Y39">
        <f>HYPERLINK("https://klasma.github.io/Logging_0562/kartor_geotiff/A 25940-2026 georefererad karta.tif", "A 25940-2026")</f>
        <v/>
      </c>
      <c r="AA39">
        <f>HYPERLINK("https://klasma.github.io/Logging_0562/klagomål/A 25940-2026 FSC-klagomål.docx", "A 25940-2026")</f>
        <v/>
      </c>
      <c r="AB39">
        <f>HYPERLINK("https://klasma.github.io/Logging_0562/klagomålsmail/A 25940-2026 FSC-klagomål mail.docx", "A 25940-2026")</f>
        <v/>
      </c>
      <c r="AC39">
        <f>HYPERLINK("https://klasma.github.io/Logging_0562/tillsyn/A 25940-2026 tillsynsbegäran.docx", "A 25940-2026")</f>
        <v/>
      </c>
      <c r="AD39">
        <f>HYPERLINK("https://klasma.github.io/Logging_0562/tillsynsmail/A 25940-2026 tillsynsbegäran mail.docx", "A 25940-2026")</f>
        <v/>
      </c>
    </row>
    <row r="40" ht="15" customHeight="1">
      <c r="A40" t="inlineStr">
        <is>
          <t>A 25941-2026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46319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14.4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Motaggsvamp
Flagellkvastmossa</t>
        </is>
      </c>
      <c r="W40">
        <f>HYPERLINK("https://klasma.github.io/Logging_0562/artfynd/A 25941-2026 artfynd.xlsx", "A 25941-2026")</f>
        <v/>
      </c>
      <c r="X40">
        <f>HYPERLINK("https://klasma.github.io/Logging_0562/kartor/A 25941-2026 karta.png", "A 25941-2026")</f>
        <v/>
      </c>
      <c r="Y40">
        <f>HYPERLINK("https://klasma.github.io/Logging_0562/kartor_geotiff/A 25941-2026 georefererad karta.tif", "A 25941-2026")</f>
        <v/>
      </c>
      <c r="AA40">
        <f>HYPERLINK("https://klasma.github.io/Logging_0562/klagomål/A 25941-2026 FSC-klagomål.docx", "A 25941-2026")</f>
        <v/>
      </c>
      <c r="AB40">
        <f>HYPERLINK("https://klasma.github.io/Logging_0562/klagomålsmail/A 25941-2026 FSC-klagomål mail.docx", "A 25941-2026")</f>
        <v/>
      </c>
      <c r="AC40">
        <f>HYPERLINK("https://klasma.github.io/Logging_0562/tillsyn/A 25941-2026 tillsynsbegäran.docx", "A 25941-2026")</f>
        <v/>
      </c>
      <c r="AD40">
        <f>HYPERLINK("https://klasma.github.io/Logging_0562/tillsynsmail/A 25941-2026 tillsynsbegäran mail.docx", "A 25941-2026")</f>
        <v/>
      </c>
    </row>
    <row r="41" ht="15" customHeight="1">
      <c r="A41" t="inlineStr">
        <is>
          <t>A 51549-2025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45950</v>
      </c>
      <c r="E41" s="1" t="n">
        <v>46319</v>
      </c>
      <c r="F41" t="inlineStr">
        <is>
          <t>ÖSTERGÖTLANDS LÄN</t>
        </is>
      </c>
      <c r="G41" t="inlineStr">
        <is>
          <t>FINSPÅNG</t>
        </is>
      </c>
      <c r="H41" t="inlineStr">
        <is>
          <t>Övriga Aktiebolag</t>
        </is>
      </c>
      <c r="I41" t="n">
        <v>4.1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Svedjenäva
Mattlummer</t>
        </is>
      </c>
      <c r="W41">
        <f>HYPERLINK("https://klasma.github.io/Logging_0562/artfynd/A 51549-2025 artfynd.xlsx", "A 51549-2025")</f>
        <v/>
      </c>
      <c r="X41">
        <f>HYPERLINK("https://klasma.github.io/Logging_0562/kartor/A 51549-2025 karta.png", "A 51549-2025")</f>
        <v/>
      </c>
      <c r="Y41">
        <f>HYPERLINK("https://klasma.github.io/Logging_0562/kartor_geotiff/A 51549-2025 georefererad karta.tif", "A 51549-2025")</f>
        <v/>
      </c>
      <c r="AA41">
        <f>HYPERLINK("https://klasma.github.io/Logging_0562/klagomål/A 51549-2025 FSC-klagomål.docx", "A 51549-2025")</f>
        <v/>
      </c>
      <c r="AB41">
        <f>HYPERLINK("https://klasma.github.io/Logging_0562/klagomålsmail/A 51549-2025 FSC-klagomål mail.docx", "A 51549-2025")</f>
        <v/>
      </c>
      <c r="AC41">
        <f>HYPERLINK("https://klasma.github.io/Logging_0562/tillsyn/A 51549-2025 tillsynsbegäran.docx", "A 51549-2025")</f>
        <v/>
      </c>
      <c r="AD41">
        <f>HYPERLINK("https://klasma.github.io/Logging_0562/tillsynsmail/A 51549-2025 tillsynsbegäran mail.docx", "A 51549-2025")</f>
        <v/>
      </c>
    </row>
    <row r="42" ht="15" customHeight="1">
      <c r="A42" t="inlineStr">
        <is>
          <t>A 28395-2024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45477</v>
      </c>
      <c r="E42" s="1" t="n">
        <v>46319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Naturvårdsverket</t>
        </is>
      </c>
      <c r="I42" t="n">
        <v>0.6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Talltita
Fläcknycklar</t>
        </is>
      </c>
      <c r="W42">
        <f>HYPERLINK("https://klasma.github.io/Logging_0562/artfynd/A 28395-2024 artfynd.xlsx", "A 28395-2024")</f>
        <v/>
      </c>
      <c r="X42">
        <f>HYPERLINK("https://klasma.github.io/Logging_0562/kartor/A 28395-2024 karta.png", "A 28395-2024")</f>
        <v/>
      </c>
      <c r="Y42">
        <f>HYPERLINK("https://klasma.github.io/Logging_0562/kartor_geotiff/A 28395-2024 georefererad karta.tif", "A 28395-2024")</f>
        <v/>
      </c>
      <c r="AA42">
        <f>HYPERLINK("https://klasma.github.io/Logging_0562/klagomål/A 28395-2024 FSC-klagomål.docx", "A 28395-2024")</f>
        <v/>
      </c>
      <c r="AB42">
        <f>HYPERLINK("https://klasma.github.io/Logging_0562/klagomålsmail/A 28395-2024 FSC-klagomål mail.docx", "A 28395-2024")</f>
        <v/>
      </c>
      <c r="AC42">
        <f>HYPERLINK("https://klasma.github.io/Logging_0562/tillsyn/A 28395-2024 tillsynsbegäran.docx", "A 28395-2024")</f>
        <v/>
      </c>
      <c r="AD42">
        <f>HYPERLINK("https://klasma.github.io/Logging_0562/tillsynsmail/A 28395-2024 tillsynsbegäran mail.docx", "A 28395-2024")</f>
        <v/>
      </c>
      <c r="AE42">
        <f>HYPERLINK("https://klasma.github.io/Logging_0562/fåglar/A 28395-2024 prioriterade fågelarter.docx", "A 28395-2024")</f>
        <v/>
      </c>
    </row>
    <row r="43" ht="15" customHeight="1">
      <c r="A43" t="inlineStr">
        <is>
          <t>A 9412-2023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44981</v>
      </c>
      <c r="E43" s="1" t="n">
        <v>46319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0.5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Bronshjon
Fläcknycklar</t>
        </is>
      </c>
      <c r="W43">
        <f>HYPERLINK("https://klasma.github.io/Logging_0562/artfynd/A 9412-2023 artfynd.xlsx", "A 9412-2023")</f>
        <v/>
      </c>
      <c r="X43">
        <f>HYPERLINK("https://klasma.github.io/Logging_0562/kartor/A 9412-2023 karta.png", "A 9412-2023")</f>
        <v/>
      </c>
      <c r="Y43">
        <f>HYPERLINK("https://klasma.github.io/Logging_0562/kartor_geotiff/A 9412-2023 georefererad karta.tif", "A 9412-2023")</f>
        <v/>
      </c>
      <c r="AA43">
        <f>HYPERLINK("https://klasma.github.io/Logging_0562/klagomål/A 9412-2023 FSC-klagomål.docx", "A 9412-2023")</f>
        <v/>
      </c>
      <c r="AB43">
        <f>HYPERLINK("https://klasma.github.io/Logging_0562/klagomålsmail/A 9412-2023 FSC-klagomål mail.docx", "A 9412-2023")</f>
        <v/>
      </c>
      <c r="AC43">
        <f>HYPERLINK("https://klasma.github.io/Logging_0562/tillsyn/A 9412-2023 tillsynsbegäran.docx", "A 9412-2023")</f>
        <v/>
      </c>
      <c r="AD43">
        <f>HYPERLINK("https://klasma.github.io/Logging_0562/tillsynsmail/A 9412-2023 tillsynsbegäran mail.docx", "A 9412-2023")</f>
        <v/>
      </c>
    </row>
    <row r="44" ht="15" customHeight="1">
      <c r="A44" t="inlineStr">
        <is>
          <t>A 60890-2024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45644</v>
      </c>
      <c r="E44" s="1" t="n">
        <v>46319</v>
      </c>
      <c r="F44" t="inlineStr">
        <is>
          <t>ÖSTERGÖTLANDS LÄN</t>
        </is>
      </c>
      <c r="G44" t="inlineStr">
        <is>
          <t>FINSPÅNG</t>
        </is>
      </c>
      <c r="I44" t="n">
        <v>2.2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Fläcknycklar
Grönvit nattviol</t>
        </is>
      </c>
      <c r="W44">
        <f>HYPERLINK("https://klasma.github.io/Logging_0562/artfynd/A 60890-2024 artfynd.xlsx", "A 60890-2024")</f>
        <v/>
      </c>
      <c r="X44">
        <f>HYPERLINK("https://klasma.github.io/Logging_0562/kartor/A 60890-2024 karta.png", "A 60890-2024")</f>
        <v/>
      </c>
      <c r="Y44">
        <f>HYPERLINK("https://klasma.github.io/Logging_0562/kartor_geotiff/A 60890-2024 georefererad karta.tif", "A 60890-2024")</f>
        <v/>
      </c>
      <c r="AA44">
        <f>HYPERLINK("https://klasma.github.io/Logging_0562/klagomål/A 60890-2024 FSC-klagomål.docx", "A 60890-2024")</f>
        <v/>
      </c>
      <c r="AB44">
        <f>HYPERLINK("https://klasma.github.io/Logging_0562/klagomålsmail/A 60890-2024 FSC-klagomål mail.docx", "A 60890-2024")</f>
        <v/>
      </c>
      <c r="AC44">
        <f>HYPERLINK("https://klasma.github.io/Logging_0562/tillsyn/A 60890-2024 tillsynsbegäran.docx", "A 60890-2024")</f>
        <v/>
      </c>
      <c r="AD44">
        <f>HYPERLINK("https://klasma.github.io/Logging_0562/tillsynsmail/A 60890-2024 tillsynsbegäran mail.docx", "A 60890-2024")</f>
        <v/>
      </c>
    </row>
    <row r="45" ht="15" customHeight="1">
      <c r="A45" t="inlineStr">
        <is>
          <t>A 21566-2024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45441</v>
      </c>
      <c r="E45" s="1" t="n">
        <v>46319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Holmen skog AB</t>
        </is>
      </c>
      <c r="I45" t="n">
        <v>5.8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Tallticka
Blompraktbagge</t>
        </is>
      </c>
      <c r="W45">
        <f>HYPERLINK("https://klasma.github.io/Logging_0562/artfynd/A 21566-2024 artfynd.xlsx", "A 21566-2024")</f>
        <v/>
      </c>
      <c r="X45">
        <f>HYPERLINK("https://klasma.github.io/Logging_0562/kartor/A 21566-2024 karta.png", "A 21566-2024")</f>
        <v/>
      </c>
      <c r="Y45">
        <f>HYPERLINK("https://klasma.github.io/Logging_0562/kartor_geotiff/A 21566-2024 georefererad karta.tif", "A 21566-2024")</f>
        <v/>
      </c>
      <c r="AA45">
        <f>HYPERLINK("https://klasma.github.io/Logging_0562/klagomål/A 21566-2024 FSC-klagomål.docx", "A 21566-2024")</f>
        <v/>
      </c>
      <c r="AB45">
        <f>HYPERLINK("https://klasma.github.io/Logging_0562/klagomålsmail/A 21566-2024 FSC-klagomål mail.docx", "A 21566-2024")</f>
        <v/>
      </c>
      <c r="AC45">
        <f>HYPERLINK("https://klasma.github.io/Logging_0562/tillsyn/A 21566-2024 tillsynsbegäran.docx", "A 21566-2024")</f>
        <v/>
      </c>
      <c r="AD45">
        <f>HYPERLINK("https://klasma.github.io/Logging_0562/tillsynsmail/A 21566-2024 tillsynsbegäran mail.docx", "A 21566-2024")</f>
        <v/>
      </c>
    </row>
    <row r="46" ht="15" customHeight="1">
      <c r="A46" t="inlineStr">
        <is>
          <t>A 54654-2023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46319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Holmen skog AB</t>
        </is>
      </c>
      <c r="I46" t="n">
        <v>1.6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Blåmossa
Bronshjon</t>
        </is>
      </c>
      <c r="W46">
        <f>HYPERLINK("https://klasma.github.io/Logging_0562/artfynd/A 54654-2023 artfynd.xlsx", "A 54654-2023")</f>
        <v/>
      </c>
      <c r="X46">
        <f>HYPERLINK("https://klasma.github.io/Logging_0562/kartor/A 54654-2023 karta.png", "A 54654-2023")</f>
        <v/>
      </c>
      <c r="Y46">
        <f>HYPERLINK("https://klasma.github.io/Logging_0562/kartor_geotiff/A 54654-2023 georefererad karta.tif", "A 54654-2023")</f>
        <v/>
      </c>
      <c r="AA46">
        <f>HYPERLINK("https://klasma.github.io/Logging_0562/klagomål/A 54654-2023 FSC-klagomål.docx", "A 54654-2023")</f>
        <v/>
      </c>
      <c r="AB46">
        <f>HYPERLINK("https://klasma.github.io/Logging_0562/klagomålsmail/A 54654-2023 FSC-klagomål mail.docx", "A 54654-2023")</f>
        <v/>
      </c>
      <c r="AC46">
        <f>HYPERLINK("https://klasma.github.io/Logging_0562/tillsyn/A 54654-2023 tillsynsbegäran.docx", "A 54654-2023")</f>
        <v/>
      </c>
      <c r="AD46">
        <f>HYPERLINK("https://klasma.github.io/Logging_0562/tillsynsmail/A 54654-2023 tillsynsbegäran mail.docx", "A 54654-2023")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46319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46319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46319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663-2023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44930</v>
      </c>
      <c r="E51" s="1" t="n">
        <v>46319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HYPERLINK("https://klasma.github.io/Logging_0562/artfynd/A 663-2023 artfynd.xlsx", "A 663-2023")</f>
        <v/>
      </c>
      <c r="X51">
        <f>HYPERLINK("https://klasma.github.io/Logging_0562/kartor/A 663-2023 karta.png", "A 663-2023")</f>
        <v/>
      </c>
      <c r="Y51">
        <f>HYPERLINK("https://klasma.github.io/Logging_0562/kartor_geotiff/A 663-2023 georefererad karta.tif", "A 663-2023")</f>
        <v/>
      </c>
      <c r="AA51">
        <f>HYPERLINK("https://klasma.github.io/Logging_0562/klagomål/A 663-2023 FSC-klagomål.docx", "A 663-2023")</f>
        <v/>
      </c>
      <c r="AB51">
        <f>HYPERLINK("https://klasma.github.io/Logging_0562/klagomålsmail/A 663-2023 FSC-klagomål mail.docx", "A 663-2023")</f>
        <v/>
      </c>
      <c r="AC51">
        <f>HYPERLINK("https://klasma.github.io/Logging_0562/tillsyn/A 663-2023 tillsynsbegäran.docx", "A 663-2023")</f>
        <v/>
      </c>
      <c r="AD51">
        <f>HYPERLINK("https://klasma.github.io/Logging_0562/tillsynsmail/A 663-2023 tillsynsbegäran mail.docx", "A 663-2023")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46319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42366-2025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45905</v>
      </c>
      <c r="E53" s="1" t="n">
        <v>46319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Vit vedfingersvamp</t>
        </is>
      </c>
      <c r="W53">
        <f>HYPERLINK("https://klasma.github.io/Logging_0562/artfynd/A 42366-2025 artfynd.xlsx", "A 42366-2025")</f>
        <v/>
      </c>
      <c r="X53">
        <f>HYPERLINK("https://klasma.github.io/Logging_0562/kartor/A 42366-2025 karta.png", "A 42366-2025")</f>
        <v/>
      </c>
      <c r="Y53">
        <f>HYPERLINK("https://klasma.github.io/Logging_0562/kartor_geotiff/A 42366-2025 georefererad karta.tif", "A 42366-2025")</f>
        <v/>
      </c>
      <c r="AA53">
        <f>HYPERLINK("https://klasma.github.io/Logging_0562/klagomål/A 42366-2025 FSC-klagomål.docx", "A 42366-2025")</f>
        <v/>
      </c>
      <c r="AB53">
        <f>HYPERLINK("https://klasma.github.io/Logging_0562/klagomålsmail/A 42366-2025 FSC-klagomål mail.docx", "A 42366-2025")</f>
        <v/>
      </c>
      <c r="AC53">
        <f>HYPERLINK("https://klasma.github.io/Logging_0562/tillsyn/A 42366-2025 tillsynsbegäran.docx", "A 42366-2025")</f>
        <v/>
      </c>
      <c r="AD53">
        <f>HYPERLINK("https://klasma.github.io/Logging_0562/tillsynsmail/A 42366-2025 tillsynsbegäran mail.docx", "A 42366-2025")</f>
        <v/>
      </c>
    </row>
    <row r="54" ht="15" customHeight="1">
      <c r="A54" t="inlineStr">
        <is>
          <t>A 38229-2025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46319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Lake</t>
        </is>
      </c>
      <c r="W54">
        <f>HYPERLINK("https://klasma.github.io/Logging_0562/artfynd/A 38229-2025 artfynd.xlsx", "A 38229-2025")</f>
        <v/>
      </c>
      <c r="X54">
        <f>HYPERLINK("https://klasma.github.io/Logging_0562/kartor/A 38229-2025 karta.png", "A 38229-2025")</f>
        <v/>
      </c>
      <c r="Y54">
        <f>HYPERLINK("https://klasma.github.io/Logging_0562/kartor_geotiff/A 38229-2025 georefererad karta.tif", "A 38229-2025")</f>
        <v/>
      </c>
      <c r="AA54">
        <f>HYPERLINK("https://klasma.github.io/Logging_0562/klagomål/A 38229-2025 FSC-klagomål.docx", "A 38229-2025")</f>
        <v/>
      </c>
      <c r="AB54">
        <f>HYPERLINK("https://klasma.github.io/Logging_0562/klagomålsmail/A 38229-2025 FSC-klagomål mail.docx", "A 38229-2025")</f>
        <v/>
      </c>
      <c r="AC54">
        <f>HYPERLINK("https://klasma.github.io/Logging_0562/tillsyn/A 38229-2025 tillsynsbegäran.docx", "A 38229-2025")</f>
        <v/>
      </c>
      <c r="AD54">
        <f>HYPERLINK("https://klasma.github.io/Logging_0562/tillsynsmail/A 38229-2025 tillsynsbegäran mail.docx", "A 38229-2025")</f>
        <v/>
      </c>
    </row>
    <row r="55" ht="15" customHeight="1">
      <c r="A55" t="inlineStr">
        <is>
          <t>A 59061-2024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46319</v>
      </c>
      <c r="F55" t="inlineStr">
        <is>
          <t>ÖSTERGÖTLANDS LÄN</t>
        </is>
      </c>
      <c r="G55" t="inlineStr">
        <is>
          <t>FINSPÅNG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Ängsnycklar</t>
        </is>
      </c>
      <c r="W55">
        <f>HYPERLINK("https://klasma.github.io/Logging_0562/artfynd/A 59061-2024 artfynd.xlsx", "A 59061-2024")</f>
        <v/>
      </c>
      <c r="X55">
        <f>HYPERLINK("https://klasma.github.io/Logging_0562/kartor/A 59061-2024 karta.png", "A 59061-2024")</f>
        <v/>
      </c>
      <c r="Y55">
        <f>HYPERLINK("https://klasma.github.io/Logging_0562/kartor_geotiff/A 59061-2024 georefererad karta.tif", "A 59061-2024")</f>
        <v/>
      </c>
      <c r="AA55">
        <f>HYPERLINK("https://klasma.github.io/Logging_0562/klagomål/A 59061-2024 FSC-klagomål.docx", "A 59061-2024")</f>
        <v/>
      </c>
      <c r="AB55">
        <f>HYPERLINK("https://klasma.github.io/Logging_0562/klagomålsmail/A 59061-2024 FSC-klagomål mail.docx", "A 59061-2024")</f>
        <v/>
      </c>
      <c r="AC55">
        <f>HYPERLINK("https://klasma.github.io/Logging_0562/tillsyn/A 59061-2024 tillsynsbegäran.docx", "A 59061-2024")</f>
        <v/>
      </c>
      <c r="AD55">
        <f>HYPERLINK("https://klasma.github.io/Logging_0562/tillsynsmail/A 59061-2024 tillsynsbegäran mail.docx", "A 59061-2024")</f>
        <v/>
      </c>
    </row>
    <row r="56" ht="15" customHeight="1">
      <c r="A56" t="inlineStr">
        <is>
          <t>A 10203-2022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44622</v>
      </c>
      <c r="E56" s="1" t="n">
        <v>46319</v>
      </c>
      <c r="F56" t="inlineStr">
        <is>
          <t>ÖSTERGÖTLANDS LÄN</t>
        </is>
      </c>
      <c r="G56" t="inlineStr">
        <is>
          <t>FINSPÅNG</t>
        </is>
      </c>
      <c r="I56" t="n">
        <v>0.6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Vanlig backsmörblomma</t>
        </is>
      </c>
      <c r="W56">
        <f>HYPERLINK("https://klasma.github.io/Logging_0562/artfynd/A 10203-2022 artfynd.xlsx", "A 10203-2022")</f>
        <v/>
      </c>
      <c r="X56">
        <f>HYPERLINK("https://klasma.github.io/Logging_0562/kartor/A 10203-2022 karta.png", "A 10203-2022")</f>
        <v/>
      </c>
      <c r="Y56">
        <f>HYPERLINK("https://klasma.github.io/Logging_0562/kartor_geotiff/A 10203-2022 georefererad karta.tif", "A 10203-2022")</f>
        <v/>
      </c>
      <c r="AA56">
        <f>HYPERLINK("https://klasma.github.io/Logging_0562/klagomål/A 10203-2022 FSC-klagomål.docx", "A 10203-2022")</f>
        <v/>
      </c>
      <c r="AB56">
        <f>HYPERLINK("https://klasma.github.io/Logging_0562/klagomålsmail/A 10203-2022 FSC-klagomål mail.docx", "A 10203-2022")</f>
        <v/>
      </c>
      <c r="AC56">
        <f>HYPERLINK("https://klasma.github.io/Logging_0562/tillsyn/A 10203-2022 tillsynsbegäran.docx", "A 10203-2022")</f>
        <v/>
      </c>
      <c r="AD56">
        <f>HYPERLINK("https://klasma.github.io/Logging_0562/tillsynsmail/A 10203-2022 tillsynsbegäran mail.docx", "A 10203-2022")</f>
        <v/>
      </c>
    </row>
    <row r="57" ht="15" customHeight="1">
      <c r="A57" t="inlineStr">
        <is>
          <t>A 61254-2022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46319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0.9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HYPERLINK("https://klasma.github.io/Logging_0562/artfynd/A 61254-2022 artfynd.xlsx", "A 61254-2022")</f>
        <v/>
      </c>
      <c r="X57">
        <f>HYPERLINK("https://klasma.github.io/Logging_0562/kartor/A 61254-2022 karta.png", "A 61254-2022")</f>
        <v/>
      </c>
      <c r="Y57">
        <f>HYPERLINK("https://klasma.github.io/Logging_0562/kartor_geotiff/A 61254-2022 georefererad karta.tif", "A 61254-2022")</f>
        <v/>
      </c>
      <c r="AA57">
        <f>HYPERLINK("https://klasma.github.io/Logging_0562/klagomål/A 61254-2022 FSC-klagomål.docx", "A 61254-2022")</f>
        <v/>
      </c>
      <c r="AB57">
        <f>HYPERLINK("https://klasma.github.io/Logging_0562/klagomålsmail/A 61254-2022 FSC-klagomål mail.docx", "A 61254-2022")</f>
        <v/>
      </c>
      <c r="AC57">
        <f>HYPERLINK("https://klasma.github.io/Logging_0562/tillsyn/A 61254-2022 tillsynsbegäran.docx", "A 61254-2022")</f>
        <v/>
      </c>
      <c r="AD57">
        <f>HYPERLINK("https://klasma.github.io/Logging_0562/tillsynsmail/A 61254-2022 tillsynsbegäran mail.docx", "A 61254-2022")</f>
        <v/>
      </c>
    </row>
    <row r="58" ht="15" customHeight="1">
      <c r="A58" t="inlineStr">
        <is>
          <t>A 24411-2023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45082</v>
      </c>
      <c r="E58" s="1" t="n">
        <v>46319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0</v>
      </c>
      <c r="V58" s="2" t="inlineStr">
        <is>
          <t>Blåmossa</t>
        </is>
      </c>
      <c r="W58">
        <f>HYPERLINK("https://klasma.github.io/Logging_0562/artfynd/A 24411-2023 artfynd.xlsx", "A 24411-2023")</f>
        <v/>
      </c>
      <c r="X58">
        <f>HYPERLINK("https://klasma.github.io/Logging_0562/kartor/A 24411-2023 karta.png", "A 24411-2023")</f>
        <v/>
      </c>
      <c r="Y58">
        <f>HYPERLINK("https://klasma.github.io/Logging_0562/kartor_geotiff/A 24411-2023 georefererad karta.tif", "A 24411-2023")</f>
        <v/>
      </c>
      <c r="AA58">
        <f>HYPERLINK("https://klasma.github.io/Logging_0562/klagomål/A 24411-2023 FSC-klagomål.docx", "A 24411-2023")</f>
        <v/>
      </c>
      <c r="AB58">
        <f>HYPERLINK("https://klasma.github.io/Logging_0562/klagomålsmail/A 24411-2023 FSC-klagomål mail.docx", "A 24411-2023")</f>
        <v/>
      </c>
      <c r="AC58">
        <f>HYPERLINK("https://klasma.github.io/Logging_0562/tillsyn/A 24411-2023 tillsynsbegäran.docx", "A 24411-2023")</f>
        <v/>
      </c>
      <c r="AD58">
        <f>HYPERLINK("https://klasma.github.io/Logging_0562/tillsynsmail/A 24411-2023 tillsynsbegäran mail.docx", "A 24411-2023")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46319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22259-2024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46319</v>
      </c>
      <c r="F60" t="inlineStr">
        <is>
          <t>ÖSTERGÖTLANDS LÄN</t>
        </is>
      </c>
      <c r="G60" t="inlineStr">
        <is>
          <t>FINSPÅNG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Gullklöver</t>
        </is>
      </c>
      <c r="W60">
        <f>HYPERLINK("https://klasma.github.io/Logging_0562/artfynd/A 22259-2024 artfynd.xlsx", "A 22259-2024")</f>
        <v/>
      </c>
      <c r="X60">
        <f>HYPERLINK("https://klasma.github.io/Logging_0562/kartor/A 22259-2024 karta.png", "A 22259-2024")</f>
        <v/>
      </c>
      <c r="Y60">
        <f>HYPERLINK("https://klasma.github.io/Logging_0562/kartor_geotiff/A 22259-2024 georefererad karta.tif", "A 22259-2024")</f>
        <v/>
      </c>
      <c r="AA60">
        <f>HYPERLINK("https://klasma.github.io/Logging_0562/klagomål/A 22259-2024 FSC-klagomål.docx", "A 22259-2024")</f>
        <v/>
      </c>
      <c r="AB60">
        <f>HYPERLINK("https://klasma.github.io/Logging_0562/klagomålsmail/A 22259-2024 FSC-klagomål mail.docx", "A 22259-2024")</f>
        <v/>
      </c>
      <c r="AC60">
        <f>HYPERLINK("https://klasma.github.io/Logging_0562/tillsyn/A 22259-2024 tillsynsbegäran.docx", "A 22259-2024")</f>
        <v/>
      </c>
      <c r="AD60">
        <f>HYPERLINK("https://klasma.github.io/Logging_0562/tillsynsmail/A 22259-2024 tillsynsbegäran mail.docx", "A 22259-2024")</f>
        <v/>
      </c>
    </row>
    <row r="61" ht="15" customHeight="1">
      <c r="A61" t="inlineStr">
        <is>
          <t>A 27456-2026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46189</v>
      </c>
      <c r="E61" s="1" t="n">
        <v>46319</v>
      </c>
      <c r="F61" t="inlineStr">
        <is>
          <t>ÖSTERGÖTLANDS LÄN</t>
        </is>
      </c>
      <c r="G61" t="inlineStr">
        <is>
          <t>FINSPÅNG</t>
        </is>
      </c>
      <c r="I61" t="n">
        <v>0.6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Tibast</t>
        </is>
      </c>
      <c r="W61">
        <f>HYPERLINK("https://klasma.github.io/Logging_0562/artfynd/A 27456-2026 artfynd.xlsx", "A 27456-2026")</f>
        <v/>
      </c>
      <c r="X61">
        <f>HYPERLINK("https://klasma.github.io/Logging_0562/kartor/A 27456-2026 karta.png", "A 27456-2026")</f>
        <v/>
      </c>
      <c r="Y61">
        <f>HYPERLINK("https://klasma.github.io/Logging_0562/kartor_geotiff/A 27456-2026 georefererad karta.tif", "A 27456-2026")</f>
        <v/>
      </c>
      <c r="AA61">
        <f>HYPERLINK("https://klasma.github.io/Logging_0562/klagomål/A 27456-2026 FSC-klagomål.docx", "A 27456-2026")</f>
        <v/>
      </c>
      <c r="AB61">
        <f>HYPERLINK("https://klasma.github.io/Logging_0562/klagomålsmail/A 27456-2026 FSC-klagomål mail.docx", "A 27456-2026")</f>
        <v/>
      </c>
      <c r="AC61">
        <f>HYPERLINK("https://klasma.github.io/Logging_0562/tillsyn/A 27456-2026 tillsynsbegäran.docx", "A 27456-2026")</f>
        <v/>
      </c>
      <c r="AD61">
        <f>HYPERLINK("https://klasma.github.io/Logging_0562/tillsynsmail/A 27456-2026 tillsynsbegäran mail.docx", "A 27456-2026")</f>
        <v/>
      </c>
    </row>
    <row r="62" ht="15" customHeight="1">
      <c r="A62" t="inlineStr">
        <is>
          <t>A 42947-2024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45567</v>
      </c>
      <c r="E62" s="1" t="n">
        <v>46319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42947-2024 artfynd.xlsx", "A 42947-2024")</f>
        <v/>
      </c>
      <c r="X62">
        <f>HYPERLINK("https://klasma.github.io/Logging_0562/kartor/A 42947-2024 karta.png", "A 42947-2024")</f>
        <v/>
      </c>
      <c r="Y62">
        <f>HYPERLINK("https://klasma.github.io/Logging_0562/kartor_geotiff/A 42947-2024 georefererad karta.tif", "A 42947-2024")</f>
        <v/>
      </c>
      <c r="Z62">
        <f>HYPERLINK("https://klasma.github.io/Logging_0562/knärot/A 42947-2024 karta knärot.png", "A 42947-2024")</f>
        <v/>
      </c>
      <c r="AA62">
        <f>HYPERLINK("https://klasma.github.io/Logging_0562/klagomål/A 42947-2024 FSC-klagomål.docx", "A 42947-2024")</f>
        <v/>
      </c>
      <c r="AB62">
        <f>HYPERLINK("https://klasma.github.io/Logging_0562/klagomålsmail/A 42947-2024 FSC-klagomål mail.docx", "A 42947-2024")</f>
        <v/>
      </c>
      <c r="AC62">
        <f>HYPERLINK("https://klasma.github.io/Logging_0562/tillsyn/A 42947-2024 tillsynsbegäran.docx", "A 42947-2024")</f>
        <v/>
      </c>
      <c r="AD62">
        <f>HYPERLINK("https://klasma.github.io/Logging_0562/tillsynsmail/A 42947-2024 tillsynsbegäran mail.docx", "A 42947-2024")</f>
        <v/>
      </c>
    </row>
    <row r="63" ht="15" customHeight="1">
      <c r="A63" t="inlineStr">
        <is>
          <t>A 25942-2026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46319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Sveaskog</t>
        </is>
      </c>
      <c r="I63" t="n">
        <v>1.7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Motaggsvamp</t>
        </is>
      </c>
      <c r="W63">
        <f>HYPERLINK("https://klasma.github.io/Logging_0562/artfynd/A 25942-2026 artfynd.xlsx", "A 25942-2026")</f>
        <v/>
      </c>
      <c r="X63">
        <f>HYPERLINK("https://klasma.github.io/Logging_0562/kartor/A 25942-2026 karta.png", "A 25942-2026")</f>
        <v/>
      </c>
      <c r="Y63">
        <f>HYPERLINK("https://klasma.github.io/Logging_0562/kartor_geotiff/A 25942-2026 georefererad karta.tif", "A 25942-2026")</f>
        <v/>
      </c>
      <c r="AA63">
        <f>HYPERLINK("https://klasma.github.io/Logging_0562/klagomål/A 25942-2026 FSC-klagomål.docx", "A 25942-2026")</f>
        <v/>
      </c>
      <c r="AB63">
        <f>HYPERLINK("https://klasma.github.io/Logging_0562/klagomålsmail/A 25942-2026 FSC-klagomål mail.docx", "A 25942-2026")</f>
        <v/>
      </c>
      <c r="AC63">
        <f>HYPERLINK("https://klasma.github.io/Logging_0562/tillsyn/A 25942-2026 tillsynsbegäran.docx", "A 25942-2026")</f>
        <v/>
      </c>
      <c r="AD63">
        <f>HYPERLINK("https://klasma.github.io/Logging_0562/tillsynsmail/A 25942-2026 tillsynsbegäran mail.docx", "A 25942-2026")</f>
        <v/>
      </c>
    </row>
    <row r="64" ht="15" customHeight="1">
      <c r="A64" t="inlineStr">
        <is>
          <t>A 7265-2026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46058</v>
      </c>
      <c r="E64" s="1" t="n">
        <v>46319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Havsörn</t>
        </is>
      </c>
      <c r="W64">
        <f>HYPERLINK("https://klasma.github.io/Logging_0562/artfynd/A 7265-2026 artfynd.xlsx", "A 7265-2026")</f>
        <v/>
      </c>
      <c r="X64">
        <f>HYPERLINK("https://klasma.github.io/Logging_0562/kartor/A 7265-2026 karta.png", "A 7265-2026")</f>
        <v/>
      </c>
      <c r="Y64">
        <f>HYPERLINK("https://klasma.github.io/Logging_0562/kartor_geotiff/A 7265-2026 georefererad karta.tif", "A 7265-2026")</f>
        <v/>
      </c>
      <c r="AA64">
        <f>HYPERLINK("https://klasma.github.io/Logging_0562/klagomål/A 7265-2026 FSC-klagomål.docx", "A 7265-2026")</f>
        <v/>
      </c>
      <c r="AB64">
        <f>HYPERLINK("https://klasma.github.io/Logging_0562/klagomålsmail/A 7265-2026 FSC-klagomål mail.docx", "A 7265-2026")</f>
        <v/>
      </c>
      <c r="AC64">
        <f>HYPERLINK("https://klasma.github.io/Logging_0562/tillsyn/A 7265-2026 tillsynsbegäran.docx", "A 7265-2026")</f>
        <v/>
      </c>
      <c r="AD64">
        <f>HYPERLINK("https://klasma.github.io/Logging_0562/tillsynsmail/A 7265-2026 tillsynsbegäran mail.docx", "A 7265-2026")</f>
        <v/>
      </c>
      <c r="AE64">
        <f>HYPERLINK("https://klasma.github.io/Logging_0562/fåglar/A 7265-2026 prioriterade fågelarter.docx", "A 7265-2026")</f>
        <v/>
      </c>
    </row>
    <row r="65" ht="15" customHeight="1">
      <c r="A65" t="inlineStr">
        <is>
          <t>A 34310-2025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45846</v>
      </c>
      <c r="E65" s="1" t="n">
        <v>46319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Revlummer</t>
        </is>
      </c>
      <c r="W65">
        <f>HYPERLINK("https://klasma.github.io/Logging_0562/artfynd/A 34310-2025 artfynd.xlsx", "A 34310-2025")</f>
        <v/>
      </c>
      <c r="X65">
        <f>HYPERLINK("https://klasma.github.io/Logging_0562/kartor/A 34310-2025 karta.png", "A 34310-2025")</f>
        <v/>
      </c>
      <c r="Y65">
        <f>HYPERLINK("https://klasma.github.io/Logging_0562/kartor_geotiff/A 34310-2025 georefererad karta.tif", "A 34310-2025")</f>
        <v/>
      </c>
      <c r="AA65">
        <f>HYPERLINK("https://klasma.github.io/Logging_0562/klagomål/A 34310-2025 FSC-klagomål.docx", "A 34310-2025")</f>
        <v/>
      </c>
      <c r="AB65">
        <f>HYPERLINK("https://klasma.github.io/Logging_0562/klagomålsmail/A 34310-2025 FSC-klagomål mail.docx", "A 34310-2025")</f>
        <v/>
      </c>
      <c r="AC65">
        <f>HYPERLINK("https://klasma.github.io/Logging_0562/tillsyn/A 34310-2025 tillsynsbegäran.docx", "A 34310-2025")</f>
        <v/>
      </c>
      <c r="AD65">
        <f>HYPERLINK("https://klasma.github.io/Logging_0562/tillsynsmail/A 34310-2025 tillsynsbegäran mail.docx", "A 34310-2025")</f>
        <v/>
      </c>
    </row>
    <row r="66" ht="15" customHeight="1">
      <c r="A66" t="inlineStr">
        <is>
          <t>A 34220-2025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45845</v>
      </c>
      <c r="E66" s="1" t="n">
        <v>46319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0.6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Tibast</t>
        </is>
      </c>
      <c r="W66">
        <f>HYPERLINK("https://klasma.github.io/Logging_0562/artfynd/A 34220-2025 artfynd.xlsx", "A 34220-2025")</f>
        <v/>
      </c>
      <c r="X66">
        <f>HYPERLINK("https://klasma.github.io/Logging_0562/kartor/A 34220-2025 karta.png", "A 34220-2025")</f>
        <v/>
      </c>
      <c r="Y66">
        <f>HYPERLINK("https://klasma.github.io/Logging_0562/kartor_geotiff/A 34220-2025 georefererad karta.tif", "A 34220-2025")</f>
        <v/>
      </c>
      <c r="AA66">
        <f>HYPERLINK("https://klasma.github.io/Logging_0562/klagomål/A 34220-2025 FSC-klagomål.docx", "A 34220-2025")</f>
        <v/>
      </c>
      <c r="AB66">
        <f>HYPERLINK("https://klasma.github.io/Logging_0562/klagomålsmail/A 34220-2025 FSC-klagomål mail.docx", "A 34220-2025")</f>
        <v/>
      </c>
      <c r="AC66">
        <f>HYPERLINK("https://klasma.github.io/Logging_0562/tillsyn/A 34220-2025 tillsynsbegäran.docx", "A 34220-2025")</f>
        <v/>
      </c>
      <c r="AD66">
        <f>HYPERLINK("https://klasma.github.io/Logging_0562/tillsynsmail/A 34220-2025 tillsynsbegäran mail.docx", "A 34220-2025")</f>
        <v/>
      </c>
    </row>
    <row r="67" ht="15" customHeight="1">
      <c r="A67" t="inlineStr">
        <is>
          <t>A 34886-2026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46319</v>
      </c>
      <c r="F67" t="inlineStr">
        <is>
          <t>ÖSTERGÖTLANDS LÄN</t>
        </is>
      </c>
      <c r="G67" t="inlineStr">
        <is>
          <t>FINSPÅNG</t>
        </is>
      </c>
      <c r="H67" t="inlineStr">
        <is>
          <t>Övriga Aktiebolag</t>
        </is>
      </c>
      <c r="I67" t="n">
        <v>0.8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Mattlummer</t>
        </is>
      </c>
      <c r="W67">
        <f>HYPERLINK("https://klasma.github.io/Logging_0562/artfynd/A 34886-2026 artfynd.xlsx", "A 34886-2026")</f>
        <v/>
      </c>
      <c r="X67">
        <f>HYPERLINK("https://klasma.github.io/Logging_0562/kartor/A 34886-2026 karta.png", "A 34886-2026")</f>
        <v/>
      </c>
      <c r="Y67">
        <f>HYPERLINK("https://klasma.github.io/Logging_0562/kartor_geotiff/A 34886-2026 georefererad karta.tif", "A 34886-2026")</f>
        <v/>
      </c>
      <c r="AA67">
        <f>HYPERLINK("https://klasma.github.io/Logging_0562/klagomål/A 34886-2026 FSC-klagomål.docx", "A 34886-2026")</f>
        <v/>
      </c>
      <c r="AB67">
        <f>HYPERLINK("https://klasma.github.io/Logging_0562/klagomålsmail/A 34886-2026 FSC-klagomål mail.docx", "A 34886-2026")</f>
        <v/>
      </c>
      <c r="AC67">
        <f>HYPERLINK("https://klasma.github.io/Logging_0562/tillsyn/A 34886-2026 tillsynsbegäran.docx", "A 34886-2026")</f>
        <v/>
      </c>
      <c r="AD67">
        <f>HYPERLINK("https://klasma.github.io/Logging_0562/tillsynsmail/A 34886-2026 tillsynsbegäran mail.docx", "A 34886-2026")</f>
        <v/>
      </c>
    </row>
    <row r="68" ht="15" customHeight="1">
      <c r="A68" t="inlineStr">
        <is>
          <t>A 34885-2026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Övriga Aktiebolag</t>
        </is>
      </c>
      <c r="I68" t="n">
        <v>4.2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Havsörn</t>
        </is>
      </c>
      <c r="W68">
        <f>HYPERLINK("https://klasma.github.io/Logging_0562/artfynd/A 34885-2026 artfynd.xlsx", "A 34885-2026")</f>
        <v/>
      </c>
      <c r="X68">
        <f>HYPERLINK("https://klasma.github.io/Logging_0562/kartor/A 34885-2026 karta.png", "A 34885-2026")</f>
        <v/>
      </c>
      <c r="Y68">
        <f>HYPERLINK("https://klasma.github.io/Logging_0562/kartor_geotiff/A 34885-2026 georefererad karta.tif", "A 34885-2026")</f>
        <v/>
      </c>
      <c r="AA68">
        <f>HYPERLINK("https://klasma.github.io/Logging_0562/klagomål/A 34885-2026 FSC-klagomål.docx", "A 34885-2026")</f>
        <v/>
      </c>
      <c r="AB68">
        <f>HYPERLINK("https://klasma.github.io/Logging_0562/klagomålsmail/A 34885-2026 FSC-klagomål mail.docx", "A 34885-2026")</f>
        <v/>
      </c>
      <c r="AC68">
        <f>HYPERLINK("https://klasma.github.io/Logging_0562/tillsyn/A 34885-2026 tillsynsbegäran.docx", "A 34885-2026")</f>
        <v/>
      </c>
      <c r="AD68">
        <f>HYPERLINK("https://klasma.github.io/Logging_0562/tillsynsmail/A 34885-2026 tillsynsbegäran mail.docx", "A 34885-2026")</f>
        <v/>
      </c>
      <c r="AE68">
        <f>HYPERLINK("https://klasma.github.io/Logging_0562/fåglar/A 34885-2026 prioriterade fågelarter.docx", "A 34885-2026")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46319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37748-2025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45880</v>
      </c>
      <c r="E70" s="1" t="n">
        <v>46319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37748-2025 artfynd.xlsx", "A 37748-2025")</f>
        <v/>
      </c>
      <c r="X70">
        <f>HYPERLINK("https://klasma.github.io/Logging_0562/kartor/A 37748-2025 karta.png", "A 37748-2025")</f>
        <v/>
      </c>
      <c r="Y70">
        <f>HYPERLINK("https://klasma.github.io/Logging_0562/kartor_geotiff/A 37748-2025 georefererad karta.tif", "A 37748-2025")</f>
        <v/>
      </c>
      <c r="AA70">
        <f>HYPERLINK("https://klasma.github.io/Logging_0562/klagomål/A 37748-2025 FSC-klagomål.docx", "A 37748-2025")</f>
        <v/>
      </c>
      <c r="AB70">
        <f>HYPERLINK("https://klasma.github.io/Logging_0562/klagomålsmail/A 37748-2025 FSC-klagomål mail.docx", "A 37748-2025")</f>
        <v/>
      </c>
      <c r="AC70">
        <f>HYPERLINK("https://klasma.github.io/Logging_0562/tillsyn/A 37748-2025 tillsynsbegäran.docx", "A 37748-2025")</f>
        <v/>
      </c>
      <c r="AD70">
        <f>HYPERLINK("https://klasma.github.io/Logging_0562/tillsynsmail/A 37748-2025 tillsynsbegäran mail.docx", "A 37748-2025")</f>
        <v/>
      </c>
    </row>
    <row r="71" ht="15" customHeight="1">
      <c r="A71" t="inlineStr">
        <is>
          <t>A 61104-2022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46319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3.4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HYPERLINK("https://klasma.github.io/Logging_0562/artfynd/A 61104-2022 artfynd.xlsx", "A 61104-2022")</f>
        <v/>
      </c>
      <c r="X71">
        <f>HYPERLINK("https://klasma.github.io/Logging_0562/kartor/A 61104-2022 karta.png", "A 61104-2022")</f>
        <v/>
      </c>
      <c r="Y71">
        <f>HYPERLINK("https://klasma.github.io/Logging_0562/kartor_geotiff/A 61104-2022 georefererad karta.tif", "A 61104-2022")</f>
        <v/>
      </c>
      <c r="AA71">
        <f>HYPERLINK("https://klasma.github.io/Logging_0562/klagomål/A 61104-2022 FSC-klagomål.docx", "A 61104-2022")</f>
        <v/>
      </c>
      <c r="AB71">
        <f>HYPERLINK("https://klasma.github.io/Logging_0562/klagomålsmail/A 61104-2022 FSC-klagomål mail.docx", "A 61104-2022")</f>
        <v/>
      </c>
      <c r="AC71">
        <f>HYPERLINK("https://klasma.github.io/Logging_0562/tillsyn/A 61104-2022 tillsynsbegäran.docx", "A 61104-2022")</f>
        <v/>
      </c>
      <c r="AD71">
        <f>HYPERLINK("https://klasma.github.io/Logging_0562/tillsynsmail/A 61104-2022 tillsynsbegäran mail.docx", "A 61104-2022")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46319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46319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42837-2024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45566</v>
      </c>
      <c r="E74" s="1" t="n">
        <v>46319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42837-2024 artfynd.xlsx", "A 42837-2024")</f>
        <v/>
      </c>
      <c r="X74">
        <f>HYPERLINK("https://klasma.github.io/Logging_0562/kartor/A 42837-2024 karta.png", "A 42837-2024")</f>
        <v/>
      </c>
      <c r="Y74">
        <f>HYPERLINK("https://klasma.github.io/Logging_0562/kartor_geotiff/A 42837-2024 georefererad karta.tif", "A 42837-2024")</f>
        <v/>
      </c>
      <c r="Z74">
        <f>HYPERLINK("https://klasma.github.io/Logging_0562/knärot/A 42837-2024 karta knärot.png", "A 42837-2024")</f>
        <v/>
      </c>
      <c r="AA74">
        <f>HYPERLINK("https://klasma.github.io/Logging_0562/klagomål/A 42837-2024 FSC-klagomål.docx", "A 42837-2024")</f>
        <v/>
      </c>
      <c r="AB74">
        <f>HYPERLINK("https://klasma.github.io/Logging_0562/klagomålsmail/A 42837-2024 FSC-klagomål mail.docx", "A 42837-2024")</f>
        <v/>
      </c>
      <c r="AC74">
        <f>HYPERLINK("https://klasma.github.io/Logging_0562/tillsyn/A 42837-2024 tillsynsbegäran.docx", "A 42837-2024")</f>
        <v/>
      </c>
      <c r="AD74">
        <f>HYPERLINK("https://klasma.github.io/Logging_0562/tillsynsmail/A 42837-2024 tillsynsbegäran mail.docx", "A 42837-2024")</f>
        <v/>
      </c>
    </row>
    <row r="75" ht="15" customHeight="1">
      <c r="A75" t="inlineStr">
        <is>
          <t>A 6035-2022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46319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Naturvårdsverket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Bred kärrtrollslända</t>
        </is>
      </c>
      <c r="W75">
        <f>HYPERLINK("https://klasma.github.io/Logging_0562/artfynd/A 6035-2022 artfynd.xlsx", "A 6035-2022")</f>
        <v/>
      </c>
      <c r="X75">
        <f>HYPERLINK("https://klasma.github.io/Logging_0562/kartor/A 6035-2022 karta.png", "A 6035-2022")</f>
        <v/>
      </c>
      <c r="Y75">
        <f>HYPERLINK("https://klasma.github.io/Logging_0562/kartor_geotiff/A 6035-2022 georefererad karta.tif", "A 6035-2022")</f>
        <v/>
      </c>
      <c r="AA75">
        <f>HYPERLINK("https://klasma.github.io/Logging_0562/klagomål/A 6035-2022 FSC-klagomål.docx", "A 6035-2022")</f>
        <v/>
      </c>
      <c r="AB75">
        <f>HYPERLINK("https://klasma.github.io/Logging_0562/klagomålsmail/A 6035-2022 FSC-klagomål mail.docx", "A 6035-2022")</f>
        <v/>
      </c>
      <c r="AC75">
        <f>HYPERLINK("https://klasma.github.io/Logging_0562/tillsyn/A 6035-2022 tillsynsbegäran.docx", "A 6035-2022")</f>
        <v/>
      </c>
      <c r="AD75">
        <f>HYPERLINK("https://klasma.github.io/Logging_0562/tillsynsmail/A 6035-2022 tillsynsbegäran mail.docx", "A 6035-2022")</f>
        <v/>
      </c>
    </row>
    <row r="76" ht="15" customHeight="1">
      <c r="A76" t="inlineStr">
        <is>
          <t>A 11140-2023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46319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Grönvit nattviol</t>
        </is>
      </c>
      <c r="W76">
        <f>HYPERLINK("https://klasma.github.io/Logging_0562/artfynd/A 11140-2023 artfynd.xlsx", "A 11140-2023")</f>
        <v/>
      </c>
      <c r="X76">
        <f>HYPERLINK("https://klasma.github.io/Logging_0562/kartor/A 11140-2023 karta.png", "A 11140-2023")</f>
        <v/>
      </c>
      <c r="Y76">
        <f>HYPERLINK("https://klasma.github.io/Logging_0562/kartor_geotiff/A 11140-2023 georefererad karta.tif", "A 11140-2023")</f>
        <v/>
      </c>
      <c r="AA76">
        <f>HYPERLINK("https://klasma.github.io/Logging_0562/klagomål/A 11140-2023 FSC-klagomål.docx", "A 11140-2023")</f>
        <v/>
      </c>
      <c r="AB76">
        <f>HYPERLINK("https://klasma.github.io/Logging_0562/klagomålsmail/A 11140-2023 FSC-klagomål mail.docx", "A 11140-2023")</f>
        <v/>
      </c>
      <c r="AC76">
        <f>HYPERLINK("https://klasma.github.io/Logging_0562/tillsyn/A 11140-2023 tillsynsbegäran.docx", "A 11140-2023")</f>
        <v/>
      </c>
      <c r="AD76">
        <f>HYPERLINK("https://klasma.github.io/Logging_0562/tillsynsmail/A 11140-2023 tillsynsbegäran mail.docx", "A 11140-2023")</f>
        <v/>
      </c>
    </row>
    <row r="77" ht="15" customHeight="1">
      <c r="A77" t="inlineStr">
        <is>
          <t>A 57662-2022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46319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0.7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Järnsparv</t>
        </is>
      </c>
      <c r="W77">
        <f>HYPERLINK("https://klasma.github.io/Logging_0562/artfynd/A 57662-2022 artfynd.xlsx", "A 57662-2022")</f>
        <v/>
      </c>
      <c r="X77">
        <f>HYPERLINK("https://klasma.github.io/Logging_0562/kartor/A 57662-2022 karta.png", "A 57662-2022")</f>
        <v/>
      </c>
      <c r="Y77">
        <f>HYPERLINK("https://klasma.github.io/Logging_0562/kartor_geotiff/A 57662-2022 georefererad karta.tif", "A 57662-2022")</f>
        <v/>
      </c>
      <c r="AA77">
        <f>HYPERLINK("https://klasma.github.io/Logging_0562/klagomål/A 57662-2022 FSC-klagomål.docx", "A 57662-2022")</f>
        <v/>
      </c>
      <c r="AB77">
        <f>HYPERLINK("https://klasma.github.io/Logging_0562/klagomålsmail/A 57662-2022 FSC-klagomål mail.docx", "A 57662-2022")</f>
        <v/>
      </c>
      <c r="AC77">
        <f>HYPERLINK("https://klasma.github.io/Logging_0562/tillsyn/A 57662-2022 tillsynsbegäran.docx", "A 57662-2022")</f>
        <v/>
      </c>
      <c r="AD77">
        <f>HYPERLINK("https://klasma.github.io/Logging_0562/tillsynsmail/A 57662-2022 tillsynsbegäran mail.docx", "A 57662-2022")</f>
        <v/>
      </c>
      <c r="AE77">
        <f>HYPERLINK("https://klasma.github.io/Logging_0562/fåglar/A 57662-2022 prioriterade fågelarter.docx", "A 57662-2022")</f>
        <v/>
      </c>
    </row>
    <row r="78" ht="15" customHeight="1">
      <c r="A78" t="inlineStr">
        <is>
          <t>A 44084-2026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46318</v>
      </c>
      <c r="E78" s="1" t="n">
        <v>46319</v>
      </c>
      <c r="F78" t="inlineStr">
        <is>
          <t>ÖSTERGÖTLANDS LÄN</t>
        </is>
      </c>
      <c r="G78" t="inlineStr">
        <is>
          <t>FINSPÅNG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Revlummer</t>
        </is>
      </c>
      <c r="W78">
        <f>HYPERLINK("https://klasma.github.io/Logging_0562/artfynd/A 44084-2026 artfynd.xlsx", "A 44084-2026")</f>
        <v/>
      </c>
      <c r="X78">
        <f>HYPERLINK("https://klasma.github.io/Logging_0562/kartor/A 44084-2026 karta.png", "A 44084-2026")</f>
        <v/>
      </c>
      <c r="Y78">
        <f>HYPERLINK("https://klasma.github.io/Logging_0562/kartor_geotiff/A 44084-2026 georefererad karta.tif", "A 44084-2026")</f>
        <v/>
      </c>
      <c r="AA78">
        <f>HYPERLINK("https://klasma.github.io/Logging_0562/klagomål/A 44084-2026 FSC-klagomål.docx", "A 44084-2026")</f>
        <v/>
      </c>
      <c r="AB78">
        <f>HYPERLINK("https://klasma.github.io/Logging_0562/klagomålsmail/A 44084-2026 FSC-klagomål mail.docx", "A 44084-2026")</f>
        <v/>
      </c>
      <c r="AC78">
        <f>HYPERLINK("https://klasma.github.io/Logging_0562/tillsyn/A 44084-2026 tillsynsbegäran.docx", "A 44084-2026")</f>
        <v/>
      </c>
      <c r="AD78">
        <f>HYPERLINK("https://klasma.github.io/Logging_0562/tillsynsmail/A 44084-2026 tillsynsbegäran mail.docx", "A 44084-2026")</f>
        <v/>
      </c>
    </row>
    <row r="79" ht="15" customHeight="1">
      <c r="A79" t="inlineStr">
        <is>
          <t>A 44280-2026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46318</v>
      </c>
      <c r="E79" s="1" t="n">
        <v>46319</v>
      </c>
      <c r="F79" t="inlineStr">
        <is>
          <t>ÖSTERGÖTLANDS LÄN</t>
        </is>
      </c>
      <c r="G79" t="inlineStr">
        <is>
          <t>FINSPÅNG</t>
        </is>
      </c>
      <c r="I79" t="n">
        <v>10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HYPERLINK("https://klasma.github.io/Logging_0562/artfynd/A 44280-2026 artfynd.xlsx", "A 44280-2026")</f>
        <v/>
      </c>
      <c r="X79">
        <f>HYPERLINK("https://klasma.github.io/Logging_0562/kartor/A 44280-2026 karta.png", "A 44280-2026")</f>
        <v/>
      </c>
      <c r="Y79">
        <f>HYPERLINK("https://klasma.github.io/Logging_0562/kartor_geotiff/A 44280-2026 georefererad karta.tif", "A 44280-2026")</f>
        <v/>
      </c>
      <c r="Z79">
        <f>HYPERLINK("https://klasma.github.io/Logging_0562/knärot/A 44280-2026 karta knärot.png", "A 44280-2026")</f>
        <v/>
      </c>
      <c r="AA79">
        <f>HYPERLINK("https://klasma.github.io/Logging_0562/klagomål/A 44280-2026 FSC-klagomål.docx", "A 44280-2026")</f>
        <v/>
      </c>
      <c r="AB79">
        <f>HYPERLINK("https://klasma.github.io/Logging_0562/klagomålsmail/A 44280-2026 FSC-klagomål mail.docx", "A 44280-2026")</f>
        <v/>
      </c>
      <c r="AC79">
        <f>HYPERLINK("https://klasma.github.io/Logging_0562/tillsyn/A 44280-2026 tillsynsbegäran.docx", "A 44280-2026")</f>
        <v/>
      </c>
      <c r="AD79">
        <f>HYPERLINK("https://klasma.github.io/Logging_0562/tillsynsmail/A 44280-2026 tillsynsbegäran mail.docx", "A 44280-2026")</f>
        <v/>
      </c>
    </row>
    <row r="80" ht="15" customHeight="1">
      <c r="A80" t="inlineStr">
        <is>
          <t>A 22587-2026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46155</v>
      </c>
      <c r="E80" s="1" t="n">
        <v>46319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1.1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HYPERLINK("https://klasma.github.io/Logging_0562/artfynd/A 22587-2026 artfynd.xlsx", "A 22587-2026")</f>
        <v/>
      </c>
      <c r="X80">
        <f>HYPERLINK("https://klasma.github.io/Logging_0562/kartor/A 22587-2026 karta.png", "A 22587-2026")</f>
        <v/>
      </c>
      <c r="Y80">
        <f>HYPERLINK("https://klasma.github.io/Logging_0562/kartor_geotiff/A 22587-2026 georefererad karta.tif", "A 22587-2026")</f>
        <v/>
      </c>
      <c r="AA80">
        <f>HYPERLINK("https://klasma.github.io/Logging_0562/klagomål/A 22587-2026 FSC-klagomål.docx", "A 22587-2026")</f>
        <v/>
      </c>
      <c r="AB80">
        <f>HYPERLINK("https://klasma.github.io/Logging_0562/klagomålsmail/A 22587-2026 FSC-klagomål mail.docx", "A 22587-2026")</f>
        <v/>
      </c>
      <c r="AC80">
        <f>HYPERLINK("https://klasma.github.io/Logging_0562/tillsyn/A 22587-2026 tillsynsbegäran.docx", "A 22587-2026")</f>
        <v/>
      </c>
      <c r="AD80">
        <f>HYPERLINK("https://klasma.github.io/Logging_0562/tillsynsmail/A 22587-2026 tillsynsbegäran mail.docx", "A 22587-2026")</f>
        <v/>
      </c>
      <c r="AE80">
        <f>HYPERLINK("https://klasma.github.io/Logging_0562/fåglar/A 22587-2026 prioriterade fågelarter.docx", "A 22587-2026")</f>
        <v/>
      </c>
    </row>
    <row r="81" ht="15" customHeight="1">
      <c r="A81" t="inlineStr">
        <is>
          <t>A 4644-2024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45328</v>
      </c>
      <c r="E81" s="1" t="n">
        <v>46319</v>
      </c>
      <c r="F81" t="inlineStr">
        <is>
          <t>ÖSTERGÖTLANDS LÄN</t>
        </is>
      </c>
      <c r="G81" t="inlineStr">
        <is>
          <t>FINSPÅNG</t>
        </is>
      </c>
      <c r="I81" t="n">
        <v>5.3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HYPERLINK("https://klasma.github.io/Logging_0562/artfynd/A 4644-2024 artfynd.xlsx", "A 4644-2024")</f>
        <v/>
      </c>
      <c r="X81">
        <f>HYPERLINK("https://klasma.github.io/Logging_0562/kartor/A 4644-2024 karta.png", "A 4644-2024")</f>
        <v/>
      </c>
      <c r="Y81">
        <f>HYPERLINK("https://klasma.github.io/Logging_0562/kartor_geotiff/A 4644-2024 georefererad karta.tif", "A 4644-2024")</f>
        <v/>
      </c>
      <c r="AA81">
        <f>HYPERLINK("https://klasma.github.io/Logging_0562/klagomål/A 4644-2024 FSC-klagomål.docx", "A 4644-2024")</f>
        <v/>
      </c>
      <c r="AB81">
        <f>HYPERLINK("https://klasma.github.io/Logging_0562/klagomålsmail/A 4644-2024 FSC-klagomål mail.docx", "A 4644-2024")</f>
        <v/>
      </c>
      <c r="AC81">
        <f>HYPERLINK("https://klasma.github.io/Logging_0562/tillsyn/A 4644-2024 tillsynsbegäran.docx", "A 4644-2024")</f>
        <v/>
      </c>
      <c r="AD81">
        <f>HYPERLINK("https://klasma.github.io/Logging_0562/tillsynsmail/A 4644-2024 tillsynsbegäran mail.docx", "A 4644-2024")</f>
        <v/>
      </c>
      <c r="AE81">
        <f>HYPERLINK("https://klasma.github.io/Logging_0562/fåglar/A 4644-2024 prioriterade fågelarter.docx", "A 4644-2024")</f>
        <v/>
      </c>
    </row>
    <row r="82" ht="15" customHeight="1">
      <c r="A82" t="inlineStr">
        <is>
          <t>A 53673-2024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45615</v>
      </c>
      <c r="E82" s="1" t="n">
        <v>46319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Knärot</t>
        </is>
      </c>
      <c r="W82">
        <f>HYPERLINK("https://klasma.github.io/Logging_0562/artfynd/A 53673-2024 artfynd.xlsx", "A 53673-2024")</f>
        <v/>
      </c>
      <c r="X82">
        <f>HYPERLINK("https://klasma.github.io/Logging_0562/kartor/A 53673-2024 karta.png", "A 53673-2024")</f>
        <v/>
      </c>
      <c r="Y82">
        <f>HYPERLINK("https://klasma.github.io/Logging_0562/kartor_geotiff/A 53673-2024 georefererad karta.tif", "A 53673-2024")</f>
        <v/>
      </c>
      <c r="Z82">
        <f>HYPERLINK("https://klasma.github.io/Logging_0562/knärot/A 53673-2024 karta knärot.png", "A 53673-2024")</f>
        <v/>
      </c>
      <c r="AA82">
        <f>HYPERLINK("https://klasma.github.io/Logging_0562/klagomål/A 53673-2024 FSC-klagomål.docx", "A 53673-2024")</f>
        <v/>
      </c>
      <c r="AB82">
        <f>HYPERLINK("https://klasma.github.io/Logging_0562/klagomålsmail/A 53673-2024 FSC-klagomål mail.docx", "A 53673-2024")</f>
        <v/>
      </c>
      <c r="AC82">
        <f>HYPERLINK("https://klasma.github.io/Logging_0562/tillsyn/A 53673-2024 tillsynsbegäran.docx", "A 53673-2024")</f>
        <v/>
      </c>
      <c r="AD82">
        <f>HYPERLINK("https://klasma.github.io/Logging_0562/tillsynsmail/A 53673-2024 tillsynsbegäran mail.docx", "A 53673-2024")</f>
        <v/>
      </c>
    </row>
    <row r="83" ht="15" customHeight="1">
      <c r="A83" t="inlineStr">
        <is>
          <t>A 39078-2022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46319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Skogsklocka</t>
        </is>
      </c>
      <c r="W83">
        <f>HYPERLINK("https://klasma.github.io/Logging_0562/artfynd/A 39078-2022 artfynd.xlsx", "A 39078-2022")</f>
        <v/>
      </c>
      <c r="X83">
        <f>HYPERLINK("https://klasma.github.io/Logging_0562/kartor/A 39078-2022 karta.png", "A 39078-2022")</f>
        <v/>
      </c>
      <c r="Y83">
        <f>HYPERLINK("https://klasma.github.io/Logging_0562/kartor_geotiff/A 39078-2022 georefererad karta.tif", "A 39078-2022")</f>
        <v/>
      </c>
      <c r="AA83">
        <f>HYPERLINK("https://klasma.github.io/Logging_0562/klagomål/A 39078-2022 FSC-klagomål.docx", "A 39078-2022")</f>
        <v/>
      </c>
      <c r="AB83">
        <f>HYPERLINK("https://klasma.github.io/Logging_0562/klagomålsmail/A 39078-2022 FSC-klagomål mail.docx", "A 39078-2022")</f>
        <v/>
      </c>
      <c r="AC83">
        <f>HYPERLINK("https://klasma.github.io/Logging_0562/tillsyn/A 39078-2022 tillsynsbegäran.docx", "A 39078-2022")</f>
        <v/>
      </c>
      <c r="AD83">
        <f>HYPERLINK("https://klasma.github.io/Logging_0562/tillsynsmail/A 39078-2022 tillsynsbegäran mail.docx", "A 39078-2022")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46319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6407-2023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44965</v>
      </c>
      <c r="E85" s="1" t="n">
        <v>46319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Tjäder</t>
        </is>
      </c>
      <c r="W85">
        <f>HYPERLINK("https://klasma.github.io/Logging_0562/artfynd/A 6407-2023 artfynd.xlsx", "A 6407-2023")</f>
        <v/>
      </c>
      <c r="X85">
        <f>HYPERLINK("https://klasma.github.io/Logging_0562/kartor/A 6407-2023 karta.png", "A 6407-2023")</f>
        <v/>
      </c>
      <c r="Y85">
        <f>HYPERLINK("https://klasma.github.io/Logging_0562/kartor_geotiff/A 6407-2023 georefererad karta.tif", "A 6407-2023")</f>
        <v/>
      </c>
      <c r="AA85">
        <f>HYPERLINK("https://klasma.github.io/Logging_0562/klagomål/A 6407-2023 FSC-klagomål.docx", "A 6407-2023")</f>
        <v/>
      </c>
      <c r="AB85">
        <f>HYPERLINK("https://klasma.github.io/Logging_0562/klagomålsmail/A 6407-2023 FSC-klagomål mail.docx", "A 6407-2023")</f>
        <v/>
      </c>
      <c r="AC85">
        <f>HYPERLINK("https://klasma.github.io/Logging_0562/tillsyn/A 6407-2023 tillsynsbegäran.docx", "A 6407-2023")</f>
        <v/>
      </c>
      <c r="AD85">
        <f>HYPERLINK("https://klasma.github.io/Logging_0562/tillsynsmail/A 6407-2023 tillsynsbegäran mail.docx", "A 6407-2023")</f>
        <v/>
      </c>
      <c r="AE85">
        <f>HYPERLINK("https://klasma.github.io/Logging_0562/fåglar/A 6407-2023 prioriterade fågelarter.docx", "A 6407-2023")</f>
        <v/>
      </c>
    </row>
    <row r="86" ht="15" customHeight="1">
      <c r="A86" t="inlineStr">
        <is>
          <t>A 36128-2023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45149</v>
      </c>
      <c r="E86" s="1" t="n">
        <v>46319</v>
      </c>
      <c r="F86" t="inlineStr">
        <is>
          <t>ÖSTERGÖTLANDS LÄN</t>
        </is>
      </c>
      <c r="G86" t="inlineStr">
        <is>
          <t>FINSPÅNG</t>
        </is>
      </c>
      <c r="I86" t="n">
        <v>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Talltita</t>
        </is>
      </c>
      <c r="W86">
        <f>HYPERLINK("https://klasma.github.io/Logging_0562/artfynd/A 36128-2023 artfynd.xlsx", "A 36128-2023")</f>
        <v/>
      </c>
      <c r="X86">
        <f>HYPERLINK("https://klasma.github.io/Logging_0562/kartor/A 36128-2023 karta.png", "A 36128-2023")</f>
        <v/>
      </c>
      <c r="Y86">
        <f>HYPERLINK("https://klasma.github.io/Logging_0562/kartor_geotiff/A 36128-2023 georefererad karta.tif", "A 36128-2023")</f>
        <v/>
      </c>
      <c r="AA86">
        <f>HYPERLINK("https://klasma.github.io/Logging_0562/klagomål/A 36128-2023 FSC-klagomål.docx", "A 36128-2023")</f>
        <v/>
      </c>
      <c r="AB86">
        <f>HYPERLINK("https://klasma.github.io/Logging_0562/klagomålsmail/A 36128-2023 FSC-klagomål mail.docx", "A 36128-2023")</f>
        <v/>
      </c>
      <c r="AC86">
        <f>HYPERLINK("https://klasma.github.io/Logging_0562/tillsyn/A 36128-2023 tillsynsbegäran.docx", "A 36128-2023")</f>
        <v/>
      </c>
      <c r="AD86">
        <f>HYPERLINK("https://klasma.github.io/Logging_0562/tillsynsmail/A 36128-2023 tillsynsbegäran mail.docx", "A 36128-2023")</f>
        <v/>
      </c>
      <c r="AE86">
        <f>HYPERLINK("https://klasma.github.io/Logging_0562/fåglar/A 36128-2023 prioriterade fågelarter.docx", "A 36128-2023")</f>
        <v/>
      </c>
    </row>
    <row r="87" ht="15" customHeight="1">
      <c r="A87" t="inlineStr">
        <is>
          <t>A 53265-2023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46319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1.6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Fläcknycklar</t>
        </is>
      </c>
      <c r="W87">
        <f>HYPERLINK("https://klasma.github.io/Logging_0562/artfynd/A 53265-2023 artfynd.xlsx", "A 53265-2023")</f>
        <v/>
      </c>
      <c r="X87">
        <f>HYPERLINK("https://klasma.github.io/Logging_0562/kartor/A 53265-2023 karta.png", "A 53265-2023")</f>
        <v/>
      </c>
      <c r="Y87">
        <f>HYPERLINK("https://klasma.github.io/Logging_0562/kartor_geotiff/A 53265-2023 georefererad karta.tif", "A 53265-2023")</f>
        <v/>
      </c>
      <c r="AA87">
        <f>HYPERLINK("https://klasma.github.io/Logging_0562/klagomål/A 53265-2023 FSC-klagomål.docx", "A 53265-2023")</f>
        <v/>
      </c>
      <c r="AB87">
        <f>HYPERLINK("https://klasma.github.io/Logging_0562/klagomålsmail/A 53265-2023 FSC-klagomål mail.docx", "A 53265-2023")</f>
        <v/>
      </c>
      <c r="AC87">
        <f>HYPERLINK("https://klasma.github.io/Logging_0562/tillsyn/A 53265-2023 tillsynsbegäran.docx", "A 53265-2023")</f>
        <v/>
      </c>
      <c r="AD87">
        <f>HYPERLINK("https://klasma.github.io/Logging_0562/tillsynsmail/A 53265-2023 tillsynsbegäran mail.docx", "A 53265-2023")</f>
        <v/>
      </c>
    </row>
    <row r="88" ht="15" customHeight="1">
      <c r="A88" t="inlineStr">
        <is>
          <t>A 1177-2024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45302</v>
      </c>
      <c r="E88" s="1" t="n">
        <v>46319</v>
      </c>
      <c r="F88" t="inlineStr">
        <is>
          <t>ÖSTERGÖTLANDS LÄN</t>
        </is>
      </c>
      <c r="G88" t="inlineStr">
        <is>
          <t>FINSPÅNG</t>
        </is>
      </c>
      <c r="I88" t="n">
        <v>6.7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2</v>
      </c>
      <c r="V88" s="2" t="inlineStr">
        <is>
          <t>Knärot</t>
        </is>
      </c>
      <c r="W88">
        <f>HYPERLINK("https://klasma.github.io/Logging_0562/artfynd/A 1177-2024 artfynd.xlsx", "A 1177-2024")</f>
        <v/>
      </c>
      <c r="X88">
        <f>HYPERLINK("https://klasma.github.io/Logging_0562/kartor/A 1177-2024 karta.png", "A 1177-2024")</f>
        <v/>
      </c>
      <c r="Y88">
        <f>HYPERLINK("https://klasma.github.io/Logging_0562/kartor_geotiff/A 1177-2024 georefererad karta.tif", "A 1177-2024")</f>
        <v/>
      </c>
      <c r="Z88">
        <f>HYPERLINK("https://klasma.github.io/Logging_0562/knärot/A 1177-2024 karta knärot.png", "A 1177-2024")</f>
        <v/>
      </c>
      <c r="AA88">
        <f>HYPERLINK("https://klasma.github.io/Logging_0562/klagomål/A 1177-2024 FSC-klagomål.docx", "A 1177-2024")</f>
        <v/>
      </c>
      <c r="AB88">
        <f>HYPERLINK("https://klasma.github.io/Logging_0562/klagomålsmail/A 1177-2024 FSC-klagomål mail.docx", "A 1177-2024")</f>
        <v/>
      </c>
      <c r="AC88">
        <f>HYPERLINK("https://klasma.github.io/Logging_0562/tillsyn/A 1177-2024 tillsynsbegäran.docx", "A 1177-2024")</f>
        <v/>
      </c>
      <c r="AD88">
        <f>HYPERLINK("https://klasma.github.io/Logging_0562/tillsynsmail/A 1177-2024 tillsynsbegäran mail.docx", "A 1177-2024")</f>
        <v/>
      </c>
    </row>
    <row r="89" ht="15" customHeight="1">
      <c r="A89" t="inlineStr">
        <is>
          <t>A 40385-2024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46319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1.7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HYPERLINK("https://klasma.github.io/Logging_0562/artfynd/A 40385-2024 artfynd.xlsx", "A 40385-2024")</f>
        <v/>
      </c>
      <c r="X89">
        <f>HYPERLINK("https://klasma.github.io/Logging_0562/kartor/A 40385-2024 karta.png", "A 40385-2024")</f>
        <v/>
      </c>
      <c r="Y89">
        <f>HYPERLINK("https://klasma.github.io/Logging_0562/kartor_geotiff/A 40385-2024 georefererad karta.tif", "A 40385-2024")</f>
        <v/>
      </c>
      <c r="AA89">
        <f>HYPERLINK("https://klasma.github.io/Logging_0562/klagomål/A 40385-2024 FSC-klagomål.docx", "A 40385-2024")</f>
        <v/>
      </c>
      <c r="AB89">
        <f>HYPERLINK("https://klasma.github.io/Logging_0562/klagomålsmail/A 40385-2024 FSC-klagomål mail.docx", "A 40385-2024")</f>
        <v/>
      </c>
      <c r="AC89">
        <f>HYPERLINK("https://klasma.github.io/Logging_0562/tillsyn/A 40385-2024 tillsynsbegäran.docx", "A 40385-2024")</f>
        <v/>
      </c>
      <c r="AD89">
        <f>HYPERLINK("https://klasma.github.io/Logging_0562/tillsynsmail/A 40385-2024 tillsynsbegäran mail.docx", "A 40385-2024")</f>
        <v/>
      </c>
      <c r="AE89">
        <f>HYPERLINK("https://klasma.github.io/Logging_0562/fåglar/A 40385-2024 prioriterade fågelarter.docx", "A 40385-2024")</f>
        <v/>
      </c>
    </row>
    <row r="90" ht="15" customHeight="1">
      <c r="A90" t="inlineStr">
        <is>
          <t>A 61695-2021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44501</v>
      </c>
      <c r="E90" s="1" t="n">
        <v>46319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Kornknutmossa</t>
        </is>
      </c>
      <c r="W90">
        <f>HYPERLINK("https://klasma.github.io/Logging_0562/artfynd/A 61695-2021 artfynd.xlsx", "A 61695-2021")</f>
        <v/>
      </c>
      <c r="X90">
        <f>HYPERLINK("https://klasma.github.io/Logging_0562/kartor/A 61695-2021 karta.png", "A 61695-2021")</f>
        <v/>
      </c>
      <c r="Y90">
        <f>HYPERLINK("https://klasma.github.io/Logging_0562/kartor_geotiff/A 61695-2021 georefererad karta.tif", "A 61695-2021")</f>
        <v/>
      </c>
      <c r="AA90">
        <f>HYPERLINK("https://klasma.github.io/Logging_0562/klagomål/A 61695-2021 FSC-klagomål.docx", "A 61695-2021")</f>
        <v/>
      </c>
      <c r="AB90">
        <f>HYPERLINK("https://klasma.github.io/Logging_0562/klagomålsmail/A 61695-2021 FSC-klagomål mail.docx", "A 61695-2021")</f>
        <v/>
      </c>
      <c r="AC90">
        <f>HYPERLINK("https://klasma.github.io/Logging_0562/tillsyn/A 61695-2021 tillsynsbegäran.docx", "A 61695-2021")</f>
        <v/>
      </c>
      <c r="AD90">
        <f>HYPERLINK("https://klasma.github.io/Logging_0562/tillsynsmail/A 61695-2021 tillsynsbegäran mail.docx", "A 61695-2021")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46319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46319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46319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46319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46319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46319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70407-2021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46319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46319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44600</v>
      </c>
      <c r="E99" s="1" t="n">
        <v>46319</v>
      </c>
      <c r="F99" t="inlineStr">
        <is>
          <t>ÖSTERGÖTLANDS LÄN</t>
        </is>
      </c>
      <c r="G99" t="inlineStr">
        <is>
          <t>FINSPÅNG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46319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46319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46319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46319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46319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46319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46319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46319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46319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46319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46319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46319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46319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46319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46319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46319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46319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46319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46319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46319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46319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46319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46319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46319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46319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46319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46319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46319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46319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46319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46319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46319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46319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46319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46319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46319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46319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46319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46319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46319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46319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46319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46319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46319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46319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46319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46319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10885-2022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44627</v>
      </c>
      <c r="E149" s="1" t="n">
        <v>46319</v>
      </c>
      <c r="F149" t="inlineStr">
        <is>
          <t>ÖSTERGÖTLANDS LÄN</t>
        </is>
      </c>
      <c r="G149" t="inlineStr">
        <is>
          <t>FINSPÅNG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46319</v>
      </c>
      <c r="F150" t="inlineStr">
        <is>
          <t>ÖSTERGÖTLANDS LÄN</t>
        </is>
      </c>
      <c r="G150" t="inlineStr">
        <is>
          <t>FINSPÅNG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46319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46319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46319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46319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46319</v>
      </c>
      <c r="F155" t="inlineStr">
        <is>
          <t>ÖSTERGÖTLANDS LÄN</t>
        </is>
      </c>
      <c r="G155" t="inlineStr">
        <is>
          <t>FINSPÅNG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46319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46319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46319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46319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46319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46319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46319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44601</v>
      </c>
      <c r="E163" s="1" t="n">
        <v>46319</v>
      </c>
      <c r="F163" t="inlineStr">
        <is>
          <t>ÖSTERGÖTLANDS LÄN</t>
        </is>
      </c>
      <c r="G163" t="inlineStr">
        <is>
          <t>FINSPÅNG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46319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Holmen skog AB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48684-2022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44859</v>
      </c>
      <c r="E165" s="1" t="n">
        <v>46319</v>
      </c>
      <c r="F165" t="inlineStr">
        <is>
          <t>ÖSTERGÖTLANDS LÄN</t>
        </is>
      </c>
      <c r="G165" t="inlineStr">
        <is>
          <t>FINSPÅNG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46319</v>
      </c>
      <c r="F166" t="inlineStr">
        <is>
          <t>ÖSTERGÖTLANDS LÄN</t>
        </is>
      </c>
      <c r="G166" t="inlineStr">
        <is>
          <t>FINSPÅNG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11992-2022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44635</v>
      </c>
      <c r="E167" s="1" t="n">
        <v>46319</v>
      </c>
      <c r="F167" t="inlineStr">
        <is>
          <t>ÖSTERGÖTLANDS LÄN</t>
        </is>
      </c>
      <c r="G167" t="inlineStr">
        <is>
          <t>FINSPÅNG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46319</v>
      </c>
      <c r="F168" t="inlineStr">
        <is>
          <t>ÖSTERGÖTLANDS LÄN</t>
        </is>
      </c>
      <c r="G168" t="inlineStr">
        <is>
          <t>FINSPÅNG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44713</v>
      </c>
      <c r="E169" s="1" t="n">
        <v>46319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19890-2022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46319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69994-2021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44533</v>
      </c>
      <c r="E171" s="1" t="n">
        <v>46319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6493-2022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44601</v>
      </c>
      <c r="E172" s="1" t="n">
        <v>46319</v>
      </c>
      <c r="F172" t="inlineStr">
        <is>
          <t>ÖSTERGÖTLANDS LÄN</t>
        </is>
      </c>
      <c r="G172" t="inlineStr">
        <is>
          <t>FINSPÅNG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44678</v>
      </c>
      <c r="E173" s="1" t="n">
        <v>46319</v>
      </c>
      <c r="F173" t="inlineStr">
        <is>
          <t>ÖSTERGÖTLANDS LÄN</t>
        </is>
      </c>
      <c r="G173" t="inlineStr">
        <is>
          <t>FINSPÅNG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21190-2022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44704</v>
      </c>
      <c r="E174" s="1" t="n">
        <v>46319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46319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12898-2022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44642</v>
      </c>
      <c r="E176" s="1" t="n">
        <v>46319</v>
      </c>
      <c r="F176" t="inlineStr">
        <is>
          <t>ÖSTERGÖTLANDS LÄN</t>
        </is>
      </c>
      <c r="G176" t="inlineStr">
        <is>
          <t>FINSPÅNG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38233-2025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45883</v>
      </c>
      <c r="E177" s="1" t="n">
        <v>46319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Holmen skog AB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46319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46319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63321-2021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46319</v>
      </c>
      <c r="F180" t="inlineStr">
        <is>
          <t>ÖSTERGÖTLANDS LÄN</t>
        </is>
      </c>
      <c r="G180" t="inlineStr">
        <is>
          <t>FINSPÅNG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55231-2024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46319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44662</v>
      </c>
      <c r="E182" s="1" t="n">
        <v>46319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46319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54916-2024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45618</v>
      </c>
      <c r="E184" s="1" t="n">
        <v>46319</v>
      </c>
      <c r="F184" t="inlineStr">
        <is>
          <t>ÖSTERGÖTLANDS LÄN</t>
        </is>
      </c>
      <c r="G184" t="inlineStr">
        <is>
          <t>FINSPÅNG</t>
        </is>
      </c>
      <c r="I184" t="n">
        <v>11.8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29630-2022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44754</v>
      </c>
      <c r="E185" s="1" t="n">
        <v>46319</v>
      </c>
      <c r="F185" t="inlineStr">
        <is>
          <t>ÖSTERGÖTLANDS LÄN</t>
        </is>
      </c>
      <c r="G185" t="inlineStr">
        <is>
          <t>FINSPÅNG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40410-2024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45555</v>
      </c>
      <c r="E186" s="1" t="n">
        <v>46319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36100-2022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44802</v>
      </c>
      <c r="E187" s="1" t="n">
        <v>46319</v>
      </c>
      <c r="F187" t="inlineStr">
        <is>
          <t>ÖSTERGÖTLANDS LÄN</t>
        </is>
      </c>
      <c r="G187" t="inlineStr">
        <is>
          <t>FINSPÅNG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45042</v>
      </c>
      <c r="E188" s="1" t="n">
        <v>46319</v>
      </c>
      <c r="F188" t="inlineStr">
        <is>
          <t>ÖSTERGÖTLANDS LÄN</t>
        </is>
      </c>
      <c r="G188" t="inlineStr">
        <is>
          <t>FINSPÅNG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46319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46319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46319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46319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8193-2025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45707</v>
      </c>
      <c r="E193" s="1" t="n">
        <v>46319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Allmännings- och besparingsskogar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46319</v>
      </c>
      <c r="F194" t="inlineStr">
        <is>
          <t>ÖSTERGÖTLANDS LÄN</t>
        </is>
      </c>
      <c r="G194" t="inlineStr">
        <is>
          <t>FINSPÅNG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45894</v>
      </c>
      <c r="E195" s="1" t="n">
        <v>46319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46319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40472-2025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46319</v>
      </c>
      <c r="F197" t="inlineStr">
        <is>
          <t>ÖSTERGÖTLANDS LÄN</t>
        </is>
      </c>
      <c r="G197" t="inlineStr">
        <is>
          <t>FINSPÅNG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611-2023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44930</v>
      </c>
      <c r="E198" s="1" t="n">
        <v>46319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46319</v>
      </c>
      <c r="F199" t="inlineStr">
        <is>
          <t>ÖSTERGÖTLANDS LÄN</t>
        </is>
      </c>
      <c r="G199" t="inlineStr">
        <is>
          <t>FINSPÅNG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12472-2024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45379</v>
      </c>
      <c r="E200" s="1" t="n">
        <v>46319</v>
      </c>
      <c r="F200" t="inlineStr">
        <is>
          <t>ÖSTERGÖTLANDS LÄN</t>
        </is>
      </c>
      <c r="G200" t="inlineStr">
        <is>
          <t>FINSPÅNG</t>
        </is>
      </c>
      <c r="I200" t="n">
        <v>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46319</v>
      </c>
      <c r="F201" t="inlineStr">
        <is>
          <t>ÖSTERGÖTLANDS LÄN</t>
        </is>
      </c>
      <c r="G201" t="inlineStr">
        <is>
          <t>FINSPÅNG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44833</v>
      </c>
      <c r="E202" s="1" t="n">
        <v>46319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Övriga Aktiebolag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36406-2024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45535</v>
      </c>
      <c r="E203" s="1" t="n">
        <v>46319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Kommuner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44770</v>
      </c>
      <c r="E204" s="1" t="n">
        <v>46319</v>
      </c>
      <c r="F204" t="inlineStr">
        <is>
          <t>ÖSTERGÖTLANDS LÄN</t>
        </is>
      </c>
      <c r="G204" t="inlineStr">
        <is>
          <t>FINSPÅNG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60619-2023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46319</v>
      </c>
      <c r="F205" t="inlineStr">
        <is>
          <t>ÖSTERGÖTLANDS LÄN</t>
        </is>
      </c>
      <c r="G205" t="inlineStr">
        <is>
          <t>FINSPÅNG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46319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46319</v>
      </c>
      <c r="F207" t="inlineStr">
        <is>
          <t>ÖSTERGÖTLANDS LÄN</t>
        </is>
      </c>
      <c r="G207" t="inlineStr">
        <is>
          <t>FINSPÅNG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46319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45021</v>
      </c>
      <c r="E209" s="1" t="n">
        <v>46319</v>
      </c>
      <c r="F209" t="inlineStr">
        <is>
          <t>ÖSTERGÖTLANDS LÄN</t>
        </is>
      </c>
      <c r="G209" t="inlineStr">
        <is>
          <t>FINSPÅNG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9809-2024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45362</v>
      </c>
      <c r="E210" s="1" t="n">
        <v>46319</v>
      </c>
      <c r="F210" t="inlineStr">
        <is>
          <t>ÖSTERGÖTLANDS LÄN</t>
        </is>
      </c>
      <c r="G210" t="inlineStr">
        <is>
          <t>FINSPÅNG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45167</v>
      </c>
      <c r="E211" s="1" t="n">
        <v>46319</v>
      </c>
      <c r="F211" t="inlineStr">
        <is>
          <t>ÖSTERGÖTLANDS LÄN</t>
        </is>
      </c>
      <c r="G211" t="inlineStr">
        <is>
          <t>FINSPÅNG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14061-2023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46319</v>
      </c>
      <c r="F212" t="inlineStr">
        <is>
          <t>ÖSTERGÖTLANDS LÄN</t>
        </is>
      </c>
      <c r="G212" t="inlineStr">
        <is>
          <t>FINSPÅNG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45374</v>
      </c>
      <c r="E213" s="1" t="n">
        <v>46319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Kyrkan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44930</v>
      </c>
      <c r="E214" s="1" t="n">
        <v>46319</v>
      </c>
      <c r="F214" t="inlineStr">
        <is>
          <t>ÖSTERGÖTLANDS LÄN</t>
        </is>
      </c>
      <c r="G214" t="inlineStr">
        <is>
          <t>FINSPÅNG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44930</v>
      </c>
      <c r="E215" s="1" t="n">
        <v>46319</v>
      </c>
      <c r="F215" t="inlineStr">
        <is>
          <t>ÖSTERGÖTLANDS LÄN</t>
        </is>
      </c>
      <c r="G215" t="inlineStr">
        <is>
          <t>FINSPÅNG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42045-2025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45903</v>
      </c>
      <c r="E216" s="1" t="n">
        <v>46319</v>
      </c>
      <c r="F216" t="inlineStr">
        <is>
          <t>ÖSTERGÖTLANDS LÄN</t>
        </is>
      </c>
      <c r="G216" t="inlineStr">
        <is>
          <t>FINSPÅNG</t>
        </is>
      </c>
      <c r="H216" t="inlineStr">
        <is>
          <t>Holmen skog AB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45410-2022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44844</v>
      </c>
      <c r="E217" s="1" t="n">
        <v>46319</v>
      </c>
      <c r="F217" t="inlineStr">
        <is>
          <t>ÖSTERGÖTLANDS LÄN</t>
        </is>
      </c>
      <c r="G217" t="inlineStr">
        <is>
          <t>FINSPÅNG</t>
        </is>
      </c>
      <c r="I217" t="n">
        <v>16.6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44616</v>
      </c>
      <c r="E218" s="1" t="n">
        <v>46319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42025-2025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46319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45904</v>
      </c>
      <c r="E220" s="1" t="n">
        <v>46319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46319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42030-2025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46319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45904</v>
      </c>
      <c r="E223" s="1" t="n">
        <v>46319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42033-2025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45903</v>
      </c>
      <c r="E224" s="1" t="n">
        <v>46319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46319</v>
      </c>
      <c r="F225" t="inlineStr">
        <is>
          <t>ÖSTERGÖTLANDS LÄN</t>
        </is>
      </c>
      <c r="G225" t="inlineStr">
        <is>
          <t>FINSPÅNG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73260-2021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44550</v>
      </c>
      <c r="E226" s="1" t="n">
        <v>46319</v>
      </c>
      <c r="F226" t="inlineStr">
        <is>
          <t>ÖSTERGÖTLANDS LÄN</t>
        </is>
      </c>
      <c r="G226" t="inlineStr">
        <is>
          <t>FINSPÅNG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42373-2025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45905</v>
      </c>
      <c r="E227" s="1" t="n">
        <v>46319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53572-2023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45230</v>
      </c>
      <c r="E228" s="1" t="n">
        <v>46319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45905</v>
      </c>
      <c r="E229" s="1" t="n">
        <v>46319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10485-2026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46319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Kyrkan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40069-2024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45554</v>
      </c>
      <c r="E231" s="1" t="n">
        <v>46319</v>
      </c>
      <c r="F231" t="inlineStr">
        <is>
          <t>ÖSTERGÖTLANDS LÄN</t>
        </is>
      </c>
      <c r="G231" t="inlineStr">
        <is>
          <t>FINSPÅNG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46319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20157-2023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45055</v>
      </c>
      <c r="E233" s="1" t="n">
        <v>46319</v>
      </c>
      <c r="F233" t="inlineStr">
        <is>
          <t>ÖSTERGÖTLANDS LÄN</t>
        </is>
      </c>
      <c r="G233" t="inlineStr">
        <is>
          <t>FINSPÅNG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46319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18585-2024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45425</v>
      </c>
      <c r="E235" s="1" t="n">
        <v>46319</v>
      </c>
      <c r="F235" t="inlineStr">
        <is>
          <t>ÖSTERGÖTLANDS LÄN</t>
        </is>
      </c>
      <c r="G235" t="inlineStr">
        <is>
          <t>FINSPÅNG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39358-2022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44817</v>
      </c>
      <c r="E236" s="1" t="n">
        <v>46319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44898</v>
      </c>
      <c r="E237" s="1" t="n">
        <v>46319</v>
      </c>
      <c r="F237" t="inlineStr">
        <is>
          <t>ÖSTERGÖTLANDS LÄN</t>
        </is>
      </c>
      <c r="G237" t="inlineStr">
        <is>
          <t>FINSPÅNG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46149-2025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46319</v>
      </c>
      <c r="F238" t="inlineStr">
        <is>
          <t>ÖSTERGÖTLANDS LÄN</t>
        </is>
      </c>
      <c r="G238" t="inlineStr">
        <is>
          <t>FINSPÅNG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42106-2023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45177</v>
      </c>
      <c r="E239" s="1" t="n">
        <v>46319</v>
      </c>
      <c r="F239" t="inlineStr">
        <is>
          <t>ÖSTERGÖTLANDS LÄN</t>
        </is>
      </c>
      <c r="G239" t="inlineStr">
        <is>
          <t>FINSPÅNG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36994-2022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44806</v>
      </c>
      <c r="E240" s="1" t="n">
        <v>46319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45456</v>
      </c>
      <c r="E241" s="1" t="n">
        <v>46319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50189-2022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44865</v>
      </c>
      <c r="E242" s="1" t="n">
        <v>46319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44980</v>
      </c>
      <c r="E243" s="1" t="n">
        <v>46319</v>
      </c>
      <c r="F243" t="inlineStr">
        <is>
          <t>ÖSTERGÖTLANDS LÄN</t>
        </is>
      </c>
      <c r="G243" t="inlineStr">
        <is>
          <t>FINSPÅNG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6628-2023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46319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Övriga Aktiebolag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47567-2025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45931</v>
      </c>
      <c r="E245" s="1" t="n">
        <v>46319</v>
      </c>
      <c r="F245" t="inlineStr">
        <is>
          <t>ÖSTERGÖTLANDS LÄN</t>
        </is>
      </c>
      <c r="G245" t="inlineStr">
        <is>
          <t>FINSPÅNG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46319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44914</v>
      </c>
      <c r="E247" s="1" t="n">
        <v>46319</v>
      </c>
      <c r="F247" t="inlineStr">
        <is>
          <t>ÖSTERGÖTLANDS LÄN</t>
        </is>
      </c>
      <c r="G247" t="inlineStr">
        <is>
          <t>FINSPÅNG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48455-2025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46319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Övriga Aktiebolag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25844-2026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46176</v>
      </c>
      <c r="E249" s="1" t="n">
        <v>46319</v>
      </c>
      <c r="F249" t="inlineStr">
        <is>
          <t>ÖSTERGÖTLANDS LÄN</t>
        </is>
      </c>
      <c r="G249" t="inlineStr">
        <is>
          <t>FINSPÅNG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46319</v>
      </c>
      <c r="F250" t="inlineStr">
        <is>
          <t>ÖSTERGÖTLANDS LÄN</t>
        </is>
      </c>
      <c r="G250" t="inlineStr">
        <is>
          <t>FINSPÅNG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46319</v>
      </c>
      <c r="F251" t="inlineStr">
        <is>
          <t>ÖSTERGÖTLANDS LÄN</t>
        </is>
      </c>
      <c r="G251" t="inlineStr">
        <is>
          <t>FINSPÅNG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38964-2022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44816</v>
      </c>
      <c r="E252" s="1" t="n">
        <v>46319</v>
      </c>
      <c r="F252" t="inlineStr">
        <is>
          <t>ÖSTERGÖTLANDS LÄN</t>
        </is>
      </c>
      <c r="G252" t="inlineStr">
        <is>
          <t>FINSPÅNG</t>
        </is>
      </c>
      <c r="I252" t="n">
        <v>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44950</v>
      </c>
      <c r="E253" s="1" t="n">
        <v>46319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34417-2025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45846</v>
      </c>
      <c r="E254" s="1" t="n">
        <v>46319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15132-2025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46319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Naturvårdsverket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45744</v>
      </c>
      <c r="E256" s="1" t="n">
        <v>46319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Naturvårdsverket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50510-2024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46319</v>
      </c>
      <c r="F257" t="inlineStr">
        <is>
          <t>ÖSTERGÖTLANDS LÄN</t>
        </is>
      </c>
      <c r="G257" t="inlineStr">
        <is>
          <t>FINSPÅNG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4083-2024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45323</v>
      </c>
      <c r="E258" s="1" t="n">
        <v>46319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46176</v>
      </c>
      <c r="E259" s="1" t="n">
        <v>46319</v>
      </c>
      <c r="F259" t="inlineStr">
        <is>
          <t>ÖSTERGÖTLANDS LÄN</t>
        </is>
      </c>
      <c r="G259" t="inlineStr">
        <is>
          <t>FINSPÅNG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42779-2023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46319</v>
      </c>
      <c r="F260" t="inlineStr">
        <is>
          <t>ÖSTERGÖTLANDS LÄN</t>
        </is>
      </c>
      <c r="G260" t="inlineStr">
        <is>
          <t>FINSPÅNG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45042</v>
      </c>
      <c r="E261" s="1" t="n">
        <v>46319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24833-2026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46174</v>
      </c>
      <c r="E262" s="1" t="n">
        <v>46319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Sveaskog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46319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52731-2023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45225</v>
      </c>
      <c r="E264" s="1" t="n">
        <v>46319</v>
      </c>
      <c r="F264" t="inlineStr">
        <is>
          <t>ÖSTERGÖTLANDS LÄN</t>
        </is>
      </c>
      <c r="G264" t="inlineStr">
        <is>
          <t>FINSPÅNG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24835-2026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46174</v>
      </c>
      <c r="E265" s="1" t="n">
        <v>46319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Sveaskog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58905-2023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46319</v>
      </c>
      <c r="F266" t="inlineStr">
        <is>
          <t>ÖSTERGÖTLANDS LÄN</t>
        </is>
      </c>
      <c r="G266" t="inlineStr">
        <is>
          <t>FINSPÅNG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50395-2025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45944</v>
      </c>
      <c r="E267" s="1" t="n">
        <v>46319</v>
      </c>
      <c r="F267" t="inlineStr">
        <is>
          <t>ÖSTERGÖTLANDS LÄN</t>
        </is>
      </c>
      <c r="G267" t="inlineStr">
        <is>
          <t>FINSPÅNG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46319</v>
      </c>
      <c r="F268" t="inlineStr">
        <is>
          <t>ÖSTERGÖTLANDS LÄN</t>
        </is>
      </c>
      <c r="G268" t="inlineStr">
        <is>
          <t>FINSPÅNG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24458-2023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45082</v>
      </c>
      <c r="E269" s="1" t="n">
        <v>46319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36110-2023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45149</v>
      </c>
      <c r="E270" s="1" t="n">
        <v>46319</v>
      </c>
      <c r="F270" t="inlineStr">
        <is>
          <t>ÖSTERGÖTLANDS LÄN</t>
        </is>
      </c>
      <c r="G270" t="inlineStr">
        <is>
          <t>FINSPÅNG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56264-2022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44887</v>
      </c>
      <c r="E271" s="1" t="n">
        <v>46319</v>
      </c>
      <c r="F271" t="inlineStr">
        <is>
          <t>ÖSTERGÖTLANDS LÄN</t>
        </is>
      </c>
      <c r="G271" t="inlineStr">
        <is>
          <t>FINSPÅNG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46319</v>
      </c>
      <c r="F272" t="inlineStr">
        <is>
          <t>ÖSTERGÖTLANDS LÄN</t>
        </is>
      </c>
      <c r="G272" t="inlineStr">
        <is>
          <t>FINSPÅNG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45447</v>
      </c>
      <c r="E273" s="1" t="n">
        <v>46319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45442</v>
      </c>
      <c r="E274" s="1" t="n">
        <v>46319</v>
      </c>
      <c r="F274" t="inlineStr">
        <is>
          <t>ÖSTERGÖTLANDS LÄN</t>
        </is>
      </c>
      <c r="G274" t="inlineStr">
        <is>
          <t>FINSPÅNG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30921-2022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44767</v>
      </c>
      <c r="E275" s="1" t="n">
        <v>46319</v>
      </c>
      <c r="F275" t="inlineStr">
        <is>
          <t>ÖSTERGÖTLANDS LÄN</t>
        </is>
      </c>
      <c r="G275" t="inlineStr">
        <is>
          <t>FINSPÅNG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46181</v>
      </c>
      <c r="E276" s="1" t="n">
        <v>46319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10184-2023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44986</v>
      </c>
      <c r="E277" s="1" t="n">
        <v>46319</v>
      </c>
      <c r="F277" t="inlineStr">
        <is>
          <t>ÖSTERGÖTLANDS LÄN</t>
        </is>
      </c>
      <c r="G277" t="inlineStr">
        <is>
          <t>FINSPÅNG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46319</v>
      </c>
      <c r="F278" t="inlineStr">
        <is>
          <t>ÖSTERGÖTLANDS LÄN</t>
        </is>
      </c>
      <c r="G278" t="inlineStr">
        <is>
          <t>FINSPÅNG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46319</v>
      </c>
      <c r="F279" t="inlineStr">
        <is>
          <t>ÖSTERGÖTLANDS LÄN</t>
        </is>
      </c>
      <c r="G279" t="inlineStr">
        <is>
          <t>FINSPÅNG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25766-2026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46319</v>
      </c>
      <c r="F280" t="inlineStr">
        <is>
          <t>ÖSTERGÖTLANDS LÄN</t>
        </is>
      </c>
      <c r="G280" t="inlineStr">
        <is>
          <t>FINSPÅNG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46319</v>
      </c>
      <c r="F281" t="inlineStr">
        <is>
          <t>ÖSTERGÖTLANDS LÄN</t>
        </is>
      </c>
      <c r="G281" t="inlineStr">
        <is>
          <t>FINSPÅNG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51508-2025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46319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11481-2023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46319</v>
      </c>
      <c r="F283" t="inlineStr">
        <is>
          <t>ÖSTERGÖTLANDS LÄN</t>
        </is>
      </c>
      <c r="G283" t="inlineStr">
        <is>
          <t>FINSPÅNG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10412-2023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44987</v>
      </c>
      <c r="E284" s="1" t="n">
        <v>46319</v>
      </c>
      <c r="F284" t="inlineStr">
        <is>
          <t>ÖSTERGÖTLANDS LÄN</t>
        </is>
      </c>
      <c r="G284" t="inlineStr">
        <is>
          <t>FINSPÅNG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58011-2023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46319</v>
      </c>
      <c r="F285" t="inlineStr">
        <is>
          <t>ÖSTERGÖTLANDS LÄN</t>
        </is>
      </c>
      <c r="G285" t="inlineStr">
        <is>
          <t>FINSPÅNG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46319</v>
      </c>
      <c r="F286" t="inlineStr">
        <is>
          <t>ÖSTERGÖTLANDS LÄN</t>
        </is>
      </c>
      <c r="G286" t="inlineStr">
        <is>
          <t>FINSPÅNG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49904-2023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45214</v>
      </c>
      <c r="E287" s="1" t="n">
        <v>46319</v>
      </c>
      <c r="F287" t="inlineStr">
        <is>
          <t>ÖSTERGÖTLANDS LÄN</t>
        </is>
      </c>
      <c r="G287" t="inlineStr">
        <is>
          <t>FINSPÅNG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18258-2024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45421</v>
      </c>
      <c r="E288" s="1" t="n">
        <v>46319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18171-2024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45420</v>
      </c>
      <c r="E289" s="1" t="n">
        <v>46319</v>
      </c>
      <c r="F289" t="inlineStr">
        <is>
          <t>ÖSTERGÖTLANDS LÄN</t>
        </is>
      </c>
      <c r="G289" t="inlineStr">
        <is>
          <t>FINSPÅNG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32973-2023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45125</v>
      </c>
      <c r="E290" s="1" t="n">
        <v>46319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16975-2023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45033</v>
      </c>
      <c r="E291" s="1" t="n">
        <v>46319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Naturvårdsverket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45103</v>
      </c>
      <c r="E292" s="1" t="n">
        <v>46319</v>
      </c>
      <c r="F292" t="inlineStr">
        <is>
          <t>ÖSTERGÖTLANDS LÄN</t>
        </is>
      </c>
      <c r="G292" t="inlineStr">
        <is>
          <t>FINSPÅNG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45688</v>
      </c>
      <c r="E293" s="1" t="n">
        <v>46319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45955</v>
      </c>
      <c r="E294" s="1" t="n">
        <v>46319</v>
      </c>
      <c r="F294" t="inlineStr">
        <is>
          <t>ÖSTERGÖTLANDS LÄN</t>
        </is>
      </c>
      <c r="G294" t="inlineStr">
        <is>
          <t>FINSPÅNG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27018-2026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46185</v>
      </c>
      <c r="E295" s="1" t="n">
        <v>46319</v>
      </c>
      <c r="F295" t="inlineStr">
        <is>
          <t>ÖSTERGÖTLANDS LÄN</t>
        </is>
      </c>
      <c r="G295" t="inlineStr">
        <is>
          <t>FINSPÅNG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45022</v>
      </c>
      <c r="E296" s="1" t="n">
        <v>46319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15129-2025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45744</v>
      </c>
      <c r="E297" s="1" t="n">
        <v>46319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62186-2023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45267</v>
      </c>
      <c r="E298" s="1" t="n">
        <v>46319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47224-2023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45202</v>
      </c>
      <c r="E299" s="1" t="n">
        <v>46319</v>
      </c>
      <c r="F299" t="inlineStr">
        <is>
          <t>ÖSTERGÖTLANDS LÄN</t>
        </is>
      </c>
      <c r="G299" t="inlineStr">
        <is>
          <t>FINSPÅNG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31801-2023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45118</v>
      </c>
      <c r="E300" s="1" t="n">
        <v>46319</v>
      </c>
      <c r="F300" t="inlineStr">
        <is>
          <t>ÖSTERGÖTLANDS LÄN</t>
        </is>
      </c>
      <c r="G300" t="inlineStr">
        <is>
          <t>FINSPÅNG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26905-2026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46185</v>
      </c>
      <c r="E301" s="1" t="n">
        <v>46319</v>
      </c>
      <c r="F301" t="inlineStr">
        <is>
          <t>ÖSTERGÖTLANDS LÄN</t>
        </is>
      </c>
      <c r="G301" t="inlineStr">
        <is>
          <t>FINSPÅNG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46319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45225</v>
      </c>
      <c r="E303" s="1" t="n">
        <v>46319</v>
      </c>
      <c r="F303" t="inlineStr">
        <is>
          <t>ÖSTERGÖTLANDS LÄN</t>
        </is>
      </c>
      <c r="G303" t="inlineStr">
        <is>
          <t>FINSPÅNG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58141-2022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46319</v>
      </c>
      <c r="F304" t="inlineStr">
        <is>
          <t>ÖSTERGÖTLANDS LÄN</t>
        </is>
      </c>
      <c r="G304" t="inlineStr">
        <is>
          <t>FINSPÅNG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27369-2026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46188</v>
      </c>
      <c r="E305" s="1" t="n">
        <v>46319</v>
      </c>
      <c r="F305" t="inlineStr">
        <is>
          <t>ÖSTERGÖTLANDS LÄN</t>
        </is>
      </c>
      <c r="G305" t="inlineStr">
        <is>
          <t>FINSPÅNG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45258</v>
      </c>
      <c r="E306" s="1" t="n">
        <v>46319</v>
      </c>
      <c r="F306" t="inlineStr">
        <is>
          <t>ÖSTERGÖTLANDS LÄN</t>
        </is>
      </c>
      <c r="G306" t="inlineStr">
        <is>
          <t>FINSPÅNG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61076-2023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46319</v>
      </c>
      <c r="F307" t="inlineStr">
        <is>
          <t>ÖSTERGÖTLANDS LÄN</t>
        </is>
      </c>
      <c r="G307" t="inlineStr">
        <is>
          <t>FINSPÅNG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45311-2023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45191</v>
      </c>
      <c r="E308" s="1" t="n">
        <v>46319</v>
      </c>
      <c r="F308" t="inlineStr">
        <is>
          <t>ÖSTERGÖTLANDS LÄN</t>
        </is>
      </c>
      <c r="G308" t="inlineStr">
        <is>
          <t>FINSPÅNG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42176-2023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45178</v>
      </c>
      <c r="E309" s="1" t="n">
        <v>46319</v>
      </c>
      <c r="F309" t="inlineStr">
        <is>
          <t>ÖSTERGÖTLANDS LÄN</t>
        </is>
      </c>
      <c r="G309" t="inlineStr">
        <is>
          <t>FINSPÅNG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45177</v>
      </c>
      <c r="E310" s="1" t="n">
        <v>46319</v>
      </c>
      <c r="F310" t="inlineStr">
        <is>
          <t>ÖSTERGÖTLANDS LÄN</t>
        </is>
      </c>
      <c r="G310" t="inlineStr">
        <is>
          <t>FINSPÅNG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55956-2024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46319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59699-2024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45639</v>
      </c>
      <c r="E312" s="1" t="n">
        <v>46319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46317-2023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46319</v>
      </c>
      <c r="F313" t="inlineStr">
        <is>
          <t>ÖSTERGÖTLANDS LÄN</t>
        </is>
      </c>
      <c r="G313" t="inlineStr">
        <is>
          <t>FINSPÅNG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61359-2023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46319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55292-2025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45969</v>
      </c>
      <c r="E315" s="1" t="n">
        <v>46319</v>
      </c>
      <c r="F315" t="inlineStr">
        <is>
          <t>ÖSTERGÖTLANDS LÄN</t>
        </is>
      </c>
      <c r="G315" t="inlineStr">
        <is>
          <t>FINSPÅNG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55431-2025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46319</v>
      </c>
      <c r="F316" t="inlineStr">
        <is>
          <t>ÖSTERGÖTLANDS LÄN</t>
        </is>
      </c>
      <c r="G316" t="inlineStr">
        <is>
          <t>FINSPÅNG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32431-2023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46319</v>
      </c>
      <c r="F317" t="inlineStr">
        <is>
          <t>ÖSTERGÖTLANDS LÄN</t>
        </is>
      </c>
      <c r="G317" t="inlineStr">
        <is>
          <t>FINSPÅNG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58333-2023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45250</v>
      </c>
      <c r="E318" s="1" t="n">
        <v>46319</v>
      </c>
      <c r="F318" t="inlineStr">
        <is>
          <t>ÖSTERGÖTLANDS LÄN</t>
        </is>
      </c>
      <c r="G318" t="inlineStr">
        <is>
          <t>FINSPÅNG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48767-2024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46319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46319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Kommuner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44942</v>
      </c>
      <c r="E321" s="1" t="n">
        <v>46319</v>
      </c>
      <c r="F321" t="inlineStr">
        <is>
          <t>ÖSTERGÖTLANDS LÄN</t>
        </is>
      </c>
      <c r="G321" t="inlineStr">
        <is>
          <t>FINSPÅNG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45846</v>
      </c>
      <c r="E322" s="1" t="n">
        <v>46319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46319</v>
      </c>
      <c r="F323" t="inlineStr">
        <is>
          <t>ÖSTERGÖTLANDS LÄN</t>
        </is>
      </c>
      <c r="G323" t="inlineStr">
        <is>
          <t>FINSPÅNG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44617</v>
      </c>
      <c r="E324" s="1" t="n">
        <v>46319</v>
      </c>
      <c r="F324" t="inlineStr">
        <is>
          <t>ÖSTERGÖTLANDS LÄN</t>
        </is>
      </c>
      <c r="G324" t="inlineStr">
        <is>
          <t>FINSPÅNG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57290-2025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46319</v>
      </c>
      <c r="F325" t="inlineStr">
        <is>
          <t>ÖSTERGÖTLANDS LÄN</t>
        </is>
      </c>
      <c r="G325" t="inlineStr">
        <is>
          <t>FINSPÅNG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29482-2026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46319</v>
      </c>
      <c r="F326" t="inlineStr">
        <is>
          <t>ÖSTERGÖTLANDS LÄN</t>
        </is>
      </c>
      <c r="G326" t="inlineStr">
        <is>
          <t>FINSPÅNG</t>
        </is>
      </c>
      <c r="I326" t="n">
        <v>13.3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44939</v>
      </c>
      <c r="E327" s="1" t="n">
        <v>46319</v>
      </c>
      <c r="F327" t="inlineStr">
        <is>
          <t>ÖSTERGÖTLANDS LÄN</t>
        </is>
      </c>
      <c r="G327" t="inlineStr">
        <is>
          <t>FINSPÅNG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45202</v>
      </c>
      <c r="E328" s="1" t="n">
        <v>46319</v>
      </c>
      <c r="F328" t="inlineStr">
        <is>
          <t>ÖSTERGÖTLANDS LÄN</t>
        </is>
      </c>
      <c r="G328" t="inlineStr">
        <is>
          <t>FINSPÅNG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24503-2023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45082</v>
      </c>
      <c r="E329" s="1" t="n">
        <v>46319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4071-2024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45323</v>
      </c>
      <c r="E330" s="1" t="n">
        <v>46319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45299</v>
      </c>
      <c r="E331" s="1" t="n">
        <v>46319</v>
      </c>
      <c r="F331" t="inlineStr">
        <is>
          <t>ÖSTERGÖTLANDS LÄN</t>
        </is>
      </c>
      <c r="G331" t="inlineStr">
        <is>
          <t>FINSPÅNG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58188-2025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45983</v>
      </c>
      <c r="E332" s="1" t="n">
        <v>46319</v>
      </c>
      <c r="F332" t="inlineStr">
        <is>
          <t>ÖSTERGÖTLANDS LÄN</t>
        </is>
      </c>
      <c r="G332" t="inlineStr">
        <is>
          <t>FINSPÅNG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58190-2025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45983</v>
      </c>
      <c r="E333" s="1" t="n">
        <v>46319</v>
      </c>
      <c r="F333" t="inlineStr">
        <is>
          <t>ÖSTERGÖTLANDS LÄN</t>
        </is>
      </c>
      <c r="G333" t="inlineStr">
        <is>
          <t>FINSPÅNG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46204</v>
      </c>
      <c r="E334" s="1" t="n">
        <v>46319</v>
      </c>
      <c r="F334" t="inlineStr">
        <is>
          <t>ÖSTERGÖTLANDS LÄN</t>
        </is>
      </c>
      <c r="G334" t="inlineStr">
        <is>
          <t>FINSPÅNG</t>
        </is>
      </c>
      <c r="I334" t="n">
        <v>18.6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58313-2023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45250</v>
      </c>
      <c r="E335" s="1" t="n">
        <v>46319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48443-2023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45206</v>
      </c>
      <c r="E336" s="1" t="n">
        <v>46319</v>
      </c>
      <c r="F336" t="inlineStr">
        <is>
          <t>ÖSTERGÖTLANDS LÄN</t>
        </is>
      </c>
      <c r="G336" t="inlineStr">
        <is>
          <t>FINSPÅNG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58709-2025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45986</v>
      </c>
      <c r="E337" s="1" t="n">
        <v>46319</v>
      </c>
      <c r="F337" t="inlineStr">
        <is>
          <t>ÖSTERGÖTLANDS LÄN</t>
        </is>
      </c>
      <c r="G337" t="inlineStr">
        <is>
          <t>FINSPÅNG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44891</v>
      </c>
      <c r="E338" s="1" t="n">
        <v>46319</v>
      </c>
      <c r="F338" t="inlineStr">
        <is>
          <t>ÖSTERGÖTLANDS LÄN</t>
        </is>
      </c>
      <c r="G338" t="inlineStr">
        <is>
          <t>FINSPÅNG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58189-2025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45983</v>
      </c>
      <c r="E339" s="1" t="n">
        <v>46319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45986</v>
      </c>
      <c r="E340" s="1" t="n">
        <v>46319</v>
      </c>
      <c r="F340" t="inlineStr">
        <is>
          <t>ÖSTERGÖTLANDS LÄN</t>
        </is>
      </c>
      <c r="G340" t="inlineStr">
        <is>
          <t>FINSPÅNG</t>
        </is>
      </c>
      <c r="I340" t="n">
        <v>9.300000000000001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46319</v>
      </c>
      <c r="F341" t="inlineStr">
        <is>
          <t>ÖSTERGÖTLANDS LÄN</t>
        </is>
      </c>
      <c r="G341" t="inlineStr">
        <is>
          <t>FINSPÅNG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44964</v>
      </c>
      <c r="E342" s="1" t="n">
        <v>46319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46209</v>
      </c>
      <c r="E343" s="1" t="n">
        <v>46319</v>
      </c>
      <c r="F343" t="inlineStr">
        <is>
          <t>ÖSTERGÖTLANDS LÄN</t>
        </is>
      </c>
      <c r="G343" t="inlineStr">
        <is>
          <t>FINSPÅNG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52007-2024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45607</v>
      </c>
      <c r="E344" s="1" t="n">
        <v>46319</v>
      </c>
      <c r="F344" t="inlineStr">
        <is>
          <t>ÖSTERGÖTLANDS LÄN</t>
        </is>
      </c>
      <c r="G344" t="inlineStr">
        <is>
          <t>FINSPÅNG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52008-2024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45607</v>
      </c>
      <c r="E345" s="1" t="n">
        <v>46319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46211</v>
      </c>
      <c r="E346" s="1" t="n">
        <v>46319</v>
      </c>
      <c r="F346" t="inlineStr">
        <is>
          <t>ÖSTERGÖTLANDS LÄN</t>
        </is>
      </c>
      <c r="G346" t="inlineStr">
        <is>
          <t>FINSPÅNG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30864-2026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46319</v>
      </c>
      <c r="F347" t="inlineStr">
        <is>
          <t>ÖSTERGÖTLANDS LÄN</t>
        </is>
      </c>
      <c r="G347" t="inlineStr">
        <is>
          <t>FINSPÅNG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45770</v>
      </c>
      <c r="E348" s="1" t="n">
        <v>46319</v>
      </c>
      <c r="F348" t="inlineStr">
        <is>
          <t>ÖSTERGÖTLANDS LÄN</t>
        </is>
      </c>
      <c r="G348" t="inlineStr">
        <is>
          <t>FINSPÅNG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46319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39467-2024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45551</v>
      </c>
      <c r="E350" s="1" t="n">
        <v>46319</v>
      </c>
      <c r="F350" t="inlineStr">
        <is>
          <t>ÖSTERGÖTLANDS LÄN</t>
        </is>
      </c>
      <c r="G350" t="inlineStr">
        <is>
          <t>FINSPÅNG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59702-2024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45639</v>
      </c>
      <c r="E351" s="1" t="n">
        <v>46319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45709</v>
      </c>
      <c r="E352" s="1" t="n">
        <v>46319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46319</v>
      </c>
      <c r="F353" t="inlineStr">
        <is>
          <t>ÖSTERGÖTLANDS LÄN</t>
        </is>
      </c>
      <c r="G353" t="inlineStr">
        <is>
          <t>FINSPÅNG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45095</v>
      </c>
      <c r="E354" s="1" t="n">
        <v>46319</v>
      </c>
      <c r="F354" t="inlineStr">
        <is>
          <t>ÖSTERGÖTLANDS LÄN</t>
        </is>
      </c>
      <c r="G354" t="inlineStr">
        <is>
          <t>FINSPÅNG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45566</v>
      </c>
      <c r="E355" s="1" t="n">
        <v>46319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42711-2024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45566</v>
      </c>
      <c r="E356" s="1" t="n">
        <v>46319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45463</v>
      </c>
      <c r="E357" s="1" t="n">
        <v>46319</v>
      </c>
      <c r="F357" t="inlineStr">
        <is>
          <t>ÖSTERGÖTLANDS LÄN</t>
        </is>
      </c>
      <c r="G357" t="inlineStr">
        <is>
          <t>FINSPÅNG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46319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46319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9.5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61202-2025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46319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28558-2023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46319</v>
      </c>
      <c r="F361" t="inlineStr">
        <is>
          <t>ÖSTERGÖTLANDS LÄN</t>
        </is>
      </c>
      <c r="G361" t="inlineStr">
        <is>
          <t>FINSPÅNG</t>
        </is>
      </c>
      <c r="I361" t="n">
        <v>11.1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54299-2023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45232</v>
      </c>
      <c r="E362" s="1" t="n">
        <v>46319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31301-2026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46319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31307-2026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46219</v>
      </c>
      <c r="E364" s="1" t="n">
        <v>46319</v>
      </c>
      <c r="F364" t="inlineStr">
        <is>
          <t>ÖSTERGÖTLANDS LÄN</t>
        </is>
      </c>
      <c r="G364" t="inlineStr">
        <is>
          <t>FINSPÅNG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52557-2024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45609</v>
      </c>
      <c r="E365" s="1" t="n">
        <v>46319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46002</v>
      </c>
      <c r="E366" s="1" t="n">
        <v>46319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61683-2025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46002</v>
      </c>
      <c r="E367" s="1" t="n">
        <v>46319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46319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42699-2024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46319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42682-2024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45566</v>
      </c>
      <c r="E370" s="1" t="n">
        <v>46319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61605-2025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46002</v>
      </c>
      <c r="E371" s="1" t="n">
        <v>46319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13392-2025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46319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46002</v>
      </c>
      <c r="E373" s="1" t="n">
        <v>46319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13457-2025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45736</v>
      </c>
      <c r="E374" s="1" t="n">
        <v>46319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62221-2025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46319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62139-2025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46006</v>
      </c>
      <c r="E376" s="1" t="n">
        <v>46319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46226</v>
      </c>
      <c r="E377" s="1" t="n">
        <v>46319</v>
      </c>
      <c r="F377" t="inlineStr">
        <is>
          <t>ÖSTERGÖTLANDS LÄN</t>
        </is>
      </c>
      <c r="G377" t="inlineStr">
        <is>
          <t>FINSPÅNG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62235-2025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46003</v>
      </c>
      <c r="E378" s="1" t="n">
        <v>46319</v>
      </c>
      <c r="F378" t="inlineStr">
        <is>
          <t>ÖSTERGÖTLANDS LÄN</t>
        </is>
      </c>
      <c r="G378" t="inlineStr">
        <is>
          <t>FINSPÅNG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31682-2026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46226</v>
      </c>
      <c r="E379" s="1" t="n">
        <v>46319</v>
      </c>
      <c r="F379" t="inlineStr">
        <is>
          <t>ÖSTERGÖTLANDS LÄN</t>
        </is>
      </c>
      <c r="G379" t="inlineStr">
        <is>
          <t>FINSPÅNG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31668-2026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46225</v>
      </c>
      <c r="E380" s="1" t="n">
        <v>46319</v>
      </c>
      <c r="F380" t="inlineStr">
        <is>
          <t>ÖSTERGÖTLANDS LÄN</t>
        </is>
      </c>
      <c r="G380" t="inlineStr">
        <is>
          <t>FINSPÅNG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31669-2026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46225</v>
      </c>
      <c r="E381" s="1" t="n">
        <v>46319</v>
      </c>
      <c r="F381" t="inlineStr">
        <is>
          <t>ÖSTERGÖTLANDS LÄN</t>
        </is>
      </c>
      <c r="G381" t="inlineStr">
        <is>
          <t>FINSPÅNG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62242-2025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46319</v>
      </c>
      <c r="F382" t="inlineStr">
        <is>
          <t>ÖSTERGÖTLANDS LÄN</t>
        </is>
      </c>
      <c r="G382" t="inlineStr">
        <is>
          <t>FINSPÅNG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35343-2024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45530</v>
      </c>
      <c r="E383" s="1" t="n">
        <v>46319</v>
      </c>
      <c r="F383" t="inlineStr">
        <is>
          <t>ÖSTERGÖTLANDS LÄN</t>
        </is>
      </c>
      <c r="G383" t="inlineStr">
        <is>
          <t>FINSPÅNG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32000-2026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46232</v>
      </c>
      <c r="E384" s="1" t="n">
        <v>46319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46233</v>
      </c>
      <c r="E385" s="1" t="n">
        <v>46319</v>
      </c>
      <c r="F385" t="inlineStr">
        <is>
          <t>ÖSTERGÖTLANDS LÄN</t>
        </is>
      </c>
      <c r="G385" t="inlineStr">
        <is>
          <t>FINSPÅNG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37788-2026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46279</v>
      </c>
      <c r="E386" s="1" t="n">
        <v>46319</v>
      </c>
      <c r="F386" t="inlineStr">
        <is>
          <t>ÖSTERGÖTLANDS LÄN</t>
        </is>
      </c>
      <c r="G386" t="inlineStr">
        <is>
          <t>FINSPÅNG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46279</v>
      </c>
      <c r="E387" s="1" t="n">
        <v>46319</v>
      </c>
      <c r="F387" t="inlineStr">
        <is>
          <t>ÖSTERGÖTLANDS LÄN</t>
        </is>
      </c>
      <c r="G387" t="inlineStr">
        <is>
          <t>FINSPÅNG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60249-2024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46319</v>
      </c>
      <c r="F388" t="inlineStr">
        <is>
          <t>ÖSTERGÖTLANDS LÄN</t>
        </is>
      </c>
      <c r="G388" t="inlineStr">
        <is>
          <t>FINSPÅNG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37814-2026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46279</v>
      </c>
      <c r="E389" s="1" t="n">
        <v>46319</v>
      </c>
      <c r="F389" t="inlineStr">
        <is>
          <t>ÖSTERGÖTLANDS LÄN</t>
        </is>
      </c>
      <c r="G389" t="inlineStr">
        <is>
          <t>FINSPÅNG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62155-2023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45267</v>
      </c>
      <c r="E390" s="1" t="n">
        <v>46319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35340-2024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46319</v>
      </c>
      <c r="F391" t="inlineStr">
        <is>
          <t>ÖSTERGÖTLANDS LÄN</t>
        </is>
      </c>
      <c r="G391" t="inlineStr">
        <is>
          <t>FINSPÅNG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11523-2025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45727</v>
      </c>
      <c r="E392" s="1" t="n">
        <v>46319</v>
      </c>
      <c r="F392" t="inlineStr">
        <is>
          <t>ÖSTERGÖTLANDS LÄN</t>
        </is>
      </c>
      <c r="G392" t="inlineStr">
        <is>
          <t>FINSPÅNG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11149-2024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46319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Kyrkan</t>
        </is>
      </c>
      <c r="I393" t="n">
        <v>6.5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38441-2026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46282</v>
      </c>
      <c r="E394" s="1" t="n">
        <v>46319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Sveaskog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46282</v>
      </c>
      <c r="E395" s="1" t="n">
        <v>46319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38417-2026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46319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Sveaskog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46319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Sveaskog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38444-2026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46282</v>
      </c>
      <c r="E398" s="1" t="n">
        <v>46319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Sveaskog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46319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Sveaskog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35276-2025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45853</v>
      </c>
      <c r="E400" s="1" t="n">
        <v>46319</v>
      </c>
      <c r="F400" t="inlineStr">
        <is>
          <t>ÖSTERGÖTLANDS LÄN</t>
        </is>
      </c>
      <c r="G400" t="inlineStr">
        <is>
          <t>FINSPÅNG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38422-2026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46282</v>
      </c>
      <c r="E401" s="1" t="n">
        <v>46319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Sveaskog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46030</v>
      </c>
      <c r="E402" s="1" t="n">
        <v>46319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46282</v>
      </c>
      <c r="E403" s="1" t="n">
        <v>46319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Sveaskog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1005-2026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46030</v>
      </c>
      <c r="E404" s="1" t="n">
        <v>46319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38414-2026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46282</v>
      </c>
      <c r="E405" s="1" t="n">
        <v>46319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46029</v>
      </c>
      <c r="E406" s="1" t="n">
        <v>46319</v>
      </c>
      <c r="F406" t="inlineStr">
        <is>
          <t>ÖSTERGÖTLANDS LÄN</t>
        </is>
      </c>
      <c r="G406" t="inlineStr">
        <is>
          <t>FINSPÅNG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46319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Kyrkan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38625-2026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46281</v>
      </c>
      <c r="E408" s="1" t="n">
        <v>46319</v>
      </c>
      <c r="F408" t="inlineStr">
        <is>
          <t>ÖSTERGÖTLANDS LÄN</t>
        </is>
      </c>
      <c r="G408" t="inlineStr">
        <is>
          <t>FINSPÅNG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46319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46319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46319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2181-2026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46036</v>
      </c>
      <c r="E412" s="1" t="n">
        <v>46319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46036</v>
      </c>
      <c r="E413" s="1" t="n">
        <v>46319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24009-2025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46319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Naturvårdsverket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38765-2026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46319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Övriga Aktiebolag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45796</v>
      </c>
      <c r="E416" s="1" t="n">
        <v>46319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Naturvårdsverket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46040</v>
      </c>
      <c r="E417" s="1" t="n">
        <v>46319</v>
      </c>
      <c r="F417" t="inlineStr">
        <is>
          <t>ÖSTERGÖTLANDS LÄN</t>
        </is>
      </c>
      <c r="G417" t="inlineStr">
        <is>
          <t>FINSPÅNG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35970-2025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45863</v>
      </c>
      <c r="E418" s="1" t="n">
        <v>46319</v>
      </c>
      <c r="F418" t="inlineStr">
        <is>
          <t>ÖSTERGÖTLANDS LÄN</t>
        </is>
      </c>
      <c r="G418" t="inlineStr">
        <is>
          <t>FINSPÅNG</t>
        </is>
      </c>
      <c r="I418" t="n">
        <v>22.6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46040</v>
      </c>
      <c r="E419" s="1" t="n">
        <v>46319</v>
      </c>
      <c r="F419" t="inlineStr">
        <is>
          <t>ÖSTERGÖTLANDS LÄN</t>
        </is>
      </c>
      <c r="G419" t="inlineStr">
        <is>
          <t>FINSPÅNG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45316</v>
      </c>
      <c r="E420" s="1" t="n">
        <v>46319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Övriga Aktiebolag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24310-2025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45797</v>
      </c>
      <c r="E421" s="1" t="n">
        <v>46319</v>
      </c>
      <c r="F421" t="inlineStr">
        <is>
          <t>ÖSTERGÖTLANDS LÄN</t>
        </is>
      </c>
      <c r="G421" t="inlineStr">
        <is>
          <t>FINSPÅNG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24328-2025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45797</v>
      </c>
      <c r="E422" s="1" t="n">
        <v>46319</v>
      </c>
      <c r="F422" t="inlineStr">
        <is>
          <t>ÖSTERGÖTLANDS LÄN</t>
        </is>
      </c>
      <c r="G422" t="inlineStr">
        <is>
          <t>FINSPÅNG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24363-2025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45797</v>
      </c>
      <c r="E423" s="1" t="n">
        <v>46319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45702</v>
      </c>
      <c r="E424" s="1" t="n">
        <v>46319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Övriga Aktiebolag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46319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46319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45800</v>
      </c>
      <c r="E427" s="1" t="n">
        <v>46319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Naturvårdsverket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46319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45800</v>
      </c>
      <c r="E429" s="1" t="n">
        <v>46319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Naturvårdsverket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5427-2026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46050</v>
      </c>
      <c r="E430" s="1" t="n">
        <v>46319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25342-2025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45800</v>
      </c>
      <c r="E431" s="1" t="n">
        <v>46319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Naturvårdsverket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25319-2025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46319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Naturvårdsverket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5318-2026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46050</v>
      </c>
      <c r="E433" s="1" t="n">
        <v>46319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46319</v>
      </c>
      <c r="F434" t="inlineStr">
        <is>
          <t>ÖSTERGÖTLANDS LÄN</t>
        </is>
      </c>
      <c r="G434" t="inlineStr">
        <is>
          <t>FINSPÅNG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5939-2026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46319</v>
      </c>
      <c r="F435" t="inlineStr">
        <is>
          <t>ÖSTERGÖTLANDS LÄN</t>
        </is>
      </c>
      <c r="G435" t="inlineStr">
        <is>
          <t>FINSPÅNG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46319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46319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50063-2022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44860</v>
      </c>
      <c r="E438" s="1" t="n">
        <v>46319</v>
      </c>
      <c r="F438" t="inlineStr">
        <is>
          <t>ÖSTERGÖTLANDS LÄN</t>
        </is>
      </c>
      <c r="G438" t="inlineStr">
        <is>
          <t>FINSPÅNG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46319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4647-2024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45328</v>
      </c>
      <c r="E440" s="1" t="n">
        <v>46319</v>
      </c>
      <c r="F440" t="inlineStr">
        <is>
          <t>ÖSTERGÖTLANDS LÄN</t>
        </is>
      </c>
      <c r="G440" t="inlineStr">
        <is>
          <t>FINSPÅNG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46319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Övriga Aktiebolag</t>
        </is>
      </c>
      <c r="I441" t="n">
        <v>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46319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46060</v>
      </c>
      <c r="E443" s="1" t="n">
        <v>46319</v>
      </c>
      <c r="F443" t="inlineStr">
        <is>
          <t>ÖSTERGÖTLANDS LÄN</t>
        </is>
      </c>
      <c r="G443" t="inlineStr">
        <is>
          <t>FINSPÅNG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46319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Övriga Aktiebolag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46319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45812</v>
      </c>
      <c r="E446" s="1" t="n">
        <v>46319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46319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46319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45812</v>
      </c>
      <c r="E449" s="1" t="n">
        <v>46319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46063</v>
      </c>
      <c r="E450" s="1" t="n">
        <v>46319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46319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Sveaskog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8079-2026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46063</v>
      </c>
      <c r="E452" s="1" t="n">
        <v>46319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46064</v>
      </c>
      <c r="E453" s="1" t="n">
        <v>46319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Sveaskog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8266-2026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46064</v>
      </c>
      <c r="E454" s="1" t="n">
        <v>46319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Sveaskog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36592-2025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45870</v>
      </c>
      <c r="E455" s="1" t="n">
        <v>46319</v>
      </c>
      <c r="F455" t="inlineStr">
        <is>
          <t>ÖSTERGÖTLANDS LÄN</t>
        </is>
      </c>
      <c r="G455" t="inlineStr">
        <is>
          <t>FINSPÅNG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8529-2026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46319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59701-2024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45639</v>
      </c>
      <c r="E457" s="1" t="n">
        <v>46319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8553-2026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46319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46069</v>
      </c>
      <c r="E459" s="1" t="n">
        <v>46319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46319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46319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45819</v>
      </c>
      <c r="E462" s="1" t="n">
        <v>46319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28491-2025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45819</v>
      </c>
      <c r="E463" s="1" t="n">
        <v>46319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25877-2024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45467</v>
      </c>
      <c r="E464" s="1" t="n">
        <v>46319</v>
      </c>
      <c r="F464" t="inlineStr">
        <is>
          <t>ÖSTERGÖTLANDS LÄN</t>
        </is>
      </c>
      <c r="G464" t="inlineStr">
        <is>
          <t>FINSPÅNG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29419-2025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45824</v>
      </c>
      <c r="E465" s="1" t="n">
        <v>46319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9934-2026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46073</v>
      </c>
      <c r="E466" s="1" t="n">
        <v>46319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45824</v>
      </c>
      <c r="E467" s="1" t="n">
        <v>46319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10296-2026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46319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46319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29430-2025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45824</v>
      </c>
      <c r="E470" s="1" t="n">
        <v>46319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46319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10872-2026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46319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11063-2026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46319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11251-2026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46080</v>
      </c>
      <c r="E474" s="1" t="n">
        <v>46319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40578-2026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46295</v>
      </c>
      <c r="E475" s="1" t="n">
        <v>46319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Sveaskog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46319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Sveaskog</t>
        </is>
      </c>
      <c r="I476" t="n">
        <v>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11244-2026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46080</v>
      </c>
      <c r="E477" s="1" t="n">
        <v>46319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11211-2026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46080</v>
      </c>
      <c r="E478" s="1" t="n">
        <v>46319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11248-2026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46080</v>
      </c>
      <c r="E479" s="1" t="n">
        <v>46319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46085</v>
      </c>
      <c r="E480" s="1" t="n">
        <v>46319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11814-2026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46085</v>
      </c>
      <c r="E481" s="1" t="n">
        <v>46319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11839-2026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46085</v>
      </c>
      <c r="E482" s="1" t="n">
        <v>46319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11813-2026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46319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45835</v>
      </c>
      <c r="E484" s="1" t="n">
        <v>46319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45840</v>
      </c>
      <c r="E485" s="1" t="n">
        <v>46319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13365-2026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46094</v>
      </c>
      <c r="E486" s="1" t="n">
        <v>46319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13768-2026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46097</v>
      </c>
      <c r="E487" s="1" t="n">
        <v>46319</v>
      </c>
      <c r="F487" t="inlineStr">
        <is>
          <t>ÖSTERGÖTLANDS LÄN</t>
        </is>
      </c>
      <c r="G487" t="inlineStr">
        <is>
          <t>FINSPÅNG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14064-2026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46319</v>
      </c>
      <c r="F488" t="inlineStr">
        <is>
          <t>ÖSTERGÖTLANDS LÄN</t>
        </is>
      </c>
      <c r="G488" t="inlineStr">
        <is>
          <t>FINSPÅNG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14078-2026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46099</v>
      </c>
      <c r="E489" s="1" t="n">
        <v>46319</v>
      </c>
      <c r="F489" t="inlineStr">
        <is>
          <t>ÖSTERGÖTLANDS LÄN</t>
        </is>
      </c>
      <c r="G489" t="inlineStr">
        <is>
          <t>FINSPÅNG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34555-2026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46255</v>
      </c>
      <c r="E490" s="1" t="n">
        <v>46319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Sveaskog</t>
        </is>
      </c>
      <c r="I490" t="n">
        <v>8.4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46319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Sveaskog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14125-2026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46099</v>
      </c>
      <c r="E492" s="1" t="n">
        <v>46319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14117-2026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46099</v>
      </c>
      <c r="E493" s="1" t="n">
        <v>46319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Sveaskog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45845</v>
      </c>
      <c r="E494" s="1" t="n">
        <v>46319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46302</v>
      </c>
      <c r="E495" s="1" t="n">
        <v>46319</v>
      </c>
      <c r="F495" t="inlineStr">
        <is>
          <t>ÖSTERGÖTLANDS LÄN</t>
        </is>
      </c>
      <c r="G495" t="inlineStr">
        <is>
          <t>FINSPÅNG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20831-2025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45776</v>
      </c>
      <c r="E496" s="1" t="n">
        <v>46319</v>
      </c>
      <c r="F496" t="inlineStr">
        <is>
          <t>ÖSTERGÖTLANDS LÄN</t>
        </is>
      </c>
      <c r="G496" t="inlineStr">
        <is>
          <t>FINSPÅNG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15490-2026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46106</v>
      </c>
      <c r="E497" s="1" t="n">
        <v>46319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35279-2025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45853</v>
      </c>
      <c r="E498" s="1" t="n">
        <v>46319</v>
      </c>
      <c r="F498" t="inlineStr">
        <is>
          <t>ÖSTERGÖTLANDS LÄN</t>
        </is>
      </c>
      <c r="G498" t="inlineStr">
        <is>
          <t>FINSPÅNG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34883-2026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46258</v>
      </c>
      <c r="E499" s="1" t="n">
        <v>46319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Övriga Aktiebolag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34884-2026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46258</v>
      </c>
      <c r="E500" s="1" t="n">
        <v>46319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Övriga Aktiebolag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45337</v>
      </c>
      <c r="E501" s="1" t="n">
        <v>46319</v>
      </c>
      <c r="F501" t="inlineStr">
        <is>
          <t>ÖSTERGÖTLANDS LÄN</t>
        </is>
      </c>
      <c r="G501" t="inlineStr">
        <is>
          <t>FINSPÅNG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35375-2025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45854</v>
      </c>
      <c r="E502" s="1" t="n">
        <v>46319</v>
      </c>
      <c r="F502" t="inlineStr">
        <is>
          <t>ÖSTERGÖTLANDS LÄN</t>
        </is>
      </c>
      <c r="G502" t="inlineStr">
        <is>
          <t>FINSPÅNG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35492-2025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45855</v>
      </c>
      <c r="E503" s="1" t="n">
        <v>46319</v>
      </c>
      <c r="F503" t="inlineStr">
        <is>
          <t>ÖSTERGÖTLANDS LÄN</t>
        </is>
      </c>
      <c r="G503" t="inlineStr">
        <is>
          <t>FINSPÅNG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35374-2025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45854</v>
      </c>
      <c r="E504" s="1" t="n">
        <v>46319</v>
      </c>
      <c r="F504" t="inlineStr">
        <is>
          <t>ÖSTERGÖTLANDS LÄN</t>
        </is>
      </c>
      <c r="G504" t="inlineStr">
        <is>
          <t>FINSPÅNG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33997-2024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45523</v>
      </c>
      <c r="E505" s="1" t="n">
        <v>46319</v>
      </c>
      <c r="F505" t="inlineStr">
        <is>
          <t>ÖSTERGÖTLANDS LÄN</t>
        </is>
      </c>
      <c r="G505" t="inlineStr">
        <is>
          <t>FINSPÅNG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41247-2026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46300</v>
      </c>
      <c r="E506" s="1" t="n">
        <v>46319</v>
      </c>
      <c r="F506" t="inlineStr">
        <is>
          <t>ÖSTERGÖTLANDS LÄN</t>
        </is>
      </c>
      <c r="G506" t="inlineStr">
        <is>
          <t>FINSPÅNG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16355-2026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46111</v>
      </c>
      <c r="E507" s="1" t="n">
        <v>46319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31043-2025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45831</v>
      </c>
      <c r="E508" s="1" t="n">
        <v>46319</v>
      </c>
      <c r="F508" t="inlineStr">
        <is>
          <t>ÖSTERGÖTLANDS LÄN</t>
        </is>
      </c>
      <c r="G508" t="inlineStr">
        <is>
          <t>FINSPÅNG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42060-2026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46304</v>
      </c>
      <c r="E509" s="1" t="n">
        <v>46319</v>
      </c>
      <c r="F509" t="inlineStr">
        <is>
          <t>ÖSTERGÖTLANDS LÄN</t>
        </is>
      </c>
      <c r="G509" t="inlineStr">
        <is>
          <t>FINSPÅNG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19160-2024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45428</v>
      </c>
      <c r="E510" s="1" t="n">
        <v>46319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19170-2024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45428</v>
      </c>
      <c r="E511" s="1" t="n">
        <v>46319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16902-2026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46113</v>
      </c>
      <c r="E512" s="1" t="n">
        <v>46319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64408-2023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45280</v>
      </c>
      <c r="E513" s="1" t="n">
        <v>46319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Övriga Aktiebolag</t>
        </is>
      </c>
      <c r="I513" t="n">
        <v>13.6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46114</v>
      </c>
      <c r="E514" s="1" t="n">
        <v>46319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46114</v>
      </c>
      <c r="E515" s="1" t="n">
        <v>46319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45407-2022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44844</v>
      </c>
      <c r="E516" s="1" t="n">
        <v>46319</v>
      </c>
      <c r="F516" t="inlineStr">
        <is>
          <t>ÖSTERGÖTLANDS LÄN</t>
        </is>
      </c>
      <c r="G516" t="inlineStr">
        <is>
          <t>FINSPÅNG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45411-2022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44844</v>
      </c>
      <c r="E517" s="1" t="n">
        <v>46319</v>
      </c>
      <c r="F517" t="inlineStr">
        <is>
          <t>ÖSTERGÖTLANDS LÄN</t>
        </is>
      </c>
      <c r="G517" t="inlineStr">
        <is>
          <t>FINSPÅNG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50542-2022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44866</v>
      </c>
      <c r="E518" s="1" t="n">
        <v>46319</v>
      </c>
      <c r="F518" t="inlineStr">
        <is>
          <t>ÖSTERGÖTLANDS LÄN</t>
        </is>
      </c>
      <c r="G518" t="inlineStr">
        <is>
          <t>FINSPÅNG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44571-2022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44840</v>
      </c>
      <c r="E519" s="1" t="n">
        <v>46319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46319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36593-2025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45870</v>
      </c>
      <c r="E521" s="1" t="n">
        <v>46319</v>
      </c>
      <c r="F521" t="inlineStr">
        <is>
          <t>ÖSTERGÖTLANDS LÄN</t>
        </is>
      </c>
      <c r="G521" t="inlineStr">
        <is>
          <t>FINSPÅNG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46304</v>
      </c>
      <c r="E522" s="1" t="n">
        <v>46319</v>
      </c>
      <c r="F522" t="inlineStr">
        <is>
          <t>ÖSTERGÖTLANDS LÄN</t>
        </is>
      </c>
      <c r="G522" t="inlineStr">
        <is>
          <t>FINSPÅNG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28880-2025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45820</v>
      </c>
      <c r="E523" s="1" t="n">
        <v>46319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46304</v>
      </c>
      <c r="E524" s="1" t="n">
        <v>46319</v>
      </c>
      <c r="F524" t="inlineStr">
        <is>
          <t>ÖSTERGÖTLANDS LÄN</t>
        </is>
      </c>
      <c r="G524" t="inlineStr">
        <is>
          <t>FINSPÅNG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46120</v>
      </c>
      <c r="E525" s="1" t="n">
        <v>46319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46319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52004-2024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45607</v>
      </c>
      <c r="E527" s="1" t="n">
        <v>46319</v>
      </c>
      <c r="F527" t="inlineStr">
        <is>
          <t>ÖSTERGÖTLANDS LÄN</t>
        </is>
      </c>
      <c r="G527" t="inlineStr">
        <is>
          <t>FINSPÅNG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18086-2026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46125</v>
      </c>
      <c r="E528" s="1" t="n">
        <v>46319</v>
      </c>
      <c r="F528" t="inlineStr">
        <is>
          <t>ÖSTERGÖTLANDS LÄN</t>
        </is>
      </c>
      <c r="G528" t="inlineStr">
        <is>
          <t>FINSPÅNG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17769-2026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46122</v>
      </c>
      <c r="E529" s="1" t="n">
        <v>46319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14866-2022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44656</v>
      </c>
      <c r="E530" s="1" t="n">
        <v>46319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42067-2026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46304</v>
      </c>
      <c r="E531" s="1" t="n">
        <v>46319</v>
      </c>
      <c r="F531" t="inlineStr">
        <is>
          <t>ÖSTERGÖTLANDS LÄN</t>
        </is>
      </c>
      <c r="G531" t="inlineStr">
        <is>
          <t>FINSPÅNG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8535-2025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45709</v>
      </c>
      <c r="E532" s="1" t="n">
        <v>46319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46129</v>
      </c>
      <c r="E533" s="1" t="n">
        <v>46319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5.6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37742-2025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46319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37679-2025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45880</v>
      </c>
      <c r="E535" s="1" t="n">
        <v>46319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42514-2026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46308</v>
      </c>
      <c r="E536" s="1" t="n">
        <v>46319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Övriga Aktiebolag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42453-2026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46308</v>
      </c>
      <c r="E537" s="1" t="n">
        <v>46319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46209</v>
      </c>
      <c r="E538" s="1" t="n">
        <v>46319</v>
      </c>
      <c r="F538" t="inlineStr">
        <is>
          <t>ÖSTERGÖTLANDS LÄN</t>
        </is>
      </c>
      <c r="G538" t="inlineStr">
        <is>
          <t>FINSPÅNG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46319</v>
      </c>
      <c r="F539" t="inlineStr">
        <is>
          <t>ÖSTERGÖTLANDS LÄN</t>
        </is>
      </c>
      <c r="G539" t="inlineStr">
        <is>
          <t>FINSPÅNG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46307</v>
      </c>
      <c r="E540" s="1" t="n">
        <v>46319</v>
      </c>
      <c r="F540" t="inlineStr">
        <is>
          <t>ÖSTERGÖTLANDS LÄN</t>
        </is>
      </c>
      <c r="G540" t="inlineStr">
        <is>
          <t>FINSPÅNG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46308</v>
      </c>
      <c r="E541" s="1" t="n">
        <v>46319</v>
      </c>
      <c r="F541" t="inlineStr">
        <is>
          <t>ÖSTERGÖTLANDS LÄN</t>
        </is>
      </c>
      <c r="G541" t="inlineStr">
        <is>
          <t>FINSPÅNG</t>
        </is>
      </c>
      <c r="I541" t="n">
        <v>5.3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37936-2025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45881</v>
      </c>
      <c r="E542" s="1" t="n">
        <v>46319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50341-2022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44865</v>
      </c>
      <c r="E543" s="1" t="n">
        <v>46319</v>
      </c>
      <c r="F543" t="inlineStr">
        <is>
          <t>ÖSTERGÖTLANDS LÄN</t>
        </is>
      </c>
      <c r="G543" t="inlineStr">
        <is>
          <t>FINSPÅNG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56246-2022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44887</v>
      </c>
      <c r="E544" s="1" t="n">
        <v>46319</v>
      </c>
      <c r="F544" t="inlineStr">
        <is>
          <t>ÖSTERGÖTLANDS LÄN</t>
        </is>
      </c>
      <c r="G544" t="inlineStr">
        <is>
          <t>FINSPÅNG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56288-2022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44887</v>
      </c>
      <c r="E545" s="1" t="n">
        <v>46319</v>
      </c>
      <c r="F545" t="inlineStr">
        <is>
          <t>ÖSTERGÖTLANDS LÄN</t>
        </is>
      </c>
      <c r="G545" t="inlineStr">
        <is>
          <t>FINSPÅNG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14028-2025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46319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12216-2022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44637</v>
      </c>
      <c r="E547" s="1" t="n">
        <v>46319</v>
      </c>
      <c r="F547" t="inlineStr">
        <is>
          <t>ÖSTERGÖTLANDS LÄN</t>
        </is>
      </c>
      <c r="G547" t="inlineStr">
        <is>
          <t>FINSPÅNG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42503-2026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46308</v>
      </c>
      <c r="E548" s="1" t="n">
        <v>46319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Övriga Aktiebolag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42512-2026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46308</v>
      </c>
      <c r="E549" s="1" t="n">
        <v>46319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38231-2025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46319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73260-2021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44550</v>
      </c>
      <c r="E551" s="1" t="n">
        <v>46319</v>
      </c>
      <c r="F551" t="inlineStr">
        <is>
          <t>ÖSTERGÖTLANDS LÄN</t>
        </is>
      </c>
      <c r="G551" t="inlineStr">
        <is>
          <t>FINSPÅNG</t>
        </is>
      </c>
      <c r="I551" t="n">
        <v>10.3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45642</v>
      </c>
      <c r="E552" s="1" t="n">
        <v>46319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25188-2023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45086</v>
      </c>
      <c r="E553" s="1" t="n">
        <v>46319</v>
      </c>
      <c r="F553" t="inlineStr">
        <is>
          <t>ÖSTERGÖTLANDS LÄN</t>
        </is>
      </c>
      <c r="G553" t="inlineStr">
        <is>
          <t>FINSPÅNG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7825-2025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45706</v>
      </c>
      <c r="E554" s="1" t="n">
        <v>46319</v>
      </c>
      <c r="F554" t="inlineStr">
        <is>
          <t>ÖSTERGÖTLANDS LÄN</t>
        </is>
      </c>
      <c r="G554" t="inlineStr">
        <is>
          <t>FINSPÅNG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22938-2026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46160</v>
      </c>
      <c r="E555" s="1" t="n">
        <v>46319</v>
      </c>
      <c r="F555" t="inlineStr">
        <is>
          <t>ÖSTERGÖTLANDS LÄN</t>
        </is>
      </c>
      <c r="G555" t="inlineStr">
        <is>
          <t>FINSPÅNG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45692</v>
      </c>
      <c r="E556" s="1" t="n">
        <v>46319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42599-2026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46308</v>
      </c>
      <c r="E557" s="1" t="n">
        <v>46319</v>
      </c>
      <c r="F557" t="inlineStr">
        <is>
          <t>ÖSTERGÖTLANDS LÄN</t>
        </is>
      </c>
      <c r="G557" t="inlineStr">
        <is>
          <t>FINSPÅNG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42598-2026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46308</v>
      </c>
      <c r="E558" s="1" t="n">
        <v>46319</v>
      </c>
      <c r="F558" t="inlineStr">
        <is>
          <t>ÖSTERGÖTLANDS LÄN</t>
        </is>
      </c>
      <c r="G558" t="inlineStr">
        <is>
          <t>FINSPÅNG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14142-2025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45740</v>
      </c>
      <c r="E559" s="1" t="n">
        <v>46319</v>
      </c>
      <c r="F559" t="inlineStr">
        <is>
          <t>ÖSTERGÖTLANDS LÄN</t>
        </is>
      </c>
      <c r="G559" t="inlineStr">
        <is>
          <t>FINSPÅNG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42602-2026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46308</v>
      </c>
      <c r="E560" s="1" t="n">
        <v>46319</v>
      </c>
      <c r="F560" t="inlineStr">
        <is>
          <t>ÖSTERGÖTLANDS LÄN</t>
        </is>
      </c>
      <c r="G560" t="inlineStr">
        <is>
          <t>FINSPÅNG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55457-2024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45622</v>
      </c>
      <c r="E561" s="1" t="n">
        <v>46319</v>
      </c>
      <c r="F561" t="inlineStr">
        <is>
          <t>ÖSTERGÖTLANDS LÄN</t>
        </is>
      </c>
      <c r="G561" t="inlineStr">
        <is>
          <t>FINSPÅNG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46308</v>
      </c>
      <c r="E562" s="1" t="n">
        <v>46319</v>
      </c>
      <c r="F562" t="inlineStr">
        <is>
          <t>ÖSTERGÖTLANDS LÄN</t>
        </is>
      </c>
      <c r="G562" t="inlineStr">
        <is>
          <t>FINSPÅNG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42405-2026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46307</v>
      </c>
      <c r="E563" s="1" t="n">
        <v>46319</v>
      </c>
      <c r="F563" t="inlineStr">
        <is>
          <t>ÖSTERGÖTLANDS LÄN</t>
        </is>
      </c>
      <c r="G563" t="inlineStr">
        <is>
          <t>FINSPÅNG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42421-2026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46308</v>
      </c>
      <c r="E564" s="1" t="n">
        <v>46319</v>
      </c>
      <c r="F564" t="inlineStr">
        <is>
          <t>ÖSTERGÖTLANDS LÄN</t>
        </is>
      </c>
      <c r="G564" t="inlineStr">
        <is>
          <t>FINSPÅNG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46308</v>
      </c>
      <c r="E565" s="1" t="n">
        <v>46319</v>
      </c>
      <c r="F565" t="inlineStr">
        <is>
          <t>ÖSTERGÖTLANDS LÄN</t>
        </is>
      </c>
      <c r="G565" t="inlineStr">
        <is>
          <t>FINSPÅNG</t>
        </is>
      </c>
      <c r="I565" t="n">
        <v>11.1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6697-2023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46319</v>
      </c>
      <c r="F566" t="inlineStr">
        <is>
          <t>ÖSTERGÖTLANDS LÄN</t>
        </is>
      </c>
      <c r="G566" t="inlineStr">
        <is>
          <t>FINSPÅNG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43950-2025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45915</v>
      </c>
      <c r="E567" s="1" t="n">
        <v>46319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7826-2025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45706</v>
      </c>
      <c r="E568" s="1" t="n">
        <v>46319</v>
      </c>
      <c r="F568" t="inlineStr">
        <is>
          <t>ÖSTERGÖTLANDS LÄN</t>
        </is>
      </c>
      <c r="G568" t="inlineStr">
        <is>
          <t>FINSPÅNG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35278-2025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45853</v>
      </c>
      <c r="E569" s="1" t="n">
        <v>46319</v>
      </c>
      <c r="F569" t="inlineStr">
        <is>
          <t>ÖSTERGÖTLANDS LÄN</t>
        </is>
      </c>
      <c r="G569" t="inlineStr">
        <is>
          <t>FINSPÅNG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21722-2025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45783</v>
      </c>
      <c r="E570" s="1" t="n">
        <v>46319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46134</v>
      </c>
      <c r="E571" s="1" t="n">
        <v>46319</v>
      </c>
      <c r="F571" t="inlineStr">
        <is>
          <t>ÖSTERGÖTLANDS LÄN</t>
        </is>
      </c>
      <c r="G571" t="inlineStr">
        <is>
          <t>FINSPÅNG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44964</v>
      </c>
      <c r="E572" s="1" t="n">
        <v>46319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Holmen skog AB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57738-2022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46319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46269</v>
      </c>
      <c r="E574" s="1" t="n">
        <v>46319</v>
      </c>
      <c r="F574" t="inlineStr">
        <is>
          <t>ÖSTERGÖTLANDS LÄN</t>
        </is>
      </c>
      <c r="G574" t="inlineStr">
        <is>
          <t>FINSPÅNG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45700</v>
      </c>
      <c r="E575" s="1" t="n">
        <v>46319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36505-2026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46269</v>
      </c>
      <c r="E576" s="1" t="n">
        <v>46319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44966</v>
      </c>
      <c r="E577" s="1" t="n">
        <v>46319</v>
      </c>
      <c r="F577" t="inlineStr">
        <is>
          <t>ÖSTERGÖTLANDS LÄN</t>
        </is>
      </c>
      <c r="G577" t="inlineStr">
        <is>
          <t>FINSPÅNG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46319</v>
      </c>
      <c r="F578" t="inlineStr">
        <is>
          <t>ÖSTERGÖTLANDS LÄN</t>
        </is>
      </c>
      <c r="G578" t="inlineStr">
        <is>
          <t>FINSPÅNG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40063-2024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45554</v>
      </c>
      <c r="E579" s="1" t="n">
        <v>46319</v>
      </c>
      <c r="F579" t="inlineStr">
        <is>
          <t>ÖSTERGÖTLANDS LÄN</t>
        </is>
      </c>
      <c r="G579" t="inlineStr">
        <is>
          <t>FINSPÅNG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32789-2024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45516</v>
      </c>
      <c r="E580" s="1" t="n">
        <v>46319</v>
      </c>
      <c r="F580" t="inlineStr">
        <is>
          <t>ÖSTERGÖTLANDS LÄN</t>
        </is>
      </c>
      <c r="G580" t="inlineStr">
        <is>
          <t>FINSPÅNG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36479-2026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46269</v>
      </c>
      <c r="E581" s="1" t="n">
        <v>46319</v>
      </c>
      <c r="F581" t="inlineStr">
        <is>
          <t>ÖSTERGÖTLANDS LÄN</t>
        </is>
      </c>
      <c r="G581" t="inlineStr">
        <is>
          <t>FINSPÅNG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36498-2026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46319</v>
      </c>
      <c r="F582" t="inlineStr">
        <is>
          <t>ÖSTERGÖTLANDS LÄN</t>
        </is>
      </c>
      <c r="G582" t="inlineStr">
        <is>
          <t>FINSPÅNG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17104-2022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44677</v>
      </c>
      <c r="E583" s="1" t="n">
        <v>46319</v>
      </c>
      <c r="F583" t="inlineStr">
        <is>
          <t>ÖSTERGÖTLANDS LÄN</t>
        </is>
      </c>
      <c r="G583" t="inlineStr">
        <is>
          <t>FINSPÅNG</t>
        </is>
      </c>
      <c r="I583" t="n">
        <v>4.2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46314</v>
      </c>
      <c r="E584" s="1" t="n">
        <v>46319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Naturvårdsverket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43405-2026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46314</v>
      </c>
      <c r="E585" s="1" t="n">
        <v>46319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43796-2026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46319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Sveaskog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38613-2022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44813</v>
      </c>
      <c r="E587" s="1" t="n">
        <v>46319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39205-2022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46319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13084-2023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45002</v>
      </c>
      <c r="E589" s="1" t="n">
        <v>46319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44981</v>
      </c>
      <c r="E590" s="1" t="n">
        <v>46319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44981</v>
      </c>
      <c r="E591" s="1" t="n">
        <v>46319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44995</v>
      </c>
      <c r="E592" s="1" t="n">
        <v>46319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41513-2024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46319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45719</v>
      </c>
      <c r="E594" s="1" t="n">
        <v>46319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14560-2023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45013</v>
      </c>
      <c r="E595" s="1" t="n">
        <v>46319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7884-2023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46319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45247-2022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44844</v>
      </c>
      <c r="E597" s="1" t="n">
        <v>46319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62168-2022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44922</v>
      </c>
      <c r="E598" s="1" t="n">
        <v>46319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44946</v>
      </c>
      <c r="E599" s="1" t="n">
        <v>46319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43807-2026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46316</v>
      </c>
      <c r="E600" s="1" t="n">
        <v>46319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Sveaskog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40296-2024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45554</v>
      </c>
      <c r="E601" s="1" t="n">
        <v>46319</v>
      </c>
      <c r="F601" t="inlineStr">
        <is>
          <t>ÖSTERGÖTLANDS LÄN</t>
        </is>
      </c>
      <c r="G601" t="inlineStr">
        <is>
          <t>FINSPÅNG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46316</v>
      </c>
      <c r="E602" s="1" t="n">
        <v>46319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Sveaskog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43805-2026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46316</v>
      </c>
      <c r="E603" s="1" t="n">
        <v>46319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Sveaskog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31180-2025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45832</v>
      </c>
      <c r="E604" s="1" t="n">
        <v>46319</v>
      </c>
      <c r="F604" t="inlineStr">
        <is>
          <t>ÖSTERGÖTLANDS LÄN</t>
        </is>
      </c>
      <c r="G604" t="inlineStr">
        <is>
          <t>FINSPÅNG</t>
        </is>
      </c>
      <c r="I604" t="n">
        <v>8.300000000000001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46315</v>
      </c>
      <c r="E605" s="1" t="n">
        <v>46319</v>
      </c>
      <c r="F605" t="inlineStr">
        <is>
          <t>ÖSTERGÖTLANDS LÄN</t>
        </is>
      </c>
      <c r="G605" t="inlineStr">
        <is>
          <t>FINSPÅNG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46315</v>
      </c>
      <c r="E606" s="1" t="n">
        <v>46319</v>
      </c>
      <c r="F606" t="inlineStr">
        <is>
          <t>ÖSTERGÖTLANDS LÄN</t>
        </is>
      </c>
      <c r="G606" t="inlineStr">
        <is>
          <t>FINSPÅNG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29798-2022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44755</v>
      </c>
      <c r="E607" s="1" t="n">
        <v>46319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6527-2023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44966</v>
      </c>
      <c r="E608" s="1" t="n">
        <v>46319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11974-2023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44995</v>
      </c>
      <c r="E609" s="1" t="n">
        <v>46319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Holmen skog AB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14565-2023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45013</v>
      </c>
      <c r="E610" s="1" t="n">
        <v>46319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43528-2026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46315</v>
      </c>
      <c r="E611" s="1" t="n">
        <v>46319</v>
      </c>
      <c r="F611" t="inlineStr">
        <is>
          <t>ÖSTERGÖTLANDS LÄN</t>
        </is>
      </c>
      <c r="G611" t="inlineStr">
        <is>
          <t>FINSPÅNG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62158-2022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44922</v>
      </c>
      <c r="E612" s="1" t="n">
        <v>46319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46315</v>
      </c>
      <c r="E613" s="1" t="n">
        <v>46319</v>
      </c>
      <c r="F613" t="inlineStr">
        <is>
          <t>ÖSTERGÖTLANDS LÄN</t>
        </is>
      </c>
      <c r="G613" t="inlineStr">
        <is>
          <t>FINSPÅNG</t>
        </is>
      </c>
      <c r="I613" t="n">
        <v>8.699999999999999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43531-2026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46315</v>
      </c>
      <c r="E614" s="1" t="n">
        <v>46319</v>
      </c>
      <c r="F614" t="inlineStr">
        <is>
          <t>ÖSTERGÖTLANDS LÄN</t>
        </is>
      </c>
      <c r="G614" t="inlineStr">
        <is>
          <t>FINSPÅNG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23350-2023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45076</v>
      </c>
      <c r="E615" s="1" t="n">
        <v>46319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44946</v>
      </c>
      <c r="E616" s="1" t="n">
        <v>46319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46319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36573-2022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44804</v>
      </c>
      <c r="E618" s="1" t="n">
        <v>46319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14022-2023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45008</v>
      </c>
      <c r="E619" s="1" t="n">
        <v>46319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42785-2024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45566</v>
      </c>
      <c r="E620" s="1" t="n">
        <v>46319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40372-2024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46319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45678</v>
      </c>
      <c r="E622" s="1" t="n">
        <v>46319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58984-2022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44903</v>
      </c>
      <c r="E623" s="1" t="n">
        <v>46319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19263-2024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45428</v>
      </c>
      <c r="E624" s="1" t="n">
        <v>46319</v>
      </c>
      <c r="F624" t="inlineStr">
        <is>
          <t>ÖSTERGÖTLANDS LÄN</t>
        </is>
      </c>
      <c r="G624" t="inlineStr">
        <is>
          <t>FINSPÅNG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53323-2023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45229</v>
      </c>
      <c r="E625" s="1" t="n">
        <v>46319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8236-2026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46064</v>
      </c>
      <c r="E626" s="1" t="n">
        <v>46319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7022-2024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45343</v>
      </c>
      <c r="E627" s="1" t="n">
        <v>46319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21517-2024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45441</v>
      </c>
      <c r="E628" s="1" t="n">
        <v>46319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21532-2024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45441</v>
      </c>
      <c r="E629" s="1" t="n">
        <v>46319</v>
      </c>
      <c r="F629" t="inlineStr">
        <is>
          <t>ÖSTERGÖTLANDS LÄN</t>
        </is>
      </c>
      <c r="G629" t="inlineStr">
        <is>
          <t>FINSPÅNG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44964</v>
      </c>
      <c r="E630" s="1" t="n">
        <v>46319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42202-2023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45179</v>
      </c>
      <c r="E631" s="1" t="n">
        <v>46319</v>
      </c>
      <c r="F631" t="inlineStr">
        <is>
          <t>ÖSTERGÖTLANDS LÄN</t>
        </is>
      </c>
      <c r="G631" t="inlineStr">
        <is>
          <t>FINSPÅNG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42205-2023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45179</v>
      </c>
      <c r="E632" s="1" t="n">
        <v>46319</v>
      </c>
      <c r="F632" t="inlineStr">
        <is>
          <t>ÖSTERGÖTLANDS LÄN</t>
        </is>
      </c>
      <c r="G632" t="inlineStr">
        <is>
          <t>FINSPÅNG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20819-2026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46319</v>
      </c>
      <c r="F633" t="inlineStr">
        <is>
          <t>ÖSTERGÖTLANDS LÄN</t>
        </is>
      </c>
      <c r="G633" t="inlineStr">
        <is>
          <t>FINSPÅNG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26087-2022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44734</v>
      </c>
      <c r="E634" s="1" t="n">
        <v>46319</v>
      </c>
      <c r="F634" t="inlineStr">
        <is>
          <t>ÖSTERGÖTLANDS LÄN</t>
        </is>
      </c>
      <c r="G634" t="inlineStr">
        <is>
          <t>FINSPÅNG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25420-2022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44732</v>
      </c>
      <c r="E635" s="1" t="n">
        <v>46319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61998-2022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44918</v>
      </c>
      <c r="E636" s="1" t="n">
        <v>46319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7484-2025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45705</v>
      </c>
      <c r="E637" s="1" t="n">
        <v>46319</v>
      </c>
      <c r="F637" t="inlineStr">
        <is>
          <t>ÖSTERGÖTLANDS LÄN</t>
        </is>
      </c>
      <c r="G637" t="inlineStr">
        <is>
          <t>FINSPÅNG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13671-2023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45006</v>
      </c>
      <c r="E638" s="1" t="n">
        <v>46319</v>
      </c>
      <c r="F638" t="inlineStr">
        <is>
          <t>ÖSTERGÖTLANDS LÄN</t>
        </is>
      </c>
      <c r="G638" t="inlineStr">
        <is>
          <t>FINSPÅNG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8937-2022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44614</v>
      </c>
      <c r="E639" s="1" t="n">
        <v>46319</v>
      </c>
      <c r="F639" t="inlineStr">
        <is>
          <t>ÖSTERGÖTLANDS LÄN</t>
        </is>
      </c>
      <c r="G639" t="inlineStr">
        <is>
          <t>FINSPÅNG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18657-2024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45426</v>
      </c>
      <c r="E640" s="1" t="n">
        <v>46319</v>
      </c>
      <c r="F640" t="inlineStr">
        <is>
          <t>ÖSTERGÖTLANDS LÄN</t>
        </is>
      </c>
      <c r="G640" t="inlineStr">
        <is>
          <t>FINSPÅNG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17557-2022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44679</v>
      </c>
      <c r="E641" s="1" t="n">
        <v>46319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Övriga Aktiebolag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24192-2022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44725</v>
      </c>
      <c r="E642" s="1" t="n">
        <v>46319</v>
      </c>
      <c r="F642" t="inlineStr">
        <is>
          <t>ÖSTERGÖTLANDS LÄN</t>
        </is>
      </c>
      <c r="G642" t="inlineStr">
        <is>
          <t>FINSPÅNG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14454-2022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44653</v>
      </c>
      <c r="E643" s="1" t="n">
        <v>46319</v>
      </c>
      <c r="F643" t="inlineStr">
        <is>
          <t>ÖSTERGÖTLANDS LÄN</t>
        </is>
      </c>
      <c r="G643" t="inlineStr">
        <is>
          <t>FINSPÅNG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57678-2025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45980</v>
      </c>
      <c r="E644" s="1" t="n">
        <v>46319</v>
      </c>
      <c r="F644" t="inlineStr">
        <is>
          <t>ÖSTERGÖTLANDS LÄN</t>
        </is>
      </c>
      <c r="G644" t="inlineStr">
        <is>
          <t>FINSPÅNG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29923-2023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46319</v>
      </c>
      <c r="F645" t="inlineStr">
        <is>
          <t>ÖSTERGÖTLANDS LÄN</t>
        </is>
      </c>
      <c r="G645" t="inlineStr">
        <is>
          <t>FINSPÅNG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45415</v>
      </c>
      <c r="E646" s="1" t="n">
        <v>46319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43534-2023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45184</v>
      </c>
      <c r="E647" s="1" t="n">
        <v>46319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22437-2023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45070</v>
      </c>
      <c r="E648" s="1" t="n">
        <v>46319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50356-2024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45600</v>
      </c>
      <c r="E649" s="1" t="n">
        <v>46319</v>
      </c>
      <c r="F649" t="inlineStr">
        <is>
          <t>ÖSTERGÖTLANDS LÄN</t>
        </is>
      </c>
      <c r="G649" t="inlineStr">
        <is>
          <t>FINSPÅNG</t>
        </is>
      </c>
      <c r="I649" t="n">
        <v>6.9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64103-2023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45279</v>
      </c>
      <c r="E650" s="1" t="n">
        <v>46319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18261-2024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45421</v>
      </c>
      <c r="E651" s="1" t="n">
        <v>46319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34119-2025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45845</v>
      </c>
      <c r="E652" s="1" t="n">
        <v>46319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7269-2024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45344</v>
      </c>
      <c r="E653" s="1" t="n">
        <v>46319</v>
      </c>
      <c r="F653" t="inlineStr">
        <is>
          <t>ÖSTERGÖTLANDS LÄN</t>
        </is>
      </c>
      <c r="G653" t="inlineStr">
        <is>
          <t>FINSPÅNG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59795-2023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46319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1020-2024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46319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27892-2023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45095</v>
      </c>
      <c r="E656" s="1" t="n">
        <v>46319</v>
      </c>
      <c r="F656" t="inlineStr">
        <is>
          <t>ÖSTERGÖTLANDS LÄN</t>
        </is>
      </c>
      <c r="G656" t="inlineStr">
        <is>
          <t>FINSPÅNG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25184-2023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45086</v>
      </c>
      <c r="E657" s="1" t="n">
        <v>46319</v>
      </c>
      <c r="F657" t="inlineStr">
        <is>
          <t>ÖSTERGÖTLANDS LÄN</t>
        </is>
      </c>
      <c r="G657" t="inlineStr">
        <is>
          <t>FINSPÅNG</t>
        </is>
      </c>
      <c r="I657" t="n">
        <v>10.1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39896-2023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45166</v>
      </c>
      <c r="E658" s="1" t="n">
        <v>46319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45075</v>
      </c>
      <c r="E659" s="1" t="n">
        <v>46319</v>
      </c>
      <c r="F659" t="inlineStr">
        <is>
          <t>ÖSTERGÖTLANDS LÄN</t>
        </is>
      </c>
      <c r="G659" t="inlineStr">
        <is>
          <t>FINSPÅNG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59672-2024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45639</v>
      </c>
      <c r="E660" s="1" t="n">
        <v>46319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735-2025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45665</v>
      </c>
      <c r="E661" s="1" t="n">
        <v>46319</v>
      </c>
      <c r="F661" t="inlineStr">
        <is>
          <t>ÖSTERGÖTLANDS LÄN</t>
        </is>
      </c>
      <c r="G661" t="inlineStr">
        <is>
          <t>FINSPÅNG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14241-2023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45009</v>
      </c>
      <c r="E662" s="1" t="n">
        <v>46319</v>
      </c>
      <c r="F662" t="inlineStr">
        <is>
          <t>ÖSTERGÖTLANDS LÄN</t>
        </is>
      </c>
      <c r="G662" t="inlineStr">
        <is>
          <t>FINSPÅNG</t>
        </is>
      </c>
      <c r="H662" t="inlineStr">
        <is>
          <t>Holmen skog AB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32795-2024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45516</v>
      </c>
      <c r="E663" s="1" t="n">
        <v>46319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34941-2023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45142</v>
      </c>
      <c r="E664" s="1" t="n">
        <v>46319</v>
      </c>
      <c r="F664" t="inlineStr">
        <is>
          <t>ÖSTERGÖTLANDS LÄN</t>
        </is>
      </c>
      <c r="G664" t="inlineStr">
        <is>
          <t>FINSPÅNG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53944-2024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45616</v>
      </c>
      <c r="E665" s="1" t="n">
        <v>46319</v>
      </c>
      <c r="F665" t="inlineStr">
        <is>
          <t>ÖSTERGÖTLANDS LÄN</t>
        </is>
      </c>
      <c r="G665" t="inlineStr">
        <is>
          <t>FINSPÅNG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53945-2024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45616</v>
      </c>
      <c r="E666" s="1" t="n">
        <v>46319</v>
      </c>
      <c r="F666" t="inlineStr">
        <is>
          <t>ÖSTERGÖTLANDS LÄN</t>
        </is>
      </c>
      <c r="G666" t="inlineStr">
        <is>
          <t>FINSPÅNG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48691-2024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45593</v>
      </c>
      <c r="E667" s="1" t="n">
        <v>46319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Övriga Aktiebolag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61447-2024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45646</v>
      </c>
      <c r="E668" s="1" t="n">
        <v>46319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31323-2022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44774</v>
      </c>
      <c r="E669" s="1" t="n">
        <v>46319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27697-2023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45095</v>
      </c>
      <c r="E670" s="1" t="n">
        <v>46319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Övriga Aktiebolag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27699-2023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45095</v>
      </c>
      <c r="E671" s="1" t="n">
        <v>46319</v>
      </c>
      <c r="F671" t="inlineStr">
        <is>
          <t>ÖSTERGÖTLANDS LÄN</t>
        </is>
      </c>
      <c r="G671" t="inlineStr">
        <is>
          <t>FINSPÅNG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8403-2025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45709</v>
      </c>
      <c r="E672" s="1" t="n">
        <v>46319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11867-2025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45728</v>
      </c>
      <c r="E673" s="1" t="n">
        <v>46319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10.1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53675-2024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45615</v>
      </c>
      <c r="E674" s="1" t="n">
        <v>46319</v>
      </c>
      <c r="F674" t="inlineStr">
        <is>
          <t>ÖSTERGÖTLANDS LÄN</t>
        </is>
      </c>
      <c r="G674" t="inlineStr">
        <is>
          <t>FINSPÅNG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35346-2024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45530</v>
      </c>
      <c r="E675" s="1" t="n">
        <v>46319</v>
      </c>
      <c r="F675" t="inlineStr">
        <is>
          <t>ÖSTERGÖTLANDS LÄN</t>
        </is>
      </c>
      <c r="G675" t="inlineStr">
        <is>
          <t>FINSPÅNG</t>
        </is>
      </c>
      <c r="I675" t="n">
        <v>4.6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8924-2025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45713</v>
      </c>
      <c r="E676" s="1" t="n">
        <v>46319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15097-2025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45744</v>
      </c>
      <c r="E677" s="1" t="n">
        <v>46319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35598-2023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45147</v>
      </c>
      <c r="E678" s="1" t="n">
        <v>46319</v>
      </c>
      <c r="F678" t="inlineStr">
        <is>
          <t>ÖSTERGÖTLANDS LÄN</t>
        </is>
      </c>
      <c r="G678" t="inlineStr">
        <is>
          <t>FINSPÅNG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30271-2022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44759</v>
      </c>
      <c r="E679" s="1" t="n">
        <v>46319</v>
      </c>
      <c r="F679" t="inlineStr">
        <is>
          <t>ÖSTERGÖTLANDS LÄN</t>
        </is>
      </c>
      <c r="G679" t="inlineStr">
        <is>
          <t>FINSPÅNG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45243-2022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44840</v>
      </c>
      <c r="E680" s="1" t="n">
        <v>46319</v>
      </c>
      <c r="F680" t="inlineStr">
        <is>
          <t>ÖSTERGÖTLANDS LÄN</t>
        </is>
      </c>
      <c r="G680" t="inlineStr">
        <is>
          <t>FINSPÅNG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5336-2025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45692</v>
      </c>
      <c r="E681" s="1" t="n">
        <v>46319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4754-2025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45688</v>
      </c>
      <c r="E682" s="1" t="n">
        <v>46319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40194-2022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44820</v>
      </c>
      <c r="E683" s="1" t="n">
        <v>46319</v>
      </c>
      <c r="F683" t="inlineStr">
        <is>
          <t>ÖSTERGÖTLANDS LÄN</t>
        </is>
      </c>
      <c r="G683" t="inlineStr">
        <is>
          <t>FINSPÅNG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18306-2023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46319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Naturvårdsverket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24513-2023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45082</v>
      </c>
      <c r="E685" s="1" t="n">
        <v>46319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Holmen skog AB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45688</v>
      </c>
      <c r="E686" s="1" t="n">
        <v>46319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10.3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43318-2022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44834</v>
      </c>
      <c r="E687" s="1" t="n">
        <v>46319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49677-2022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44862</v>
      </c>
      <c r="E688" s="1" t="n">
        <v>46319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9.6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7788-2023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44973</v>
      </c>
      <c r="E689" s="1" t="n">
        <v>46319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53821-2022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44880</v>
      </c>
      <c r="E690" s="1" t="n">
        <v>46319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8611-2025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45710</v>
      </c>
      <c r="E691" s="1" t="n">
        <v>46319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45314-2023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45191</v>
      </c>
      <c r="E692" s="1" t="n">
        <v>46319</v>
      </c>
      <c r="F692" t="inlineStr">
        <is>
          <t>ÖSTERGÖTLANDS LÄN</t>
        </is>
      </c>
      <c r="G692" t="inlineStr">
        <is>
          <t>FINSPÅNG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19529-2025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45770</v>
      </c>
      <c r="E693" s="1" t="n">
        <v>46319</v>
      </c>
      <c r="F693" t="inlineStr">
        <is>
          <t>ÖSTERGÖTLANDS LÄN</t>
        </is>
      </c>
      <c r="G693" t="inlineStr">
        <is>
          <t>FINSPÅNG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54727-2023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45236</v>
      </c>
      <c r="E694" s="1" t="n">
        <v>46319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54730-2023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45236</v>
      </c>
      <c r="E695" s="1" t="n">
        <v>46319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54923-2022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44886</v>
      </c>
      <c r="E696" s="1" t="n">
        <v>46319</v>
      </c>
      <c r="F696" t="inlineStr">
        <is>
          <t>ÖSTERGÖTLANDS LÄN</t>
        </is>
      </c>
      <c r="G696" t="inlineStr">
        <is>
          <t>FINSPÅNG</t>
        </is>
      </c>
      <c r="I696" t="n">
        <v>6.9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22354-2023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45070</v>
      </c>
      <c r="E697" s="1" t="n">
        <v>46319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42651-2024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45566</v>
      </c>
      <c r="E698" s="1" t="n">
        <v>46319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18494-2023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45042</v>
      </c>
      <c r="E699" s="1" t="n">
        <v>46319</v>
      </c>
      <c r="F699" t="inlineStr">
        <is>
          <t>ÖSTERGÖTLANDS LÄN</t>
        </is>
      </c>
      <c r="G699" t="inlineStr">
        <is>
          <t>FINSPÅNG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11839-2025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45728</v>
      </c>
      <c r="E700" s="1" t="n">
        <v>46319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53246-2022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44876</v>
      </c>
      <c r="E701" s="1" t="n">
        <v>46319</v>
      </c>
      <c r="F701" t="inlineStr">
        <is>
          <t>ÖSTERGÖTLANDS LÄN</t>
        </is>
      </c>
      <c r="G701" t="inlineStr">
        <is>
          <t>FINSPÅNG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12814-2022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44642</v>
      </c>
      <c r="E702" s="1" t="n">
        <v>46319</v>
      </c>
      <c r="F702" t="inlineStr">
        <is>
          <t>ÖSTERGÖTLANDS LÄN</t>
        </is>
      </c>
      <c r="G702" t="inlineStr">
        <is>
          <t>FINSPÅNG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70505-2021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44536</v>
      </c>
      <c r="E703" s="1" t="n">
        <v>46319</v>
      </c>
      <c r="F703" t="inlineStr">
        <is>
          <t>ÖSTERGÖTLANDS LÄN</t>
        </is>
      </c>
      <c r="G703" t="inlineStr">
        <is>
          <t>FINSPÅNG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13375-2025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45735</v>
      </c>
      <c r="E704" s="1" t="n">
        <v>46319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55052-2023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45237</v>
      </c>
      <c r="E705" s="1" t="n">
        <v>46319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Kyrkan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46319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44944</v>
      </c>
      <c r="E707" s="1" t="n">
        <v>46319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44595</v>
      </c>
      <c r="E708" s="1" t="n">
        <v>46319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54404-2023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46319</v>
      </c>
      <c r="F709" t="inlineStr">
        <is>
          <t>ÖSTERGÖTLANDS LÄN</t>
        </is>
      </c>
      <c r="G709" t="inlineStr">
        <is>
          <t>FINSPÅNG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44564</v>
      </c>
      <c r="E710" s="1" t="n">
        <v>46319</v>
      </c>
      <c r="F710" t="inlineStr">
        <is>
          <t>ÖSTERGÖTLANDS LÄN</t>
        </is>
      </c>
      <c r="G710" t="inlineStr">
        <is>
          <t>FINSPÅNG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42782-2024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45566</v>
      </c>
      <c r="E711" s="1" t="n">
        <v>46319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28024-2023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45095</v>
      </c>
      <c r="E712" s="1" t="n">
        <v>46319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24500-2023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45082</v>
      </c>
      <c r="E713" s="1" t="n">
        <v>46319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24510-2023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45082</v>
      </c>
      <c r="E714" s="1" t="n">
        <v>46319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25121-2023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45086</v>
      </c>
      <c r="E715" s="1" t="n">
        <v>46319</v>
      </c>
      <c r="F715" t="inlineStr">
        <is>
          <t>ÖSTERGÖTLANDS LÄN</t>
        </is>
      </c>
      <c r="G715" t="inlineStr">
        <is>
          <t>FINSPÅNG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4351-2022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44589</v>
      </c>
      <c r="E716" s="1" t="n">
        <v>46319</v>
      </c>
      <c r="F716" t="inlineStr">
        <is>
          <t>ÖSTERGÖTLANDS LÄN</t>
        </is>
      </c>
      <c r="G716" t="inlineStr">
        <is>
          <t>FINSPÅNG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16229-2024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45407</v>
      </c>
      <c r="E717" s="1" t="n">
        <v>46319</v>
      </c>
      <c r="F717" t="inlineStr">
        <is>
          <t>ÖSTERGÖTLANDS LÄN</t>
        </is>
      </c>
      <c r="G717" t="inlineStr">
        <is>
          <t>FINSPÅNG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58142-2022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44900</v>
      </c>
      <c r="E718" s="1" t="n">
        <v>46319</v>
      </c>
      <c r="F718" t="inlineStr">
        <is>
          <t>ÖSTERGÖTLANDS LÄN</t>
        </is>
      </c>
      <c r="G718" t="inlineStr">
        <is>
          <t>FINSPÅNG</t>
        </is>
      </c>
      <c r="I718" t="n">
        <v>2.6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9003-2024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45357</v>
      </c>
      <c r="E719" s="1" t="n">
        <v>46319</v>
      </c>
      <c r="F719" t="inlineStr">
        <is>
          <t>ÖSTERGÖTLANDS LÄN</t>
        </is>
      </c>
      <c r="G719" t="inlineStr">
        <is>
          <t>FINSPÅNG</t>
        </is>
      </c>
      <c r="I719" t="n">
        <v>7.6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56309-2022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44887</v>
      </c>
      <c r="E720" s="1" t="n">
        <v>46319</v>
      </c>
      <c r="F720" t="inlineStr">
        <is>
          <t>ÖSTERGÖTLANDS LÄN</t>
        </is>
      </c>
      <c r="G720" t="inlineStr">
        <is>
          <t>FINSPÅNG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60547-2023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45259</v>
      </c>
      <c r="E721" s="1" t="n">
        <v>46319</v>
      </c>
      <c r="F721" t="inlineStr">
        <is>
          <t>ÖSTERGÖTLANDS LÄN</t>
        </is>
      </c>
      <c r="G721" t="inlineStr">
        <is>
          <t>FINSPÅNG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63585-2023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45275</v>
      </c>
      <c r="E722" s="1" t="n">
        <v>46319</v>
      </c>
      <c r="F722" t="inlineStr">
        <is>
          <t>ÖSTERGÖTLANDS LÄN</t>
        </is>
      </c>
      <c r="G722" t="inlineStr">
        <is>
          <t>FINSPÅNG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25678-2024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45463</v>
      </c>
      <c r="E723" s="1" t="n">
        <v>46319</v>
      </c>
      <c r="F723" t="inlineStr">
        <is>
          <t>ÖSTERGÖTLANDS LÄN</t>
        </is>
      </c>
      <c r="G723" t="inlineStr">
        <is>
          <t>FINSPÅNG</t>
        </is>
      </c>
      <c r="I723" t="n">
        <v>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45677</v>
      </c>
      <c r="E724" s="1" t="n">
        <v>46319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28556-2023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45103</v>
      </c>
      <c r="E725" s="1" t="n">
        <v>46319</v>
      </c>
      <c r="F725" t="inlineStr">
        <is>
          <t>ÖSTERGÖTLANDS LÄN</t>
        </is>
      </c>
      <c r="G725" t="inlineStr">
        <is>
          <t>FINSPÅNG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31130-2023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45113</v>
      </c>
      <c r="E726" s="1" t="n">
        <v>46319</v>
      </c>
      <c r="F726" t="inlineStr">
        <is>
          <t>ÖSTERGÖTLANDS LÄN</t>
        </is>
      </c>
      <c r="G726" t="inlineStr">
        <is>
          <t>FINSPÅNG</t>
        </is>
      </c>
      <c r="I726" t="n">
        <v>5.4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11540-2023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44993</v>
      </c>
      <c r="E727" s="1" t="n">
        <v>46319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45293</v>
      </c>
      <c r="E728" s="1" t="n">
        <v>46319</v>
      </c>
      <c r="F728" t="inlineStr">
        <is>
          <t>ÖSTERGÖTLANDS LÄN</t>
        </is>
      </c>
      <c r="G728" t="inlineStr">
        <is>
          <t>FINSPÅNG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13821-2024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45391</v>
      </c>
      <c r="E729" s="1" t="n">
        <v>46319</v>
      </c>
      <c r="F729" t="inlineStr">
        <is>
          <t>ÖSTERGÖTLANDS LÄN</t>
        </is>
      </c>
      <c r="G729" t="inlineStr">
        <is>
          <t>FINSPÅNG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58367-2023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45250</v>
      </c>
      <c r="E730" s="1" t="n">
        <v>46319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44949</v>
      </c>
      <c r="E731" s="1" t="n">
        <v>46319</v>
      </c>
      <c r="F731" t="inlineStr">
        <is>
          <t>ÖSTERGÖTLANDS LÄN</t>
        </is>
      </c>
      <c r="G731" t="inlineStr">
        <is>
          <t>FINSPÅNG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7743-2023</t>
        </is>
      </c>
      <c r="B732" t="inlineStr">
        <is>
          <t>avverkningsanmälan</t>
        </is>
      </c>
      <c r="C732" t="inlineStr">
        <is>
          <t>Avverkning för att bevara och utveckla /försöksver</t>
        </is>
      </c>
      <c r="D732" s="1" t="n">
        <v>44973</v>
      </c>
      <c r="E732" s="1" t="n">
        <v>46319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28732-2023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46319</v>
      </c>
      <c r="F733" t="inlineStr">
        <is>
          <t>ÖSTERGÖTLANDS LÄN</t>
        </is>
      </c>
      <c r="G733" t="inlineStr">
        <is>
          <t>FINSPÅNG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46319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45293</v>
      </c>
      <c r="E735" s="1" t="n">
        <v>46319</v>
      </c>
      <c r="F735" t="inlineStr">
        <is>
          <t>ÖSTERGÖTLANDS LÄN</t>
        </is>
      </c>
      <c r="G735" t="inlineStr">
        <is>
          <t>FINSPÅNG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13826-2024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45391</v>
      </c>
      <c r="E736" s="1" t="n">
        <v>46319</v>
      </c>
      <c r="F736" t="inlineStr">
        <is>
          <t>ÖSTERGÖTLANDS LÄN</t>
        </is>
      </c>
      <c r="G736" t="inlineStr">
        <is>
          <t>FINSPÅNG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17321-2022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44678</v>
      </c>
      <c r="E737" s="1" t="n">
        <v>46319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45002</v>
      </c>
      <c r="E738" s="1" t="n">
        <v>46319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Kyrkan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45078</v>
      </c>
      <c r="E739" s="1" t="n">
        <v>46319</v>
      </c>
      <c r="F739" t="inlineStr">
        <is>
          <t>ÖSTERGÖTLANDS LÄN</t>
        </is>
      </c>
      <c r="G739" t="inlineStr">
        <is>
          <t>FINSPÅNG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11541-2023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44993</v>
      </c>
      <c r="E740" s="1" t="n">
        <v>46319</v>
      </c>
      <c r="F740" t="inlineStr">
        <is>
          <t>ÖSTERGÖTLANDS LÄN</t>
        </is>
      </c>
      <c r="G740" t="inlineStr">
        <is>
          <t>FINSPÅNG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33804-2023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45133</v>
      </c>
      <c r="E741" s="1" t="n">
        <v>46319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73655-2021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44551</v>
      </c>
      <c r="E742" s="1" t="n">
        <v>46319</v>
      </c>
      <c r="F742" t="inlineStr">
        <is>
          <t>ÖSTERGÖTLANDS LÄN</t>
        </is>
      </c>
      <c r="G742" t="inlineStr">
        <is>
          <t>FINSPÅNG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22603-2024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45447</v>
      </c>
      <c r="E743" s="1" t="n">
        <v>46319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5.6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39655-2023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45167</v>
      </c>
      <c r="E744" s="1" t="n">
        <v>46319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Kyrkan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44937</v>
      </c>
      <c r="E745" s="1" t="n">
        <v>46319</v>
      </c>
      <c r="F745" t="inlineStr">
        <is>
          <t>ÖSTERGÖTLANDS LÄN</t>
        </is>
      </c>
      <c r="G745" t="inlineStr">
        <is>
          <t>FINSPÅNG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45314</v>
      </c>
      <c r="E746" s="1" t="n">
        <v>46319</v>
      </c>
      <c r="F746" t="inlineStr">
        <is>
          <t>ÖSTERGÖTLANDS LÄN</t>
        </is>
      </c>
      <c r="G746" t="inlineStr">
        <is>
          <t>FINSPÅNG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18295-2023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45041</v>
      </c>
      <c r="E747" s="1" t="n">
        <v>46319</v>
      </c>
      <c r="F747" t="inlineStr">
        <is>
          <t>ÖSTERGÖTLANDS LÄN</t>
        </is>
      </c>
      <c r="G747" t="inlineStr">
        <is>
          <t>FINSPÅNG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21655-2023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45063</v>
      </c>
      <c r="E748" s="1" t="n">
        <v>46319</v>
      </c>
      <c r="F748" t="inlineStr">
        <is>
          <t>ÖSTERGÖTLANDS LÄN</t>
        </is>
      </c>
      <c r="G748" t="inlineStr">
        <is>
          <t>FINSPÅNG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45113</v>
      </c>
      <c r="E749" s="1" t="n">
        <v>46319</v>
      </c>
      <c r="F749" t="inlineStr">
        <is>
          <t>ÖSTERGÖTLANDS LÄN</t>
        </is>
      </c>
      <c r="G749" t="inlineStr">
        <is>
          <t>FINSPÅNG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50670-2024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45601</v>
      </c>
      <c r="E750" s="1" t="n">
        <v>46319</v>
      </c>
      <c r="F750" t="inlineStr">
        <is>
          <t>ÖSTERGÖTLANDS LÄN</t>
        </is>
      </c>
      <c r="G750" t="inlineStr">
        <is>
          <t>FINSPÅNG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17994-2023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45040</v>
      </c>
      <c r="E751" s="1" t="n">
        <v>46319</v>
      </c>
      <c r="F751" t="inlineStr">
        <is>
          <t>ÖSTERGÖTLANDS LÄN</t>
        </is>
      </c>
      <c r="G751" t="inlineStr">
        <is>
          <t>FINSPÅNG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15614-2023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45020</v>
      </c>
      <c r="E752" s="1" t="n">
        <v>46319</v>
      </c>
      <c r="F752" t="inlineStr">
        <is>
          <t>ÖSTERGÖTLANDS LÄN</t>
        </is>
      </c>
      <c r="G752" t="inlineStr">
        <is>
          <t>FINSPÅNG</t>
        </is>
      </c>
      <c r="I752" t="n">
        <v>4.6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48652-2024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45593</v>
      </c>
      <c r="E753" s="1" t="n">
        <v>46319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21907-2023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45068</v>
      </c>
      <c r="E754" s="1" t="n">
        <v>46319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36192-2023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45149</v>
      </c>
      <c r="E755" s="1" t="n">
        <v>46319</v>
      </c>
      <c r="F755" t="inlineStr">
        <is>
          <t>ÖSTERGÖTLANDS LÄN</t>
        </is>
      </c>
      <c r="G755" t="inlineStr">
        <is>
          <t>FINSPÅNG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54581-2024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45617</v>
      </c>
      <c r="E756" s="1" t="n">
        <v>46319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45302</v>
      </c>
      <c r="E757" s="1" t="n">
        <v>46319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10206-2022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44622</v>
      </c>
      <c r="E758" s="1" t="n">
        <v>46319</v>
      </c>
      <c r="F758" t="inlineStr">
        <is>
          <t>ÖSTERGÖTLANDS LÄN</t>
        </is>
      </c>
      <c r="G758" t="inlineStr">
        <is>
          <t>FINSPÅNG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44564</v>
      </c>
      <c r="E759" s="1" t="n">
        <v>46319</v>
      </c>
      <c r="F759" t="inlineStr">
        <is>
          <t>ÖSTERGÖTLANDS LÄN</t>
        </is>
      </c>
      <c r="G759" t="inlineStr">
        <is>
          <t>FINSPÅNG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5156-2023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44958</v>
      </c>
      <c r="E760" s="1" t="n">
        <v>46319</v>
      </c>
      <c r="F760" t="inlineStr">
        <is>
          <t>ÖSTERGÖTLANDS LÄN</t>
        </is>
      </c>
      <c r="G760" t="inlineStr">
        <is>
          <t>FINSPÅNG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45095</v>
      </c>
      <c r="E761" s="1" t="n">
        <v>46319</v>
      </c>
      <c r="F761" t="inlineStr">
        <is>
          <t>ÖSTERGÖTLANDS LÄN</t>
        </is>
      </c>
      <c r="G761" t="inlineStr">
        <is>
          <t>FINSPÅNG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65742-2021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44516</v>
      </c>
      <c r="E762" s="1" t="n">
        <v>46319</v>
      </c>
      <c r="F762" t="inlineStr">
        <is>
          <t>ÖSTERGÖTLANDS LÄN</t>
        </is>
      </c>
      <c r="G762" t="inlineStr">
        <is>
          <t>FINSPÅNG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18134-2023</t>
        </is>
      </c>
      <c r="B763" t="inlineStr">
        <is>
          <t>avverkningsanmälan</t>
        </is>
      </c>
      <c r="C763" t="inlineStr">
        <is>
          <t>Avverkning för att bevara och utveckla /försöksver</t>
        </is>
      </c>
      <c r="D763" s="1" t="n">
        <v>45040</v>
      </c>
      <c r="E763" s="1" t="n">
        <v>46319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53670-2024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46319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52561-2024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45609</v>
      </c>
      <c r="E765" s="1" t="n">
        <v>46319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40065-2024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45554</v>
      </c>
      <c r="E766" s="1" t="n">
        <v>46319</v>
      </c>
      <c r="F766" t="inlineStr">
        <is>
          <t>ÖSTERGÖTLANDS LÄN</t>
        </is>
      </c>
      <c r="G766" t="inlineStr">
        <is>
          <t>FINSPÅNG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39415-2024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45551</v>
      </c>
      <c r="E767" s="1" t="n">
        <v>46319</v>
      </c>
      <c r="F767" t="inlineStr">
        <is>
          <t>ÖSTERGÖTLANDS LÄN</t>
        </is>
      </c>
      <c r="G767" t="inlineStr">
        <is>
          <t>FINSPÅNG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46319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23724-2023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45077</v>
      </c>
      <c r="E769" s="1" t="n">
        <v>46319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48466-2023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45206</v>
      </c>
      <c r="E770" s="1" t="n">
        <v>46319</v>
      </c>
      <c r="F770" t="inlineStr">
        <is>
          <t>ÖSTERGÖTLANDS LÄN</t>
        </is>
      </c>
      <c r="G770" t="inlineStr">
        <is>
          <t>FINSPÅNG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24806-2023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45084</v>
      </c>
      <c r="E771" s="1" t="n">
        <v>46319</v>
      </c>
      <c r="F771" t="inlineStr">
        <is>
          <t>ÖSTERGÖTLANDS LÄN</t>
        </is>
      </c>
      <c r="G771" t="inlineStr">
        <is>
          <t>FINSPÅNG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24012-2024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45456</v>
      </c>
      <c r="E772" s="1" t="n">
        <v>46319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41328-2023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45174</v>
      </c>
      <c r="E773" s="1" t="n">
        <v>46319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Kyrkan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61114-2024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45645</v>
      </c>
      <c r="E774" s="1" t="n">
        <v>46319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34758-2022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44795</v>
      </c>
      <c r="E775" s="1" t="n">
        <v>46319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Övriga Aktiebolag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9635-2025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45715</v>
      </c>
      <c r="E776" s="1" t="n">
        <v>46319</v>
      </c>
      <c r="F776" t="inlineStr">
        <is>
          <t>ÖSTERGÖTLANDS LÄN</t>
        </is>
      </c>
      <c r="G776" t="inlineStr">
        <is>
          <t>FINSPÅNG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11730-2022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44634</v>
      </c>
      <c r="E777" s="1" t="n">
        <v>46319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45762</v>
      </c>
      <c r="E778" s="1" t="n">
        <v>46319</v>
      </c>
      <c r="F778" t="inlineStr">
        <is>
          <t>ÖSTERGÖTLANDS LÄN</t>
        </is>
      </c>
      <c r="G778" t="inlineStr">
        <is>
          <t>FINSPÅNG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35570-2023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45147</v>
      </c>
      <c r="E779" s="1" t="n">
        <v>46319</v>
      </c>
      <c r="F779" t="inlineStr">
        <is>
          <t>ÖSTERGÖTLANDS LÄN</t>
        </is>
      </c>
      <c r="G779" t="inlineStr">
        <is>
          <t>FINSPÅNG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48790-2023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45209</v>
      </c>
      <c r="E780" s="1" t="n">
        <v>46319</v>
      </c>
      <c r="F780" t="inlineStr">
        <is>
          <t>ÖSTERGÖTLANDS LÄN</t>
        </is>
      </c>
      <c r="G780" t="inlineStr">
        <is>
          <t>FINSPÅNG</t>
        </is>
      </c>
      <c r="I780" t="n">
        <v>14.6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48793-2023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45209</v>
      </c>
      <c r="E781" s="1" t="n">
        <v>46319</v>
      </c>
      <c r="F781" t="inlineStr">
        <is>
          <t>ÖSTERGÖTLANDS LÄN</t>
        </is>
      </c>
      <c r="G781" t="inlineStr">
        <is>
          <t>FINSPÅNG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56420-2023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45243</v>
      </c>
      <c r="E782" s="1" t="n">
        <v>46319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45660</v>
      </c>
      <c r="E783" s="1" t="n">
        <v>46319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28722-2023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45103</v>
      </c>
      <c r="E784" s="1" t="n">
        <v>46319</v>
      </c>
      <c r="F784" t="inlineStr">
        <is>
          <t>ÖSTERGÖTLANDS LÄN</t>
        </is>
      </c>
      <c r="G784" t="inlineStr">
        <is>
          <t>FINSPÅNG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59287-2023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45253</v>
      </c>
      <c r="E785" s="1" t="n">
        <v>46319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15824-2022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44664</v>
      </c>
      <c r="E786" s="1" t="n">
        <v>46319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63482-2023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45274</v>
      </c>
      <c r="E787" s="1" t="n">
        <v>46319</v>
      </c>
      <c r="F787" t="inlineStr">
        <is>
          <t>ÖSTERGÖTLANDS LÄN</t>
        </is>
      </c>
      <c r="G787" t="inlineStr">
        <is>
          <t>FINSPÅNG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44767</v>
      </c>
      <c r="E788" s="1" t="n">
        <v>46319</v>
      </c>
      <c r="F788" t="inlineStr">
        <is>
          <t>ÖSTERGÖTLANDS LÄN</t>
        </is>
      </c>
      <c r="G788" t="inlineStr">
        <is>
          <t>FINSPÅNG</t>
        </is>
      </c>
      <c r="I788" t="n">
        <v>4.2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10252-2025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45720</v>
      </c>
      <c r="E789" s="1" t="n">
        <v>46319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3.8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44735</v>
      </c>
      <c r="E790" s="1" t="n">
        <v>46319</v>
      </c>
      <c r="F790" t="inlineStr">
        <is>
          <t>ÖSTERGÖTLANDS LÄN</t>
        </is>
      </c>
      <c r="G790" t="inlineStr">
        <is>
          <t>FINSPÅNG</t>
        </is>
      </c>
      <c r="I790" t="n">
        <v>10.1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25195-2022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44729</v>
      </c>
      <c r="E791" s="1" t="n">
        <v>46319</v>
      </c>
      <c r="F791" t="inlineStr">
        <is>
          <t>ÖSTERGÖTLANDS LÄN</t>
        </is>
      </c>
      <c r="G791" t="inlineStr">
        <is>
          <t>FINSPÅNG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36191-2023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45149</v>
      </c>
      <c r="E792" s="1" t="n">
        <v>46319</v>
      </c>
      <c r="F792" t="inlineStr">
        <is>
          <t>ÖSTERGÖTLANDS LÄN</t>
        </is>
      </c>
      <c r="G792" t="inlineStr">
        <is>
          <t>FINSPÅNG</t>
        </is>
      </c>
      <c r="I792" t="n">
        <v>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59799-2023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45257</v>
      </c>
      <c r="E793" s="1" t="n">
        <v>46319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2741-2024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45314</v>
      </c>
      <c r="E794" s="1" t="n">
        <v>46319</v>
      </c>
      <c r="F794" t="inlineStr">
        <is>
          <t>ÖSTERGÖTLANDS LÄN</t>
        </is>
      </c>
      <c r="G794" t="inlineStr">
        <is>
          <t>FINSPÅNG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16680-2022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44672</v>
      </c>
      <c r="E795" s="1" t="n">
        <v>46319</v>
      </c>
      <c r="F795" t="inlineStr">
        <is>
          <t>ÖSTERGÖTLANDS LÄN</t>
        </is>
      </c>
      <c r="G795" t="inlineStr">
        <is>
          <t>FINSPÅNG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2047-2024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45308</v>
      </c>
      <c r="E796" s="1" t="n">
        <v>46319</v>
      </c>
      <c r="F796" t="inlineStr">
        <is>
          <t>ÖSTERGÖTLANDS LÄN</t>
        </is>
      </c>
      <c r="G796" t="inlineStr">
        <is>
          <t>FINSPÅNG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40319-2022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44823</v>
      </c>
      <c r="E797" s="1" t="n">
        <v>46319</v>
      </c>
      <c r="F797" t="inlineStr">
        <is>
          <t>ÖSTERGÖTLANDS LÄN</t>
        </is>
      </c>
      <c r="G797" t="inlineStr">
        <is>
          <t>FINSPÅNG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55980-2024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45623</v>
      </c>
      <c r="E798" s="1" t="n">
        <v>46319</v>
      </c>
      <c r="F798" t="inlineStr">
        <is>
          <t>ÖSTERGÖTLANDS LÄN</t>
        </is>
      </c>
      <c r="G798" t="inlineStr">
        <is>
          <t>FINSPÅNG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43051-2022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44833</v>
      </c>
      <c r="E799" s="1" t="n">
        <v>46319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26195-2024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45468</v>
      </c>
      <c r="E800" s="1" t="n">
        <v>46319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12483-2024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45379</v>
      </c>
      <c r="E801" s="1" t="n">
        <v>46319</v>
      </c>
      <c r="F801" t="inlineStr">
        <is>
          <t>ÖSTERGÖTLANDS LÄN</t>
        </is>
      </c>
      <c r="G801" t="inlineStr">
        <is>
          <t>FINSPÅNG</t>
        </is>
      </c>
      <c r="I801" t="n">
        <v>11.9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2145-2024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45309</v>
      </c>
      <c r="E802" s="1" t="n">
        <v>46319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2152-2024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45309</v>
      </c>
      <c r="E803" s="1" t="n">
        <v>46319</v>
      </c>
      <c r="F803" t="inlineStr">
        <is>
          <t>ÖSTERGÖTLANDS LÄN</t>
        </is>
      </c>
      <c r="G803" t="inlineStr">
        <is>
          <t>FINSPÅNG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45309</v>
      </c>
      <c r="E804" s="1" t="n">
        <v>46319</v>
      </c>
      <c r="F804" t="inlineStr">
        <is>
          <t>ÖSTERGÖTLANDS LÄN</t>
        </is>
      </c>
      <c r="G804" t="inlineStr">
        <is>
          <t>FINSPÅNG</t>
        </is>
      </c>
      <c r="I804" t="n">
        <v>15.1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59838-2023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45257</v>
      </c>
      <c r="E805" s="1" t="n">
        <v>46319</v>
      </c>
      <c r="F805" t="inlineStr">
        <is>
          <t>ÖSTERGÖTLANDS LÄN</t>
        </is>
      </c>
      <c r="G805" t="inlineStr">
        <is>
          <t>FINSPÅNG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45302</v>
      </c>
      <c r="E806" s="1" t="n">
        <v>46319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6731-2023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44966</v>
      </c>
      <c r="E807" s="1" t="n">
        <v>46319</v>
      </c>
      <c r="F807" t="inlineStr">
        <is>
          <t>ÖSTERGÖTLANDS LÄN</t>
        </is>
      </c>
      <c r="G807" t="inlineStr">
        <is>
          <t>FINSPÅNG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30922-2022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44767</v>
      </c>
      <c r="E808" s="1" t="n">
        <v>46319</v>
      </c>
      <c r="F808" t="inlineStr">
        <is>
          <t>ÖSTERGÖTLANDS LÄN</t>
        </is>
      </c>
      <c r="G808" t="inlineStr">
        <is>
          <t>FINSPÅNG</t>
        </is>
      </c>
      <c r="I808" t="n">
        <v>10.6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17992-2023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45040</v>
      </c>
      <c r="E809" s="1" t="n">
        <v>46319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5616-2022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44595</v>
      </c>
      <c r="E810" s="1" t="n">
        <v>46319</v>
      </c>
      <c r="F810" t="inlineStr">
        <is>
          <t>ÖSTERGÖTLANDS LÄN</t>
        </is>
      </c>
      <c r="G810" t="inlineStr">
        <is>
          <t>FINSPÅNG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14110-2023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45009</v>
      </c>
      <c r="E811" s="1" t="n">
        <v>46319</v>
      </c>
      <c r="F811" t="inlineStr">
        <is>
          <t>ÖSTERGÖTLANDS LÄN</t>
        </is>
      </c>
      <c r="G811" t="inlineStr">
        <is>
          <t>FINSPÅNG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24804-2023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45084</v>
      </c>
      <c r="E812" s="1" t="n">
        <v>46319</v>
      </c>
      <c r="F812" t="inlineStr">
        <is>
          <t>ÖSTERGÖTLANDS LÄN</t>
        </is>
      </c>
      <c r="G812" t="inlineStr">
        <is>
          <t>FINSPÅNG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33027-2022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44782</v>
      </c>
      <c r="E813" s="1" t="n">
        <v>46319</v>
      </c>
      <c r="F813" t="inlineStr">
        <is>
          <t>ÖSTERGÖTLANDS LÄN</t>
        </is>
      </c>
      <c r="G813" t="inlineStr">
        <is>
          <t>FINSPÅNG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22714-2022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44714</v>
      </c>
      <c r="E814" s="1" t="n">
        <v>46319</v>
      </c>
      <c r="F814" t="inlineStr">
        <is>
          <t>ÖSTERGÖTLANDS LÄN</t>
        </is>
      </c>
      <c r="G814" t="inlineStr">
        <is>
          <t>FINSPÅNG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45299</v>
      </c>
      <c r="E815" s="1" t="n">
        <v>46319</v>
      </c>
      <c r="F815" t="inlineStr">
        <is>
          <t>ÖSTERGÖTLANDS LÄN</t>
        </is>
      </c>
      <c r="G815" t="inlineStr">
        <is>
          <t>FINSPÅNG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29078-2022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44749</v>
      </c>
      <c r="E816" s="1" t="n">
        <v>46319</v>
      </c>
      <c r="F816" t="inlineStr">
        <is>
          <t>ÖSTERGÖTLANDS LÄN</t>
        </is>
      </c>
      <c r="G816" t="inlineStr">
        <is>
          <t>FINSPÅNG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49494-2022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44861</v>
      </c>
      <c r="E817" s="1" t="n">
        <v>46319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Naturvårdsverket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10420-2023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44987</v>
      </c>
      <c r="E818" s="1" t="n">
        <v>46319</v>
      </c>
      <c r="F818" t="inlineStr">
        <is>
          <t>ÖSTERGÖTLANDS LÄN</t>
        </is>
      </c>
      <c r="G818" t="inlineStr">
        <is>
          <t>FINSPÅNG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53610-2022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44879</v>
      </c>
      <c r="E819" s="1" t="n">
        <v>46319</v>
      </c>
      <c r="F819" t="inlineStr">
        <is>
          <t>ÖSTERGÖTLANDS LÄN</t>
        </is>
      </c>
      <c r="G819" t="inlineStr">
        <is>
          <t>FINSPÅNG</t>
        </is>
      </c>
      <c r="I819" t="n">
        <v>2.2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51610-2022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44871</v>
      </c>
      <c r="E820" s="1" t="n">
        <v>46319</v>
      </c>
      <c r="F820" t="inlineStr">
        <is>
          <t>ÖSTERGÖTLANDS LÄN</t>
        </is>
      </c>
      <c r="G820" t="inlineStr">
        <is>
          <t>FINSPÅNG</t>
        </is>
      </c>
      <c r="I820" t="n">
        <v>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68122-2021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44526</v>
      </c>
      <c r="E821" s="1" t="n">
        <v>46319</v>
      </c>
      <c r="F821" t="inlineStr">
        <is>
          <t>ÖSTERGÖTLANDS LÄN</t>
        </is>
      </c>
      <c r="G821" t="inlineStr">
        <is>
          <t>FINSPÅNG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61012-2022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44914</v>
      </c>
      <c r="E822" s="1" t="n">
        <v>46319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45548</v>
      </c>
      <c r="E823" s="1" t="n">
        <v>46319</v>
      </c>
      <c r="F823" t="inlineStr">
        <is>
          <t>ÖSTERGÖTLANDS LÄN</t>
        </is>
      </c>
      <c r="G823" t="inlineStr">
        <is>
          <t>FINSPÅNG</t>
        </is>
      </c>
      <c r="I823" t="n">
        <v>9.699999999999999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18488-2025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45763</v>
      </c>
      <c r="E824" s="1" t="n">
        <v>46319</v>
      </c>
      <c r="F824" t="inlineStr">
        <is>
          <t>ÖSTERGÖTLANDS LÄN</t>
        </is>
      </c>
      <c r="G824" t="inlineStr">
        <is>
          <t>FINSPÅNG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62421-2021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44503</v>
      </c>
      <c r="E825" s="1" t="n">
        <v>46319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59062-2024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45636</v>
      </c>
      <c r="E826" s="1" t="n">
        <v>46319</v>
      </c>
      <c r="F826" t="inlineStr">
        <is>
          <t>ÖSTERGÖTLANDS LÄN</t>
        </is>
      </c>
      <c r="G826" t="inlineStr">
        <is>
          <t>FINSPÅNG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7445-2022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44607</v>
      </c>
      <c r="E827" s="1" t="n">
        <v>46319</v>
      </c>
      <c r="F827" t="inlineStr">
        <is>
          <t>ÖSTERGÖTLANDS LÄN</t>
        </is>
      </c>
      <c r="G827" t="inlineStr">
        <is>
          <t>FINSPÅNG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4280-2023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44953</v>
      </c>
      <c r="E828" s="1" t="n">
        <v>46319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39356-2022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44817</v>
      </c>
      <c r="E829" s="1" t="n">
        <v>46319</v>
      </c>
      <c r="F829" t="inlineStr">
        <is>
          <t>ÖSTERGÖTLANDS LÄN</t>
        </is>
      </c>
      <c r="G829" t="inlineStr">
        <is>
          <t>FINSPÅNG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34001-2024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45523</v>
      </c>
      <c r="E830" s="1" t="n">
        <v>46319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0.3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50811-2022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44867</v>
      </c>
      <c r="E831" s="1" t="n">
        <v>46319</v>
      </c>
      <c r="F831" t="inlineStr">
        <is>
          <t>ÖSTERGÖTLANDS LÄN</t>
        </is>
      </c>
      <c r="G831" t="inlineStr">
        <is>
          <t>FINSPÅNG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25356-2022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44732</v>
      </c>
      <c r="E832" s="1" t="n">
        <v>46319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3776-2023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44949</v>
      </c>
      <c r="E833" s="1" t="n">
        <v>46319</v>
      </c>
      <c r="F833" t="inlineStr">
        <is>
          <t>ÖSTERGÖTLANDS LÄN</t>
        </is>
      </c>
      <c r="G833" t="inlineStr">
        <is>
          <t>FINSPÅNG</t>
        </is>
      </c>
      <c r="I833" t="n">
        <v>2.1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3415-2023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44949</v>
      </c>
      <c r="E834" s="1" t="n">
        <v>46319</v>
      </c>
      <c r="F834" t="inlineStr">
        <is>
          <t>ÖSTERGÖTLANDS LÄN</t>
        </is>
      </c>
      <c r="G834" t="inlineStr">
        <is>
          <t>FINSPÅNG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3436-2023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44949</v>
      </c>
      <c r="E835" s="1" t="n">
        <v>46319</v>
      </c>
      <c r="F835" t="inlineStr">
        <is>
          <t>ÖSTERGÖTLANDS LÄN</t>
        </is>
      </c>
      <c r="G835" t="inlineStr">
        <is>
          <t>FINSPÅNG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5656-2023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44960</v>
      </c>
      <c r="E836" s="1" t="n">
        <v>46319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6733-2023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44966</v>
      </c>
      <c r="E837" s="1" t="n">
        <v>46319</v>
      </c>
      <c r="F837" t="inlineStr">
        <is>
          <t>ÖSTERGÖTLANDS LÄN</t>
        </is>
      </c>
      <c r="G837" t="inlineStr">
        <is>
          <t>FINSPÅNG</t>
        </is>
      </c>
      <c r="I837" t="n">
        <v>8.5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5129-2024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45644</v>
      </c>
      <c r="E838" s="1" t="n">
        <v>46319</v>
      </c>
      <c r="F838" t="inlineStr">
        <is>
          <t>ÖSTERGÖTLANDS LÄN</t>
        </is>
      </c>
      <c r="G838" t="inlineStr">
        <is>
          <t>FINSPÅNG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1605-2024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45428</v>
      </c>
      <c r="E839" s="1" t="n">
        <v>46319</v>
      </c>
      <c r="F839" t="inlineStr">
        <is>
          <t>ÖSTERGÖTLANDS LÄN</t>
        </is>
      </c>
      <c r="G839" t="inlineStr">
        <is>
          <t>FINSPÅNG</t>
        </is>
      </c>
      <c r="I839" t="n">
        <v>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1637-2024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45429</v>
      </c>
      <c r="E840" s="1" t="n">
        <v>46319</v>
      </c>
      <c r="F840" t="inlineStr">
        <is>
          <t>ÖSTERGÖTLANDS LÄN</t>
        </is>
      </c>
      <c r="G840" t="inlineStr">
        <is>
          <t>FINSPÅNG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4163-2023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45250</v>
      </c>
      <c r="E841" s="1" t="n">
        <v>46319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Sveaskog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1759-2026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46188</v>
      </c>
      <c r="E842" s="1" t="n">
        <v>46319</v>
      </c>
      <c r="F842" t="inlineStr">
        <is>
          <t>ÖSTERGÖTLANDS LÄN</t>
        </is>
      </c>
      <c r="G842" t="inlineStr">
        <is>
          <t>FINSPÅNG</t>
        </is>
      </c>
      <c r="H842" t="inlineStr">
        <is>
          <t>Övriga Aktiebolag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2208-2026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46258</v>
      </c>
      <c r="E843" s="1" t="n">
        <v>46319</v>
      </c>
      <c r="F843" t="inlineStr">
        <is>
          <t>ÖSTERGÖTLANDS LÄN</t>
        </is>
      </c>
      <c r="G843" t="inlineStr">
        <is>
          <t>FINSPÅNG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2026-10-24T02:01:28Z</dcterms:created>
  <dcterms:modified xmlns:dcterms="http://purl.org/dc/terms/" xmlns:xsi="http://www.w3.org/2001/XMLSchema-instance" xsi:type="dcterms:W3CDTF">2026-10-24T02:01:29Z</dcterms:modified>
</cp:coreProperties>
</file>