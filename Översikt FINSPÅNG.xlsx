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45744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45744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45744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45744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45744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45744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45744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45744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45744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45744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45744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45744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45744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45744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45744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45744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45744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45744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45744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45744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45744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45744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45744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HYPERLINK("https://klasma.github.io/Logging_0562/artfynd/A 10960-2025 artfynd.xlsx", "A 10960-2025")</f>
        <v/>
      </c>
      <c r="T25">
        <f>HYPERLINK("https://klasma.github.io/Logging_0562/kartor/A 10960-2025 karta.png", "A 10960-2025")</f>
        <v/>
      </c>
      <c r="V25">
        <f>HYPERLINK("https://klasma.github.io/Logging_0562/klagomål/A 10960-2025 FSC-klagomål.docx", "A 10960-2025")</f>
        <v/>
      </c>
      <c r="W25">
        <f>HYPERLINK("https://klasma.github.io/Logging_0562/klagomålsmail/A 10960-2025 FSC-klagomål mail.docx", "A 10960-2025")</f>
        <v/>
      </c>
      <c r="X25">
        <f>HYPERLINK("https://klasma.github.io/Logging_0562/tillsyn/A 10960-2025 tillsynsbegäran.docx", "A 10960-2025")</f>
        <v/>
      </c>
      <c r="Y25">
        <f>HYPERLINK("https://klasma.github.io/Logging_0562/tillsynsmail/A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45744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45744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45744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45744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45744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45744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45744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45744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HYPERLINK("https://klasma.github.io/Logging_0562/artfynd/A 11050-2025 artfynd.xlsx", "A 11050-2025")</f>
        <v/>
      </c>
      <c r="T33">
        <f>HYPERLINK("https://klasma.github.io/Logging_0562/kartor/A 11050-2025 karta.png", "A 11050-2025")</f>
        <v/>
      </c>
      <c r="V33">
        <f>HYPERLINK("https://klasma.github.io/Logging_0562/klagomål/A 11050-2025 FSC-klagomål.docx", "A 11050-2025")</f>
        <v/>
      </c>
      <c r="W33">
        <f>HYPERLINK("https://klasma.github.io/Logging_0562/klagomålsmail/A 11050-2025 FSC-klagomål mail.docx", "A 11050-2025")</f>
        <v/>
      </c>
      <c r="X33">
        <f>HYPERLINK("https://klasma.github.io/Logging_0562/tillsyn/A 11050-2025 tillsynsbegäran.docx", "A 11050-2025")</f>
        <v/>
      </c>
      <c r="Y33">
        <f>HYPERLINK("https://klasma.github.io/Logging_0562/tillsynsmail/A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45744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45744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45744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45744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45744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45744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45744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45744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45744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45744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45744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45744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45744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45744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45744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45744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45744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45744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45744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45744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45744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45744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45744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45744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45744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45744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45744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45744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45744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45744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45744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45744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45744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45744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45744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45744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45744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45744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45744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45744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45744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45744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45744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45744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45744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45744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45744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45744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45744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45744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45744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45744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45744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45744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45744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45744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45744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45744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45744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45744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45744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45744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45744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45744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45744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45744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45744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45744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45744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45744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45744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45744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45744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45744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45744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45744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45744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45744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45744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45744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45744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10083-2025 artfynd.xlsx", "A 10083-2025")</f>
        <v/>
      </c>
      <c r="T114">
        <f>HYPERLINK("https://klasma.github.io/Logging_0562/kartor/A 10083-2025 karta.png", "A 10083-2025")</f>
        <v/>
      </c>
      <c r="V114">
        <f>HYPERLINK("https://klasma.github.io/Logging_0562/klagomål/A 10083-2025 FSC-klagomål.docx", "A 10083-2025")</f>
        <v/>
      </c>
      <c r="W114">
        <f>HYPERLINK("https://klasma.github.io/Logging_0562/klagomålsmail/A 10083-2025 FSC-klagomål mail.docx", "A 10083-2025")</f>
        <v/>
      </c>
      <c r="X114">
        <f>HYPERLINK("https://klasma.github.io/Logging_0562/tillsyn/A 10083-2025 tillsynsbegäran.docx", "A 10083-2025")</f>
        <v/>
      </c>
      <c r="Y114">
        <f>HYPERLINK("https://klasma.github.io/Logging_0562/tillsynsmail/A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45744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HYPERLINK("https://klasma.github.io/Logging_0562/artfynd/A 11118-2025 artfynd.xlsx", "A 11118-2025")</f>
        <v/>
      </c>
      <c r="T115">
        <f>HYPERLINK("https://klasma.github.io/Logging_0562/kartor/A 11118-2025 karta.png", "A 11118-2025")</f>
        <v/>
      </c>
      <c r="V115">
        <f>HYPERLINK("https://klasma.github.io/Logging_0562/klagomål/A 11118-2025 FSC-klagomål.docx", "A 11118-2025")</f>
        <v/>
      </c>
      <c r="W115">
        <f>HYPERLINK("https://klasma.github.io/Logging_0562/klagomålsmail/A 11118-2025 FSC-klagomål mail.docx", "A 11118-2025")</f>
        <v/>
      </c>
      <c r="X115">
        <f>HYPERLINK("https://klasma.github.io/Logging_0562/tillsyn/A 11118-2025 tillsynsbegäran.docx", "A 11118-2025")</f>
        <v/>
      </c>
      <c r="Y115">
        <f>HYPERLINK("https://klasma.github.io/Logging_0562/tillsynsmail/A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45744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HYPERLINK("https://klasma.github.io/Logging_0562/artfynd/A 12823-2025 artfynd.xlsx", "A 12823-2025")</f>
        <v/>
      </c>
      <c r="T116">
        <f>HYPERLINK("https://klasma.github.io/Logging_0562/kartor/A 12823-2025 karta.png", "A 12823-2025")</f>
        <v/>
      </c>
      <c r="V116">
        <f>HYPERLINK("https://klasma.github.io/Logging_0562/klagomål/A 12823-2025 FSC-klagomål.docx", "A 12823-2025")</f>
        <v/>
      </c>
      <c r="W116">
        <f>HYPERLINK("https://klasma.github.io/Logging_0562/klagomålsmail/A 12823-2025 FSC-klagomål mail.docx", "A 12823-2025")</f>
        <v/>
      </c>
      <c r="X116">
        <f>HYPERLINK("https://klasma.github.io/Logging_0562/tillsyn/A 12823-2025 tillsynsbegäran.docx", "A 12823-2025")</f>
        <v/>
      </c>
      <c r="Y116">
        <f>HYPERLINK("https://klasma.github.io/Logging_0562/tillsynsmail/A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45744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45744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45744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45744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45744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45744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45744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45744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45744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45744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45744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45744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45744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45744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45744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45744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45744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45744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45744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45744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45744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45744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45744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45744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45744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45744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45744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45744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45744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45744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45744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45744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45744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45744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45744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45744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45744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45744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45744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45744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45744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45744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45744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45744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45744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45744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45744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45744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45744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45744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45744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45744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45744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45744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45744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45744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45744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45744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45744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45744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45744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45744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45744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45744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45744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45744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45744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45744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45744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45744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45744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45744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45744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45744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45744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45744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45744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45744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45744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45744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45744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45744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45744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45744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45744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45744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45744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45744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45744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45744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45744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45744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45744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45744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45744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45744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45744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45744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45744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45744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45744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45744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45744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45744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45744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45744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45744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45744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45744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45744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45744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45744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45744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45744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45744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45744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45744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45744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45744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45744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45744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45744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45744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45744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45744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45744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45744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45744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45744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45744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45744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45744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45744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45744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45744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45744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45744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45744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45744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45744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45744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45744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45744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45744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45744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45744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45744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45744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45744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45744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45744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45744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45744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45744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45744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45744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45744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45744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45744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45744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45744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45744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45744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45744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45744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45744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45744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45744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45744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45744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45744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45744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45744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45744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45744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45744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45744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45744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45744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45744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45744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45744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45744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45744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45744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45744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45744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45744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45744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45744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45744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45744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45744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45744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45744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45744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45744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45744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45744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45744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45744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45744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45744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45744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45744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45744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45744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45744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45744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45744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45744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45744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45744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45744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45744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45744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45744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45744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45744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45744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45744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45744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45744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45744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45744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45744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45744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45744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45744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45744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45744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45744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45744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45744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45744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45744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45744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45744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45744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45744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45744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45744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45744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45744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45744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45744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45744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45744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45744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45744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45744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45744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45744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45744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45744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45744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45744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45744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45744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45744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45744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45744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45744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45744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45744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45744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45744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45744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45744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45744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45744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45744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45744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45744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45744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45744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45744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45744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45744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45744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45744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45744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45744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45744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45744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45744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45744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45744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45744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45744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45744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45744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45744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45744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45744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45744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45744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45744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45744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45744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45744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45744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45744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45744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45744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45744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45744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45744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45744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45744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45744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45744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45744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45744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45744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45744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45744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45744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45744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45744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45744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45744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45744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45744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45744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45744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45744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45744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45744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45744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45744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45744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45744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45744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45744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45744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45744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45744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45744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45744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45744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45744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45744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45744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45744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45744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45744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45744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45744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45744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45744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45744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45744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45744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45744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45744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45744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45744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45744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45744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45744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45744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45744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45744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45744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45744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45744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45744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45744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45744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45744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45744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45744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45744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45744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45744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45744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45744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45744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45744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45744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45744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45744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45744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45744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45744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45744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45744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45744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45744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45744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45744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45744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45744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45744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45744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45744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45744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45744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45744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45744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45744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45744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45744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45744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45744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45744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45744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45744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45744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45744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45744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45744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45744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45744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45744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45744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45744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45744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45744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45744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45744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45744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45744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45744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45744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45744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45744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45744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45744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45744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45744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45744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45744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45744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45744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45744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45744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45744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45744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45744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45744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45744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45744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45744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45744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45744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45744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45744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45744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45744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45744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45744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45744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45744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45744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45744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45744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45744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45744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45744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45744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45744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45744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45744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45744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45744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45744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45744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45744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45744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45744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45744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45744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45744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45744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45744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45744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45744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45744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45744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45744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45744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45744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45744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45744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45744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45744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45744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45744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45744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45744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45744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45744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45744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45744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45744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45744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45744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45744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45744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45744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45744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45744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45744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45744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45744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45744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45744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45744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45744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45744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45744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45744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45744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45744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45744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45744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45744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45744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45744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45744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45744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45744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45744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45744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45744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45744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45744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45744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45744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45744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45744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45744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45744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45744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45744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45744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45744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45744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45744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45744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45744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45744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45744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45744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45744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45744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45744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45744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45744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45744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45744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45744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45744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45744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45744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45744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45744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45744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45744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45744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45744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45744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45744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45744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45744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45744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45744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45744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45744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45744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45744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45744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45744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45744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45744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45744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45744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45744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45744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45744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45744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45744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45744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45744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45744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45744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45744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45744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45744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45744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45744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45744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45744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45744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45744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45744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45744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45744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45744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45744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45744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45744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45744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45744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45744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45744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45744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45744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45744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45744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45744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45744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45744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45744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45744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45744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45744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45744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45744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45744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45744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45744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45744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45744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45744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45744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45744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45744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45744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45744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45744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45744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45744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45744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45744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45744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45744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45744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45744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45744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45744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45744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45744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45744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45744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45744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45744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45744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45744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45744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45744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45744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45744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45744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45744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45744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45744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45744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45744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45744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45744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45744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45744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45744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45744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45744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45744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45744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45744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45744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45744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45744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45744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45744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45744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45744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45744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45744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45744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45744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45744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45744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45744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45744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45744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45744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45744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45744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45744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45744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45744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45744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45744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45744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45744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45744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45744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45744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45744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45744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45744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45744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45744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45744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45744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45744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45744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45744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45744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45744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45744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45744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45744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45744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45744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45744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45744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45744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45744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45744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45744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45744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45744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45744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45744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45744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45744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45744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45744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45744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45744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45744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45744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45744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45744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45744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45744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45744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45744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45744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45744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45744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45744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45744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45744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45744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45744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45744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45744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45744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45744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45744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45744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45744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45744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45744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45744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45744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45744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45744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45744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45744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45744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45744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45744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45744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45744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45744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45744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45744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45744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45744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45744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45744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45744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45744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45744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45744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45744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45744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45744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45744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45744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45744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45744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45744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45744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45744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45744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45744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45744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45744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45744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45744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45744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45744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45744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45744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45744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45744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45744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45744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45744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45744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45744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45744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45744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45744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45744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45744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45744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45744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45744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45744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45744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45744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45744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45744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45744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45744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45744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45744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45744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45744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45744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45744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45744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45744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45744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45744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45744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45744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45744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45744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45744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45744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45744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45744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45744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45744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45744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45744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45744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45744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45744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45744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45744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45744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45744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45744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45744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45744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45744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45744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45744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45744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45744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45744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45744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45744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45744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45744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45744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45744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45744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45744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45744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45744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45744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45744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45744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45744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45744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45744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45744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45744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45744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45744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45744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45744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45744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45744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45744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45744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45744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45744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45744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45744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45744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45744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45744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45744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45744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45744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45744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45744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45744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45744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45744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45744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45744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45744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45744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45744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45744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45744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45744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45744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45744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45744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45744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45744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45744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45744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45744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45744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45744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45744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45744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45744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45744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45744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45744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45744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45744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45744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45744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45744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45744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45744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45744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45744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45744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45744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45744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45744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45744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45744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45744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45744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45744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45744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45744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45744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45744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45744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45744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45744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45744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45744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45744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45744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45744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45744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45744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45744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45744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45744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45744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45744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45744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45744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45744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45744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45744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45744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45744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45744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45744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45744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45744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45744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45744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45744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45744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45744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45744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45744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45744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45744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45744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45744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45744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45744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45744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45744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45744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45744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45744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45744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45744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45744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45744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45744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45744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45744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45744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45744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45744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45744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45744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45744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45744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45744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45744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45744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45744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45744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45744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45744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45744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45744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45744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45744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45744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45744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45744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45744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45744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45744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45744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45744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45744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45744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45744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45744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45744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45744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45744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45744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45744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45744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45744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45744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45744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45744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45744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45744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45744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45744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45744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45744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45744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45744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45744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45744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45744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45744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45744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45744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45744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45744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45744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45744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45744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45744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45744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45744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45744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45744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45744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45744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45744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45744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45744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45744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45744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45744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45744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45744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45744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45744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45744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45744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45744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45744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45744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45744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45744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45744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45744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45744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45744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45744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45744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45744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45744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45744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45744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45744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45744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45744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45744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45744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45744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45744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45744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45744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45744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45744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45744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45744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45744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45744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45744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45744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45744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45744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45744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45744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45744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45744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45744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45744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45744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45744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45744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45744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45744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45744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45744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45744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45744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45744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45744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45744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45744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45744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45744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45744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45744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45744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45744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45744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45744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45744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45744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45744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45744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45744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45744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45744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45744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45744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45744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45744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45744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45744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45744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45744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45744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45744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45744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45744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45744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45744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45744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45744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45744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45744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45744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45744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45744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45744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45744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45744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45744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45744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45744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45744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45744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45744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45744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45744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45744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45744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45744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45744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45744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45744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45744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45744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45744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45744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45744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45744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45744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45744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45744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45744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45744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45744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45744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45744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45744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45744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45744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45744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45744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45744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45744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45744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45744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45744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45744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45744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45744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45744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45744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45744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45744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45744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45744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45744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45744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45744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45744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45744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45744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45744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45744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45744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45744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45744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45744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45744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45744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45744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45744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45744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45744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45744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45744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45744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45744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45744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45744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45744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45744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45744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45744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45744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45744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45744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45744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45744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45744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45744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45744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45744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45744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45744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45744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45744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45744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45744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45744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45744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45744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45744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45744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45744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45744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45744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45744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45744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45744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45744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45744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45744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45744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45744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45744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45744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45744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45744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45744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45744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45744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45744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45744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45744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45744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45744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45744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45744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45744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45744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45744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45744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45744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45744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45744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45744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45744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45744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45744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45744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45744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45744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45744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45744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45744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45744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45744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45744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45744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45744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45744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45744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45744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45744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45744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45744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45744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45744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45744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45744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45744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45744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45744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45744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45744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45744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45744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45744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45744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45744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45744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45744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45744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45744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45744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45744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45744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45744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45744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45744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45744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45744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45744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45744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45744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45744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45744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45744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45744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45744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45744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45744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45744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45744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45744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45744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45744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45744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45744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45744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45744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45744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45744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45744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45744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45744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45744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45744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45744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45744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45744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45744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45744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45744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45744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45744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45744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45744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45744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45744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45744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45744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45744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45744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45744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45744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45744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45744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45744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45744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45744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45744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45744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45744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45744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45744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45744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45744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45744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45744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45744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45744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45744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45744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45744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45744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45744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45744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45744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45744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45744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45744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45744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45744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45744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45744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45744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45744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45744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45744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45744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45744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45744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45744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45744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45744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45744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45744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45744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45744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45744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45744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45744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45744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45744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45744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45744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45744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45744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45744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45744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45744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45744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45744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45744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45744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45744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45744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45744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45744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45744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45744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45744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45744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45744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45744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45744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45744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45744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45744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45744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45744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45744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45744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45744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45744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45744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45744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45744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45744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45744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45744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45744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45744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45744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45744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45744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45744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45744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45744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45744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45744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45744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45744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45744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45744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45744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45744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45744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45744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45744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45744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45744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45744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45744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45744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45744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45744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45744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45744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45744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45744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45744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45744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45744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45744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45744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45744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45744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45744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45744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45744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45744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45744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45744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45744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45744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45744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45744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45744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45744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45744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45744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45744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45744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45744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45744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45744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45744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45744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45744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45744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45744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45744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45744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45744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45744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45744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45744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45744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45744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45744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45744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45744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45744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45744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45744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45744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45744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45744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45744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45744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45744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45744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45744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45744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45744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45744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45744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45744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45744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45744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45744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45744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45744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45744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45744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45744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45744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45744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45744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45744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45744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45744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45744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45744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45744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45744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45744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45744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45744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45744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45744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45744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45744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45744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45744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45744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45744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45744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45744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45744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45744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45744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45744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45744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45744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45744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45744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45744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45744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45744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9634-2025</t>
        </is>
      </c>
      <c r="B1719" s="1" t="n">
        <v>45715</v>
      </c>
      <c r="C1719" s="1" t="n">
        <v>45744</v>
      </c>
      <c r="D1719" t="inlineStr">
        <is>
          <t>ÖSTERGÖTLANDS LÄN</t>
        </is>
      </c>
      <c r="E1719" t="inlineStr">
        <is>
          <t>FINSPÅNG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45744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45744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45744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10031-2025</t>
        </is>
      </c>
      <c r="B1723" s="1" t="n">
        <v>45719</v>
      </c>
      <c r="C1723" s="1" t="n">
        <v>45744</v>
      </c>
      <c r="D1723" t="inlineStr">
        <is>
          <t>ÖSTERGÖTLANDS LÄN</t>
        </is>
      </c>
      <c r="E1723" t="inlineStr">
        <is>
          <t>FINSPÅNG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45744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45744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45744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45744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45744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45744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45744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45744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45744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11839-2025</t>
        </is>
      </c>
      <c r="B1733" s="1" t="n">
        <v>45728</v>
      </c>
      <c r="C1733" s="1" t="n">
        <v>45744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45744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45744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13355-2025</t>
        </is>
      </c>
      <c r="B1736" s="1" t="n">
        <v>45735</v>
      </c>
      <c r="C1736" s="1" t="n">
        <v>45744</v>
      </c>
      <c r="D1736" t="inlineStr">
        <is>
          <t>ÖSTERGÖTLANDS LÄN</t>
        </is>
      </c>
      <c r="E1736" t="inlineStr">
        <is>
          <t>FINSPÅNG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13140-2025</t>
        </is>
      </c>
      <c r="B1737" s="1" t="n">
        <v>45735</v>
      </c>
      <c r="C1737" s="1" t="n">
        <v>45744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13375-2025</t>
        </is>
      </c>
      <c r="B1738" s="1" t="n">
        <v>45735</v>
      </c>
      <c r="C1738" s="1" t="n">
        <v>45744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13332-2025</t>
        </is>
      </c>
      <c r="B1739" s="1" t="n">
        <v>45735</v>
      </c>
      <c r="C1739" s="1" t="n">
        <v>45744</v>
      </c>
      <c r="D1739" t="inlineStr">
        <is>
          <t>ÖSTERGÖTLANDS LÄN</t>
        </is>
      </c>
      <c r="E1739" t="inlineStr">
        <is>
          <t>FINSPÅNG</t>
        </is>
      </c>
      <c r="G1739" t="n">
        <v>7.7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13392-2025</t>
        </is>
      </c>
      <c r="B1740" s="1" t="n">
        <v>45735</v>
      </c>
      <c r="C1740" s="1" t="n">
        <v>45744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13138-2025</t>
        </is>
      </c>
      <c r="B1741" s="1" t="n">
        <v>45735</v>
      </c>
      <c r="C1741" s="1" t="n">
        <v>45744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13378-2025</t>
        </is>
      </c>
      <c r="B1742" s="1" t="n">
        <v>45735</v>
      </c>
      <c r="C1742" s="1" t="n">
        <v>45744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45744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13886-2025</t>
        </is>
      </c>
      <c r="B1744" s="1" t="n">
        <v>45737</v>
      </c>
      <c r="C1744" s="1" t="n">
        <v>45744</v>
      </c>
      <c r="D1744" t="inlineStr">
        <is>
          <t>ÖSTERGÖTLANDS LÄN</t>
        </is>
      </c>
      <c r="E1744" t="inlineStr">
        <is>
          <t>FINSPÅNG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45744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45744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14028-2025</t>
        </is>
      </c>
      <c r="B1747" s="1" t="n">
        <v>45740</v>
      </c>
      <c r="C1747" s="1" t="n">
        <v>45744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14142-2025</t>
        </is>
      </c>
      <c r="B1748" s="1" t="n">
        <v>45740</v>
      </c>
      <c r="C1748" s="1" t="n">
        <v>45744</v>
      </c>
      <c r="D1748" t="inlineStr">
        <is>
          <t>ÖSTERGÖTLANDS LÄN</t>
        </is>
      </c>
      <c r="E1748" t="inlineStr">
        <is>
          <t>FINSPÅNG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45744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45744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14140-2025</t>
        </is>
      </c>
      <c r="B1751" s="1" t="n">
        <v>45740</v>
      </c>
      <c r="C1751" s="1" t="n">
        <v>45744</v>
      </c>
      <c r="D1751" t="inlineStr">
        <is>
          <t>ÖSTERGÖTLANDS LÄN</t>
        </is>
      </c>
      <c r="E1751" t="inlineStr">
        <is>
          <t>FINSPÅNG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14194-2025</t>
        </is>
      </c>
      <c r="B1752" s="1" t="n">
        <v>45740</v>
      </c>
      <c r="C1752" s="1" t="n">
        <v>45744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10.1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2025-03-28T18:30:17Z</dcterms:created>
  <dcterms:modified xmlns:dcterms="http://purl.org/dc/terms/" xmlns:xsi="http://www.w3.org/2001/XMLSchema-instance" xsi:type="dcterms:W3CDTF">2025-03-28T18:30:18Z</dcterms:modified>
</cp:coreProperties>
</file>