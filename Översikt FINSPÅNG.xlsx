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45741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45741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11050-2025</t>
        </is>
      </c>
      <c r="B32" s="1" t="n">
        <v>45723</v>
      </c>
      <c r="C32" s="1" t="n">
        <v>45741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Trubbdaggkåpa
Guldsandbi
Grönpyrola</t>
        </is>
      </c>
      <c r="S32">
        <f>HYPERLINK("https://klasma.github.io/Logging_0562/artfynd/A 11050-2025 artfynd.xlsx", "A 11050-2025")</f>
        <v/>
      </c>
      <c r="T32">
        <f>HYPERLINK("https://klasma.github.io/Logging_0562/kartor/A 11050-2025 karta.png", "A 11050-2025")</f>
        <v/>
      </c>
      <c r="V32">
        <f>HYPERLINK("https://klasma.github.io/Logging_0562/klagomål/A 11050-2025 FSC-klagomål.docx", "A 11050-2025")</f>
        <v/>
      </c>
      <c r="W32">
        <f>HYPERLINK("https://klasma.github.io/Logging_0562/klagomålsmail/A 11050-2025 FSC-klagomål mail.docx", "A 11050-2025")</f>
        <v/>
      </c>
      <c r="X32">
        <f>HYPERLINK("https://klasma.github.io/Logging_0562/tillsyn/A 11050-2025 tillsynsbegäran.docx", "A 11050-2025")</f>
        <v/>
      </c>
      <c r="Y32">
        <f>HYPERLINK("https://klasma.github.io/Logging_0562/tillsynsmail/A 11050-2025 tillsynsbegäran mail.docx", "A 11050-2025")</f>
        <v/>
      </c>
    </row>
    <row r="33" ht="15" customHeight="1">
      <c r="A33" t="inlineStr">
        <is>
          <t>A 42654-2019</t>
        </is>
      </c>
      <c r="B33" s="1" t="n">
        <v>43704</v>
      </c>
      <c r="C33" s="1" t="n">
        <v>45741</v>
      </c>
      <c r="D33" t="inlineStr">
        <is>
          <t>ÖSTERGÖTLANDS LÄN</t>
        </is>
      </c>
      <c r="E33" t="inlineStr">
        <is>
          <t>FINSPÅNG</t>
        </is>
      </c>
      <c r="G33" t="n">
        <v>3.2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Slåtterfibbla
Svinrot</t>
        </is>
      </c>
      <c r="S33">
        <f>HYPERLINK("https://klasma.github.io/Logging_0562/artfynd/A 42654-2019 artfynd.xlsx", "A 42654-2019")</f>
        <v/>
      </c>
      <c r="T33">
        <f>HYPERLINK("https://klasma.github.io/Logging_0562/kartor/A 42654-2019 karta.png", "A 42654-2019")</f>
        <v/>
      </c>
      <c r="V33">
        <f>HYPERLINK("https://klasma.github.io/Logging_0562/klagomål/A 42654-2019 FSC-klagomål.docx", "A 42654-2019")</f>
        <v/>
      </c>
      <c r="W33">
        <f>HYPERLINK("https://klasma.github.io/Logging_0562/klagomålsmail/A 42654-2019 FSC-klagomål mail.docx", "A 42654-2019")</f>
        <v/>
      </c>
      <c r="X33">
        <f>HYPERLINK("https://klasma.github.io/Logging_0562/tillsyn/A 42654-2019 tillsynsbegäran.docx", "A 42654-2019")</f>
        <v/>
      </c>
      <c r="Y33">
        <f>HYPERLINK("https://klasma.github.io/Logging_0562/tillsynsmail/A 42654-2019 tillsynsbegäran mail.docx", "A 42654-2019")</f>
        <v/>
      </c>
    </row>
    <row r="34" ht="15" customHeight="1">
      <c r="A34" t="inlineStr">
        <is>
          <t>A 46200-2019</t>
        </is>
      </c>
      <c r="B34" s="1" t="n">
        <v>43713</v>
      </c>
      <c r="C34" s="1" t="n">
        <v>45741</v>
      </c>
      <c r="D34" t="inlineStr">
        <is>
          <t>ÖSTERGÖTLANDS LÄN</t>
        </is>
      </c>
      <c r="E34" t="inlineStr">
        <is>
          <t>FINSPÅNG</t>
        </is>
      </c>
      <c r="G34" t="n">
        <v>15.4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Mattlummer</t>
        </is>
      </c>
      <c r="S34">
        <f>HYPERLINK("https://klasma.github.io/Logging_0562/artfynd/A 46200-2019 artfynd.xlsx", "A 46200-2019")</f>
        <v/>
      </c>
      <c r="T34">
        <f>HYPERLINK("https://klasma.github.io/Logging_0562/kartor/A 46200-2019 karta.png", "A 46200-2019")</f>
        <v/>
      </c>
      <c r="V34">
        <f>HYPERLINK("https://klasma.github.io/Logging_0562/klagomål/A 46200-2019 FSC-klagomål.docx", "A 46200-2019")</f>
        <v/>
      </c>
      <c r="W34">
        <f>HYPERLINK("https://klasma.github.io/Logging_0562/klagomålsmail/A 46200-2019 FSC-klagomål mail.docx", "A 46200-2019")</f>
        <v/>
      </c>
      <c r="X34">
        <f>HYPERLINK("https://klasma.github.io/Logging_0562/tillsyn/A 46200-2019 tillsynsbegäran.docx", "A 46200-2019")</f>
        <v/>
      </c>
      <c r="Y34">
        <f>HYPERLINK("https://klasma.github.io/Logging_0562/tillsynsmail/A 46200-2019 tillsynsbegäran mail.docx", "A 46200-2019")</f>
        <v/>
      </c>
    </row>
    <row r="35" ht="15" customHeight="1">
      <c r="A35" t="inlineStr">
        <is>
          <t>A 6775-2020</t>
        </is>
      </c>
      <c r="B35" s="1" t="n">
        <v>43867</v>
      </c>
      <c r="C35" s="1" t="n">
        <v>45741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10.8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Granspira
Blomkålssvamp</t>
        </is>
      </c>
      <c r="S35">
        <f>HYPERLINK("https://klasma.github.io/Logging_0562/artfynd/A 6775-2020 artfynd.xlsx", "A 6775-2020")</f>
        <v/>
      </c>
      <c r="T35">
        <f>HYPERLINK("https://klasma.github.io/Logging_0562/kartor/A 6775-2020 karta.png", "A 6775-2020")</f>
        <v/>
      </c>
      <c r="V35">
        <f>HYPERLINK("https://klasma.github.io/Logging_0562/klagomål/A 6775-2020 FSC-klagomål.docx", "A 6775-2020")</f>
        <v/>
      </c>
      <c r="W35">
        <f>HYPERLINK("https://klasma.github.io/Logging_0562/klagomålsmail/A 6775-2020 FSC-klagomål mail.docx", "A 6775-2020")</f>
        <v/>
      </c>
      <c r="X35">
        <f>HYPERLINK("https://klasma.github.io/Logging_0562/tillsyn/A 6775-2020 tillsynsbegäran.docx", "A 6775-2020")</f>
        <v/>
      </c>
      <c r="Y35">
        <f>HYPERLINK("https://klasma.github.io/Logging_0562/tillsynsmail/A 6775-2020 tillsynsbegäran mail.docx", "A 6775-2020")</f>
        <v/>
      </c>
    </row>
    <row r="36" ht="15" customHeight="1">
      <c r="A36" t="inlineStr">
        <is>
          <t>A 23893-2020</t>
        </is>
      </c>
      <c r="B36" s="1" t="n">
        <v>43971</v>
      </c>
      <c r="C36" s="1" t="n">
        <v>45741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Vedticka</t>
        </is>
      </c>
      <c r="S36">
        <f>HYPERLINK("https://klasma.github.io/Logging_0562/artfynd/A 23893-2020 artfynd.xlsx", "A 23893-2020")</f>
        <v/>
      </c>
      <c r="T36">
        <f>HYPERLINK("https://klasma.github.io/Logging_0562/kartor/A 23893-2020 karta.png", "A 23893-2020")</f>
        <v/>
      </c>
      <c r="V36">
        <f>HYPERLINK("https://klasma.github.io/Logging_0562/klagomål/A 23893-2020 FSC-klagomål.docx", "A 23893-2020")</f>
        <v/>
      </c>
      <c r="W36">
        <f>HYPERLINK("https://klasma.github.io/Logging_0562/klagomålsmail/A 23893-2020 FSC-klagomål mail.docx", "A 23893-2020")</f>
        <v/>
      </c>
      <c r="X36">
        <f>HYPERLINK("https://klasma.github.io/Logging_0562/tillsyn/A 23893-2020 tillsynsbegäran.docx", "A 23893-2020")</f>
        <v/>
      </c>
      <c r="Y36">
        <f>HYPERLINK("https://klasma.github.io/Logging_0562/tillsynsmail/A 23893-2020 tillsynsbegäran mail.docx", "A 23893-2020")</f>
        <v/>
      </c>
    </row>
    <row r="37" ht="15" customHeight="1">
      <c r="A37" t="inlineStr">
        <is>
          <t>A 18366-2021</t>
        </is>
      </c>
      <c r="B37" s="1" t="n">
        <v>44305</v>
      </c>
      <c r="C37" s="1" t="n">
        <v>45741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Nattviol</t>
        </is>
      </c>
      <c r="S37">
        <f>HYPERLINK("https://klasma.github.io/Logging_0562/artfynd/A 18366-2021 artfynd.xlsx", "A 18366-2021")</f>
        <v/>
      </c>
      <c r="T37">
        <f>HYPERLINK("https://klasma.github.io/Logging_0562/kartor/A 18366-2021 karta.png", "A 18366-2021")</f>
        <v/>
      </c>
      <c r="V37">
        <f>HYPERLINK("https://klasma.github.io/Logging_0562/klagomål/A 18366-2021 FSC-klagomål.docx", "A 18366-2021")</f>
        <v/>
      </c>
      <c r="W37">
        <f>HYPERLINK("https://klasma.github.io/Logging_0562/klagomålsmail/A 18366-2021 FSC-klagomål mail.docx", "A 18366-2021")</f>
        <v/>
      </c>
      <c r="X37">
        <f>HYPERLINK("https://klasma.github.io/Logging_0562/tillsyn/A 18366-2021 tillsynsbegäran.docx", "A 18366-2021")</f>
        <v/>
      </c>
      <c r="Y37">
        <f>HYPERLINK("https://klasma.github.io/Logging_0562/tillsynsmail/A 18366-2021 tillsynsbegäran mail.docx", "A 18366-2021")</f>
        <v/>
      </c>
    </row>
    <row r="38" ht="15" customHeight="1">
      <c r="A38" t="inlineStr">
        <is>
          <t>A 32026-2022</t>
        </is>
      </c>
      <c r="B38" s="1" t="n">
        <v>44778</v>
      </c>
      <c r="C38" s="1" t="n">
        <v>45741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Kådvaxskinn
Ullticka</t>
        </is>
      </c>
      <c r="S38">
        <f>HYPERLINK("https://klasma.github.io/Logging_0562/artfynd/A 32026-2022 artfynd.xlsx", "A 32026-2022")</f>
        <v/>
      </c>
      <c r="T38">
        <f>HYPERLINK("https://klasma.github.io/Logging_0562/kartor/A 32026-2022 karta.png", "A 32026-2022")</f>
        <v/>
      </c>
      <c r="V38">
        <f>HYPERLINK("https://klasma.github.io/Logging_0562/klagomål/A 32026-2022 FSC-klagomål.docx", "A 32026-2022")</f>
        <v/>
      </c>
      <c r="W38">
        <f>HYPERLINK("https://klasma.github.io/Logging_0562/klagomålsmail/A 32026-2022 FSC-klagomål mail.docx", "A 32026-2022")</f>
        <v/>
      </c>
      <c r="X38">
        <f>HYPERLINK("https://klasma.github.io/Logging_0562/tillsyn/A 32026-2022 tillsynsbegäran.docx", "A 32026-2022")</f>
        <v/>
      </c>
      <c r="Y38">
        <f>HYPERLINK("https://klasma.github.io/Logging_0562/tillsynsmail/A 32026-2022 tillsynsbegäran mail.docx", "A 32026-2022")</f>
        <v/>
      </c>
    </row>
    <row r="39" ht="15" customHeight="1">
      <c r="A39" t="inlineStr">
        <is>
          <t>A 34096-2022</t>
        </is>
      </c>
      <c r="B39" s="1" t="n">
        <v>44791</v>
      </c>
      <c r="C39" s="1" t="n">
        <v>45741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Jättemusseron
Tallticka</t>
        </is>
      </c>
      <c r="S39">
        <f>HYPERLINK("https://klasma.github.io/Logging_0562/artfynd/A 34096-2022 artfynd.xlsx", "A 34096-2022")</f>
        <v/>
      </c>
      <c r="T39">
        <f>HYPERLINK("https://klasma.github.io/Logging_0562/kartor/A 34096-2022 karta.png", "A 34096-2022")</f>
        <v/>
      </c>
      <c r="V39">
        <f>HYPERLINK("https://klasma.github.io/Logging_0562/klagomål/A 34096-2022 FSC-klagomål.docx", "A 34096-2022")</f>
        <v/>
      </c>
      <c r="W39">
        <f>HYPERLINK("https://klasma.github.io/Logging_0562/klagomålsmail/A 34096-2022 FSC-klagomål mail.docx", "A 34096-2022")</f>
        <v/>
      </c>
      <c r="X39">
        <f>HYPERLINK("https://klasma.github.io/Logging_0562/tillsyn/A 34096-2022 tillsynsbegäran.docx", "A 34096-2022")</f>
        <v/>
      </c>
      <c r="Y39">
        <f>HYPERLINK("https://klasma.github.io/Logging_0562/tillsynsmail/A 34096-2022 tillsynsbegäran mail.docx", "A 34096-2022")</f>
        <v/>
      </c>
    </row>
    <row r="40" ht="15" customHeight="1">
      <c r="A40" t="inlineStr">
        <is>
          <t>A 54954-2022</t>
        </is>
      </c>
      <c r="B40" s="1" t="n">
        <v>44881</v>
      </c>
      <c r="C40" s="1" t="n">
        <v>45741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5.4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Tallticka</t>
        </is>
      </c>
      <c r="S40">
        <f>HYPERLINK("https://klasma.github.io/Logging_0562/artfynd/A 54954-2022 artfynd.xlsx", "A 54954-2022")</f>
        <v/>
      </c>
      <c r="T40">
        <f>HYPERLINK("https://klasma.github.io/Logging_0562/kartor/A 54954-2022 karta.png", "A 54954-2022")</f>
        <v/>
      </c>
      <c r="V40">
        <f>HYPERLINK("https://klasma.github.io/Logging_0562/klagomål/A 54954-2022 FSC-klagomål.docx", "A 54954-2022")</f>
        <v/>
      </c>
      <c r="W40">
        <f>HYPERLINK("https://klasma.github.io/Logging_0562/klagomålsmail/A 54954-2022 FSC-klagomål mail.docx", "A 54954-2022")</f>
        <v/>
      </c>
      <c r="X40">
        <f>HYPERLINK("https://klasma.github.io/Logging_0562/tillsyn/A 54954-2022 tillsynsbegäran.docx", "A 54954-2022")</f>
        <v/>
      </c>
      <c r="Y40">
        <f>HYPERLINK("https://klasma.github.io/Logging_0562/tillsynsmail/A 54954-2022 tillsynsbegäran mail.docx", "A 54954-2022")</f>
        <v/>
      </c>
    </row>
    <row r="41" ht="15" customHeight="1">
      <c r="A41" t="inlineStr">
        <is>
          <t>A 9661-2023</t>
        </is>
      </c>
      <c r="B41" s="1" t="n">
        <v>44984</v>
      </c>
      <c r="C41" s="1" t="n">
        <v>45741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9.300000000000001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9661-2023 artfynd.xlsx", "A 9661-2023")</f>
        <v/>
      </c>
      <c r="T41">
        <f>HYPERLINK("https://klasma.github.io/Logging_0562/kartor/A 9661-2023 karta.png", "A 9661-2023")</f>
        <v/>
      </c>
      <c r="V41">
        <f>HYPERLINK("https://klasma.github.io/Logging_0562/klagomål/A 9661-2023 FSC-klagomål.docx", "A 9661-2023")</f>
        <v/>
      </c>
      <c r="W41">
        <f>HYPERLINK("https://klasma.github.io/Logging_0562/klagomålsmail/A 9661-2023 FSC-klagomål mail.docx", "A 9661-2023")</f>
        <v/>
      </c>
      <c r="X41">
        <f>HYPERLINK("https://klasma.github.io/Logging_0562/tillsyn/A 9661-2023 tillsynsbegäran.docx", "A 9661-2023")</f>
        <v/>
      </c>
      <c r="Y41">
        <f>HYPERLINK("https://klasma.github.io/Logging_0562/tillsynsmail/A 9661-2023 tillsynsbegäran mail.docx", "A 9661-2023")</f>
        <v/>
      </c>
      <c r="Z41">
        <f>HYPERLINK("https://klasma.github.io/Logging_0562/fåglar/A 9661-2023 prioriterade fågelarter.docx", "A 9661-2023")</f>
        <v/>
      </c>
    </row>
    <row r="42" ht="15" customHeight="1">
      <c r="A42" t="inlineStr">
        <is>
          <t>A 18075-2023</t>
        </is>
      </c>
      <c r="B42" s="1" t="n">
        <v>45040</v>
      </c>
      <c r="C42" s="1" t="n">
        <v>45741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Dvärgtufs</t>
        </is>
      </c>
      <c r="S42">
        <f>HYPERLINK("https://klasma.github.io/Logging_0562/artfynd/A 18075-2023 artfynd.xlsx", "A 18075-2023")</f>
        <v/>
      </c>
      <c r="T42">
        <f>HYPERLINK("https://klasma.github.io/Logging_0562/kartor/A 18075-2023 karta.png", "A 18075-2023")</f>
        <v/>
      </c>
      <c r="V42">
        <f>HYPERLINK("https://klasma.github.io/Logging_0562/klagomål/A 18075-2023 FSC-klagomål.docx", "A 18075-2023")</f>
        <v/>
      </c>
      <c r="W42">
        <f>HYPERLINK("https://klasma.github.io/Logging_0562/klagomålsmail/A 18075-2023 FSC-klagomål mail.docx", "A 18075-2023")</f>
        <v/>
      </c>
      <c r="X42">
        <f>HYPERLINK("https://klasma.github.io/Logging_0562/tillsyn/A 18075-2023 tillsynsbegäran.docx", "A 18075-2023")</f>
        <v/>
      </c>
      <c r="Y42">
        <f>HYPERLINK("https://klasma.github.io/Logging_0562/tillsynsmail/A 18075-2023 tillsynsbegäran mail.docx", "A 18075-2023")</f>
        <v/>
      </c>
    </row>
    <row r="43" ht="15" customHeight="1">
      <c r="A43" t="inlineStr">
        <is>
          <t>A 26888-2023</t>
        </is>
      </c>
      <c r="B43" s="1" t="n">
        <v>45093</v>
      </c>
      <c r="C43" s="1" t="n">
        <v>45741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Ärtsångare</t>
        </is>
      </c>
      <c r="S43">
        <f>HYPERLINK("https://klasma.github.io/Logging_0562/artfynd/A 26888-2023 artfynd.xlsx", "A 26888-2023")</f>
        <v/>
      </c>
      <c r="T43">
        <f>HYPERLINK("https://klasma.github.io/Logging_0562/kartor/A 26888-2023 karta.png", "A 26888-2023")</f>
        <v/>
      </c>
      <c r="V43">
        <f>HYPERLINK("https://klasma.github.io/Logging_0562/klagomål/A 26888-2023 FSC-klagomål.docx", "A 26888-2023")</f>
        <v/>
      </c>
      <c r="W43">
        <f>HYPERLINK("https://klasma.github.io/Logging_0562/klagomålsmail/A 26888-2023 FSC-klagomål mail.docx", "A 26888-2023")</f>
        <v/>
      </c>
      <c r="X43">
        <f>HYPERLINK("https://klasma.github.io/Logging_0562/tillsyn/A 26888-2023 tillsynsbegäran.docx", "A 26888-2023")</f>
        <v/>
      </c>
      <c r="Y43">
        <f>HYPERLINK("https://klasma.github.io/Logging_0562/tillsynsmail/A 26888-2023 tillsynsbegäran mail.docx", "A 26888-2023")</f>
        <v/>
      </c>
      <c r="Z43">
        <f>HYPERLINK("https://klasma.github.io/Logging_0562/fåglar/A 26888-2023 prioriterade fågelarter.docx", "A 26888-2023")</f>
        <v/>
      </c>
    </row>
    <row r="44" ht="15" customHeight="1">
      <c r="A44" t="inlineStr">
        <is>
          <t>A 3596-2024</t>
        </is>
      </c>
      <c r="B44" s="1" t="n">
        <v>45320</v>
      </c>
      <c r="C44" s="1" t="n">
        <v>45741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6.9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Kungsörn</t>
        </is>
      </c>
      <c r="S44">
        <f>HYPERLINK("https://klasma.github.io/Logging_0562/artfynd/A 3596-2024 artfynd.xlsx", "A 3596-2024")</f>
        <v/>
      </c>
      <c r="T44">
        <f>HYPERLINK("https://klasma.github.io/Logging_0562/kartor/A 3596-2024 karta.png", "A 3596-2024")</f>
        <v/>
      </c>
      <c r="V44">
        <f>HYPERLINK("https://klasma.github.io/Logging_0562/klagomål/A 3596-2024 FSC-klagomål.docx", "A 3596-2024")</f>
        <v/>
      </c>
      <c r="W44">
        <f>HYPERLINK("https://klasma.github.io/Logging_0562/klagomålsmail/A 3596-2024 FSC-klagomål mail.docx", "A 3596-2024")</f>
        <v/>
      </c>
      <c r="X44">
        <f>HYPERLINK("https://klasma.github.io/Logging_0562/tillsyn/A 3596-2024 tillsynsbegäran.docx", "A 3596-2024")</f>
        <v/>
      </c>
      <c r="Y44">
        <f>HYPERLINK("https://klasma.github.io/Logging_0562/tillsynsmail/A 3596-2024 tillsynsbegäran mail.docx", "A 3596-2024")</f>
        <v/>
      </c>
      <c r="Z44">
        <f>HYPERLINK("https://klasma.github.io/Logging_0562/fåglar/A 3596-2024 prioriterade fågelarter.docx", "A 3596-2024")</f>
        <v/>
      </c>
    </row>
    <row r="45" ht="15" customHeight="1">
      <c r="A45" t="inlineStr">
        <is>
          <t>A 5774-2024</t>
        </is>
      </c>
      <c r="B45" s="1" t="n">
        <v>45335</v>
      </c>
      <c r="C45" s="1" t="n">
        <v>45741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Kyrkan</t>
        </is>
      </c>
      <c r="G45" t="n">
        <v>5.7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Fläcknycklar</t>
        </is>
      </c>
      <c r="S45">
        <f>HYPERLINK("https://klasma.github.io/Logging_0562/artfynd/A 5774-2024 artfynd.xlsx", "A 5774-2024")</f>
        <v/>
      </c>
      <c r="T45">
        <f>HYPERLINK("https://klasma.github.io/Logging_0562/kartor/A 5774-2024 karta.png", "A 5774-2024")</f>
        <v/>
      </c>
      <c r="V45">
        <f>HYPERLINK("https://klasma.github.io/Logging_0562/klagomål/A 5774-2024 FSC-klagomål.docx", "A 5774-2024")</f>
        <v/>
      </c>
      <c r="W45">
        <f>HYPERLINK("https://klasma.github.io/Logging_0562/klagomålsmail/A 5774-2024 FSC-klagomål mail.docx", "A 5774-2024")</f>
        <v/>
      </c>
      <c r="X45">
        <f>HYPERLINK("https://klasma.github.io/Logging_0562/tillsyn/A 5774-2024 tillsynsbegäran.docx", "A 5774-2024")</f>
        <v/>
      </c>
      <c r="Y45">
        <f>HYPERLINK("https://klasma.github.io/Logging_0562/tillsynsmail/A 5774-2024 tillsynsbegäran mail.docx", "A 5774-2024")</f>
        <v/>
      </c>
      <c r="Z45">
        <f>HYPERLINK("https://klasma.github.io/Logging_0562/fåglar/A 5774-2024 prioriterade fågelarter.docx", "A 5774-2024")</f>
        <v/>
      </c>
    </row>
    <row r="46" ht="15" customHeight="1">
      <c r="A46" t="inlineStr">
        <is>
          <t>A 10257-2024</t>
        </is>
      </c>
      <c r="B46" s="1" t="n">
        <v>45365</v>
      </c>
      <c r="C46" s="1" t="n">
        <v>45741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HYPERLINK("https://klasma.github.io/Logging_0562/artfynd/A 10257-2024 artfynd.xlsx", "A 10257-2024")</f>
        <v/>
      </c>
      <c r="T46">
        <f>HYPERLINK("https://klasma.github.io/Logging_0562/kartor/A 10257-2024 karta.png", "A 10257-2024")</f>
        <v/>
      </c>
      <c r="U46">
        <f>HYPERLINK("https://klasma.github.io/Logging_0562/knärot/A 10257-2024 karta knärot.png", "A 10257-2024")</f>
        <v/>
      </c>
      <c r="V46">
        <f>HYPERLINK("https://klasma.github.io/Logging_0562/klagomål/A 10257-2024 FSC-klagomål.docx", "A 10257-2024")</f>
        <v/>
      </c>
      <c r="W46">
        <f>HYPERLINK("https://klasma.github.io/Logging_0562/klagomålsmail/A 10257-2024 FSC-klagomål mail.docx", "A 10257-2024")</f>
        <v/>
      </c>
      <c r="X46">
        <f>HYPERLINK("https://klasma.github.io/Logging_0562/tillsyn/A 10257-2024 tillsynsbegäran.docx", "A 10257-2024")</f>
        <v/>
      </c>
      <c r="Y46">
        <f>HYPERLINK("https://klasma.github.io/Logging_0562/tillsynsmail/A 10257-2024 tillsynsbegäran mail.docx", "A 10257-2024")</f>
        <v/>
      </c>
    </row>
    <row r="47" ht="15" customHeight="1">
      <c r="A47" t="inlineStr">
        <is>
          <t>A 14213-2024</t>
        </is>
      </c>
      <c r="B47" s="1" t="n">
        <v>45393</v>
      </c>
      <c r="C47" s="1" t="n">
        <v>45741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Grön sköldmossa</t>
        </is>
      </c>
      <c r="S47">
        <f>HYPERLINK("https://klasma.github.io/Logging_0562/artfynd/A 14213-2024 artfynd.xlsx", "A 14213-2024")</f>
        <v/>
      </c>
      <c r="T47">
        <f>HYPERLINK("https://klasma.github.io/Logging_0562/kartor/A 14213-2024 karta.png", "A 14213-2024")</f>
        <v/>
      </c>
      <c r="V47">
        <f>HYPERLINK("https://klasma.github.io/Logging_0562/klagomål/A 14213-2024 FSC-klagomål.docx", "A 14213-2024")</f>
        <v/>
      </c>
      <c r="W47">
        <f>HYPERLINK("https://klasma.github.io/Logging_0562/klagomålsmail/A 14213-2024 FSC-klagomål mail.docx", "A 14213-2024")</f>
        <v/>
      </c>
      <c r="X47">
        <f>HYPERLINK("https://klasma.github.io/Logging_0562/tillsyn/A 14213-2024 tillsynsbegäran.docx", "A 14213-2024")</f>
        <v/>
      </c>
      <c r="Y47">
        <f>HYPERLINK("https://klasma.github.io/Logging_0562/tillsynsmail/A 14213-2024 tillsynsbegäran mail.docx", "A 14213-2024")</f>
        <v/>
      </c>
    </row>
    <row r="48" ht="15" customHeight="1">
      <c r="A48" t="inlineStr">
        <is>
          <t>A 21566-2024</t>
        </is>
      </c>
      <c r="B48" s="1" t="n">
        <v>45441</v>
      </c>
      <c r="C48" s="1" t="n">
        <v>45741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Blompraktbagge</t>
        </is>
      </c>
      <c r="S48">
        <f>HYPERLINK("https://klasma.github.io/Logging_0562/artfynd/A 21566-2024 artfynd.xlsx", "A 21566-2024")</f>
        <v/>
      </c>
      <c r="T48">
        <f>HYPERLINK("https://klasma.github.io/Logging_0562/kartor/A 21566-2024 karta.png", "A 21566-2024")</f>
        <v/>
      </c>
      <c r="V48">
        <f>HYPERLINK("https://klasma.github.io/Logging_0562/klagomål/A 21566-2024 FSC-klagomål.docx", "A 21566-2024")</f>
        <v/>
      </c>
      <c r="W48">
        <f>HYPERLINK("https://klasma.github.io/Logging_0562/klagomålsmail/A 21566-2024 FSC-klagomål mail.docx", "A 21566-2024")</f>
        <v/>
      </c>
      <c r="X48">
        <f>HYPERLINK("https://klasma.github.io/Logging_0562/tillsyn/A 21566-2024 tillsynsbegäran.docx", "A 21566-2024")</f>
        <v/>
      </c>
      <c r="Y48">
        <f>HYPERLINK("https://klasma.github.io/Logging_0562/tillsynsmail/A 21566-2024 tillsynsbegäran mail.docx", "A 21566-2024")</f>
        <v/>
      </c>
    </row>
    <row r="49" ht="15" customHeight="1">
      <c r="A49" t="inlineStr">
        <is>
          <t>A 22603-2024</t>
        </is>
      </c>
      <c r="B49" s="1" t="n">
        <v>45447</v>
      </c>
      <c r="C49" s="1" t="n">
        <v>45741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Blodticka
Scharlakansskål</t>
        </is>
      </c>
      <c r="S49">
        <f>HYPERLINK("https://klasma.github.io/Logging_0562/artfynd/A 22603-2024 artfynd.xlsx", "A 22603-2024")</f>
        <v/>
      </c>
      <c r="T49">
        <f>HYPERLINK("https://klasma.github.io/Logging_0562/kartor/A 22603-2024 karta.png", "A 22603-2024")</f>
        <v/>
      </c>
      <c r="V49">
        <f>HYPERLINK("https://klasma.github.io/Logging_0562/klagomål/A 22603-2024 FSC-klagomål.docx", "A 22603-2024")</f>
        <v/>
      </c>
      <c r="W49">
        <f>HYPERLINK("https://klasma.github.io/Logging_0562/klagomålsmail/A 22603-2024 FSC-klagomål mail.docx", "A 22603-2024")</f>
        <v/>
      </c>
      <c r="X49">
        <f>HYPERLINK("https://klasma.github.io/Logging_0562/tillsyn/A 22603-2024 tillsynsbegäran.docx", "A 22603-2024")</f>
        <v/>
      </c>
      <c r="Y49">
        <f>HYPERLINK("https://klasma.github.io/Logging_0562/tillsynsmail/A 22603-2024 tillsynsbegäran mail.docx", "A 22603-2024")</f>
        <v/>
      </c>
    </row>
    <row r="50" ht="15" customHeight="1">
      <c r="A50" t="inlineStr">
        <is>
          <t>A 28395-2024</t>
        </is>
      </c>
      <c r="B50" s="1" t="n">
        <v>45477</v>
      </c>
      <c r="C50" s="1" t="n">
        <v>45741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Fläcknycklar</t>
        </is>
      </c>
      <c r="S50">
        <f>HYPERLINK("https://klasma.github.io/Logging_0562/artfynd/A 28395-2024 artfynd.xlsx", "A 28395-2024")</f>
        <v/>
      </c>
      <c r="T50">
        <f>HYPERLINK("https://klasma.github.io/Logging_0562/kartor/A 28395-2024 karta.png", "A 28395-2024")</f>
        <v/>
      </c>
      <c r="V50">
        <f>HYPERLINK("https://klasma.github.io/Logging_0562/klagomål/A 28395-2024 FSC-klagomål.docx", "A 28395-2024")</f>
        <v/>
      </c>
      <c r="W50">
        <f>HYPERLINK("https://klasma.github.io/Logging_0562/klagomålsmail/A 28395-2024 FSC-klagomål mail.docx", "A 28395-2024")</f>
        <v/>
      </c>
      <c r="X50">
        <f>HYPERLINK("https://klasma.github.io/Logging_0562/tillsyn/A 28395-2024 tillsynsbegäran.docx", "A 28395-2024")</f>
        <v/>
      </c>
      <c r="Y50">
        <f>HYPERLINK("https://klasma.github.io/Logging_0562/tillsynsmail/A 28395-2024 tillsynsbegäran mail.docx", "A 28395-2024")</f>
        <v/>
      </c>
      <c r="Z50">
        <f>HYPERLINK("https://klasma.github.io/Logging_0562/fåglar/A 28395-2024 prioriterade fågelarter.docx", "A 28395-2024")</f>
        <v/>
      </c>
    </row>
    <row r="51" ht="15" customHeight="1">
      <c r="A51" t="inlineStr">
        <is>
          <t>A 60667-2024</t>
        </is>
      </c>
      <c r="B51" s="1" t="n">
        <v>45644</v>
      </c>
      <c r="C51" s="1" t="n">
        <v>45741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18.1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HYPERLINK("https://klasma.github.io/Logging_0562/artfynd/A 60667-2024 artfynd.xlsx", "A 60667-2024")</f>
        <v/>
      </c>
      <c r="T51">
        <f>HYPERLINK("https://klasma.github.io/Logging_0562/kartor/A 60667-2024 karta.png", "A 60667-2024")</f>
        <v/>
      </c>
      <c r="U51">
        <f>HYPERLINK("https://klasma.github.io/Logging_0562/knärot/A 60667-2024 karta knärot.png", "A 60667-2024")</f>
        <v/>
      </c>
      <c r="V51">
        <f>HYPERLINK("https://klasma.github.io/Logging_0562/klagomål/A 60667-2024 FSC-klagomål.docx", "A 60667-2024")</f>
        <v/>
      </c>
      <c r="W51">
        <f>HYPERLINK("https://klasma.github.io/Logging_0562/klagomålsmail/A 60667-2024 FSC-klagomål mail.docx", "A 60667-2024")</f>
        <v/>
      </c>
      <c r="X51">
        <f>HYPERLINK("https://klasma.github.io/Logging_0562/tillsyn/A 60667-2024 tillsynsbegäran.docx", "A 60667-2024")</f>
        <v/>
      </c>
      <c r="Y51">
        <f>HYPERLINK("https://klasma.github.io/Logging_0562/tillsynsmail/A 60667-2024 tillsynsbegäran mail.docx", "A 60667-2024")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45741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45741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45741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45741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45741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45741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45741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45741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45741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45741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45741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45741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45741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45741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45741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45741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45741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45741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45741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45741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45741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45741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45741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45741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45741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45741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45741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45741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45741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45741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45741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45741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45741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45741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45741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45741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45741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45741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45741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45741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45741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45741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45741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45741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45741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45741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45741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45741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45741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45741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45741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45741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45741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45741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45741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45741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45741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45741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45741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45741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45741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45741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45741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45741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45741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45741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45741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45741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45741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45741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45741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45741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45741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45741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45741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45741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45741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45741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45741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45741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45741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45741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45741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45741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45741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45741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45741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45741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45741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45741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45741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45741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45741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45741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45741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45741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45741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45741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45741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45741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45741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45741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45741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45741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45741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45741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45741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45741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45741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45741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45741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45741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45741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45741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45741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45741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45741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45741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45741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45741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45741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45741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45741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45741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45741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45741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45741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45741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45741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45741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45741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45741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45741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45741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45741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45741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45741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45741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45741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45741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45741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45741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45741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45741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45741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45741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45741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45741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45741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45741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45741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45741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45741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45741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45741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45741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45741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45741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45741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45741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45741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45741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45741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45741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45741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45741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45741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45741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45741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45741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45741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45741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45741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45741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45741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45741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45741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45741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45741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45741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45741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45741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45741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45741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45741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45741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45741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45741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45741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45741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45741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45741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45741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45741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45741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45741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45741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45741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45741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45741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45741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45741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45741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45741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45741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45741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45741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45741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45741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45741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45741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45741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45741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45741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45741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45741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45741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45741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45741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45741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45741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45741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45741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45741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45741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45741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45741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45741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45741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45741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45741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45741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45741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45741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45741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45741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45741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45741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45741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45741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45741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45741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45741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45741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45741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45741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45741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45741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45741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45741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45741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45741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45741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45741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45741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45741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45741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45741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45741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45741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45741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45741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45741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45741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45741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45741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45741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45741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45741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45741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45741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45741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45741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45741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45741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45741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45741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45741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45741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45741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45741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45741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45741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45741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45741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45741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45741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45741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45741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45741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45741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45741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45741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45741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45741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45741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45741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45741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45741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45741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45741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45741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45741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45741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45741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45741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45741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45741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45741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45741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45741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45741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45741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45741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45741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45741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45741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45741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45741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45741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45741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45741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45741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45741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45741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45741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45741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45741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45741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45741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45741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45741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45741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45741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45741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45741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45741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45741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45741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45741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45741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45741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45741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45741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45741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45741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45741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45741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45741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45741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45741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45741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45741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45741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45741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45741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45741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45741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45741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45741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45741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45741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45741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45741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45741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45741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45741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45741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45741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45741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45741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45741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45741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45741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45741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45741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45741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45741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45741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45741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45741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45741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45741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45741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45741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45741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45741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45741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45741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45741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45741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45741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45741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45741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45741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45741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45741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45741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45741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45741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45741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45741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45741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45741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45741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45741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45741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45741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45741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45741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45741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45741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45741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45741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45741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45741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45741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45741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45741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45741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45741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45741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45741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45741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45741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45741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45741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45741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45741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45741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45741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45741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45741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45741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45741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45741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45741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45741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45741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45741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45741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45741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45741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45741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45741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45741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45741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45741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45741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45741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45741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45741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45741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45741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45741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45741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45741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45741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45741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45741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45741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45741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45741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45741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45741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45741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45741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45741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45741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45741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45741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45741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45741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45741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45741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45741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45741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45741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45741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45741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45741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45741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45741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45741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45741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45741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45741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45741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45741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45741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45741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45741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45741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45741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45741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45741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45741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45741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45741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45741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45741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45741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45741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45741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45741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45741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45741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45741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45741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45741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45741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45741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45741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45741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45741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45741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45741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45741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45741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45741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45741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45741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45741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45741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45741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45741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45741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45741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45741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45741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45741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45741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45741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45741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45741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45741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45741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45741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45741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45741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45741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45741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45741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45741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45741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45741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45741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45741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45741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45741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45741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45741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45741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45741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45741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45741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45741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45741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45741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45741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45741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45741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45741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45741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45741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45741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45741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45741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45741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45741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45741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45741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45741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45741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45741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45741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45741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45741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45741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45741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45741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45741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45741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45741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45741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45741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45741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45741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45741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45741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45741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45741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45741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45741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45741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45741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45741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45741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45741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45741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45741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45741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45741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45741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45741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45741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45741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45741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45741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45741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45741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45741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45741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45741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45741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45741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45741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45741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45741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45741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45741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45741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45741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45741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45741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45741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45741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45741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45741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45741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45741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45741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45741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45741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45741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45741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45741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45741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45741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45741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45741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45741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45741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45741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45741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45741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45741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45741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45741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45741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45741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45741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45741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45741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45741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45741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45741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45741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45741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45741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45741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45741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45741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45741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45741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45741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45741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45741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45741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45741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45741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45741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45741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45741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45741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45741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45741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45741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45741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45741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45741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45741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45741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45741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45741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45741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45741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45741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45741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45741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45741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45741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45741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45741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45741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45741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45741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45741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45741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45741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45741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45741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45741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45741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45741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45741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45741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45741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45741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45741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45741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45741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45741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45741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45741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45741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45741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45741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45741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45741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45741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45741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45741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45741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45741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45741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45741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45741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45741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45741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45741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45741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45741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45741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45741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45741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45741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45741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45741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45741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45741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45741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45741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45741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45741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45741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45741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45741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45741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45741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45741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45741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45741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45741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45741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45741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45741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45741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45741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45741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45741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45741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45741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45741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45741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45741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45741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45741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45741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45741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45741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45741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45741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45741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45741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45741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45741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45741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45741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45741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45741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45741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45741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45741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45741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45741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45741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45741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45741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45741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45741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45741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45741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45741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45741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45741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45741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45741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45741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45741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45741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45741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45741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45741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45741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45741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45741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45741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45741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45741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45741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45741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45741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45741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45741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45741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45741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45741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45741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45741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45741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45741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45741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45741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45741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45741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45741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45741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45741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45741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45741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45741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45741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45741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45741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45741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45741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45741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45741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45741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45741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45741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45741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45741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45741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45741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45741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45741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45741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45741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45741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45741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45741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45741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45741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45741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45741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45741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45741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45741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45741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45741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45741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45741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45741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45741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45741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45741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45741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45741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45741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45741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45741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45741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45741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45741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45741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45741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45741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45741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45741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45741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45741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45741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45741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45741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45741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45741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45741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45741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45741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45741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45741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45741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45741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45741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45741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45741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45741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45741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45741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45741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45741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45741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45741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45741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45741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45741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45741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45741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45741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45741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45741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45741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45741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45741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45741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45741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45741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45741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45741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45741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45741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45741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45741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45741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45741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45741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45741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45741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45741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45741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45741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45741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45741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45741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45741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45741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45741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45741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45741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45741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45741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45741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45741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45741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45741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45741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45741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45741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45741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45741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45741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45741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45741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45741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45741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45741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45741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45741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45741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45741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45741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45741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45741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45741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45741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45741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45741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45741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45741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45741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45741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45741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45741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45741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45741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45741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45741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45741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45741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45741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45741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45741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45741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45741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45741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45741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45741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45741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45741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45741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45741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45741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45741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45741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45741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45741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45741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45741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45741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45741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45741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45741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45741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45741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45741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45741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45741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45741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45741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45741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45741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45741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45741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45741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45741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45741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45741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45741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45741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45741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45741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45741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45741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45741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45741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45741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45741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45741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45741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45741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45741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45741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45741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45741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45741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45741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45741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45741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45741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45741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45741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45741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45741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45741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45741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45741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45741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45741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45741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45741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45741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45741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45741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45741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45741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45741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45741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45741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45741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45741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45741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45741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45741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45741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45741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45741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45741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45741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45741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45741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45741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45741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45741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45741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45741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45741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45741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45741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45741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45741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45741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45741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45741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45741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45741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45741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45741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45741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45741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45741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45741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45741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45741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45741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45741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45741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45741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45741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45741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45741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45741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45741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45741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45741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45741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45741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45741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45741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45741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45741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45741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45741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45741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45741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45741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45741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45741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45741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45741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45741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45741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45741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45741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45741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45741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45741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45741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45741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45741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45741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45741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45741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45741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45741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45741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45741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45741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45741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45741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45741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45741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45741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45741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45741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45741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45741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45741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45741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45741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45741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45741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45741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45741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45741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45741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45741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45741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45741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45741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45741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45741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45741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45741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45741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45741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45741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45741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45741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45741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45741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45741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45741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45741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45741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45741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45741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45741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45741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45741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45741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45741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45741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45741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45741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45741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45741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45741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45741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45741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45741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45741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45741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45741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45741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45741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45741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45741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45741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45741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45741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45741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45741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45741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45741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45741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45741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45741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45741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45741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45741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45741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45741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45741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45741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45741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45741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45741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45741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45741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45741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45741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45741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45741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45741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45741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45741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45741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45741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45741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45741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45741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45741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45741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45741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45741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45741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45741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45741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45741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45741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45741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45741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45741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45741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45741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45741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45741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45741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45741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45741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45741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45741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45741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45741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45741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45741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45741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45741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45741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45741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45741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45741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45741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45741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45741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45741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45741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45741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45741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45741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45741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45741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45741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45741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45741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45741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45741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45741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45741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45741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45741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45741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45741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45741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45741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45741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45741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45741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45741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45741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45741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45741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45741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45741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45741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45741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45741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45741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45741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45741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45741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45741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45741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45741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45741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45741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45741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45741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45741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45741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45741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45741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45741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45741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45741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45741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45741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45741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45741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45741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45741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45741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45741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45741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45741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45741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45741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45741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45741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45741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45741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45741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45741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45741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45741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45741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45741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45741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45741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45741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45741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45741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45741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45741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45741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45741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45741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45741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45741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45741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45741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45741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45741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45741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45741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45741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45741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45741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45741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45741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45741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45741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45741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45741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45741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45741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45741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45741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45741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45741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45741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45741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45741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45741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45741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45741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45741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45741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45741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45741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45741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45741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45741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45741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45741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45741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45741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45741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45741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45741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45741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45741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45741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45741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45741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45741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45741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45741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45741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45741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45741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45741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45741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45741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45741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45741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45741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45741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45741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45741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45741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45741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45741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45741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45741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45741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45741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45741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45741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45741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45741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45741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45741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45741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45741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45741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45741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45741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45741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45741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45741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45741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45741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45741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45741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45741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45741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45741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45741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45741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45741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45741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45741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45741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45741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45741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45741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45741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45741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45741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45741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45741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45741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45741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45741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45741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45741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45741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45741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45741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45741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45741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45741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45741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45741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45741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45741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45741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45741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45741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45741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45741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45741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45741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45741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45741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45741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45741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45741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45741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45741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45741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45741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45741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45741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45741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45741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45741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45741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45741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45741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45741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45741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45741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45741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45741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45741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45741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45741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45741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45741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45741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45741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45741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45741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45741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45741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45741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45741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45741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45741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45741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45741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45741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45741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45741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45741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45741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45741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45741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45741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45741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45741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45741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45741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45741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45741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45741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45741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45741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45741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45741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45741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45741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45741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45741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45741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45741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45741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45741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45741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45741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45741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45741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45741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45741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45741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45741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45741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45741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45741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45741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45741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45741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45741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45741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45741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45741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45741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45741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45741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45741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45741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45741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45741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45741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45741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45741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45741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45741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45741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45741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45741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45741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45741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45741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45741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45741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45741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45741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45741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45741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45741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45741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45741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45741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45741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45741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45741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45741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45741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45741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45741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45741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45741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45741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45741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45741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45741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45741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45741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45741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45741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45741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45741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45741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45741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45741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45741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45741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45741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45741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45741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45741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45741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45741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45741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45741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45741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45741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45741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45741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45741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45741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45741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45741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45741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45741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45741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45741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45741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45741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45741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45741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45741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45741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45741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45741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45741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11585-2025</t>
        </is>
      </c>
      <c r="B1729" s="1" t="n">
        <v>45727</v>
      </c>
      <c r="C1729" s="1" t="n">
        <v>45741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11523-2025</t>
        </is>
      </c>
      <c r="B1730" s="1" t="n">
        <v>45727</v>
      </c>
      <c r="C1730" s="1" t="n">
        <v>45741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45741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45741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45741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45741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13140-2025</t>
        </is>
      </c>
      <c r="B1736" s="1" t="n">
        <v>45735</v>
      </c>
      <c r="C1736" s="1" t="n">
        <v>45741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13332-2025</t>
        </is>
      </c>
      <c r="B1737" s="1" t="n">
        <v>45735</v>
      </c>
      <c r="C1737" s="1" t="n">
        <v>45741</v>
      </c>
      <c r="D1737" t="inlineStr">
        <is>
          <t>ÖSTERGÖTLANDS LÄN</t>
        </is>
      </c>
      <c r="E1737" t="inlineStr">
        <is>
          <t>FINSPÅNG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13392-2025</t>
        </is>
      </c>
      <c r="B1738" s="1" t="n">
        <v>45735</v>
      </c>
      <c r="C1738" s="1" t="n">
        <v>45741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13355-2025</t>
        </is>
      </c>
      <c r="B1739" s="1" t="n">
        <v>45735</v>
      </c>
      <c r="C1739" s="1" t="n">
        <v>45741</v>
      </c>
      <c r="D1739" t="inlineStr">
        <is>
          <t>ÖSTERGÖTLANDS LÄN</t>
        </is>
      </c>
      <c r="E1739" t="inlineStr">
        <is>
          <t>FINSPÅNG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45741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13138-2025</t>
        </is>
      </c>
      <c r="B1741" s="1" t="n">
        <v>45735</v>
      </c>
      <c r="C1741" s="1" t="n">
        <v>45741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45741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45741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45741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45741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14028-2025</t>
        </is>
      </c>
      <c r="B1747" s="1" t="n">
        <v>45740</v>
      </c>
      <c r="C1747" s="1" t="n">
        <v>45741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14142-2025</t>
        </is>
      </c>
      <c r="B1748" s="1" t="n">
        <v>45740</v>
      </c>
      <c r="C1748" s="1" t="n">
        <v>45741</v>
      </c>
      <c r="D1748" t="inlineStr">
        <is>
          <t>ÖSTERGÖTLANDS LÄN</t>
        </is>
      </c>
      <c r="E1748" t="inlineStr">
        <is>
          <t>FINSPÅNG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45741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45741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14140-2025</t>
        </is>
      </c>
      <c r="B1751" s="1" t="n">
        <v>45740</v>
      </c>
      <c r="C1751" s="1" t="n">
        <v>45741</v>
      </c>
      <c r="D1751" t="inlineStr">
        <is>
          <t>ÖSTERGÖTLANDS LÄN</t>
        </is>
      </c>
      <c r="E1751" t="inlineStr">
        <is>
          <t>FINSPÅNG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14194-2025</t>
        </is>
      </c>
      <c r="B1752" s="1" t="n">
        <v>45740</v>
      </c>
      <c r="C1752" s="1" t="n">
        <v>45741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10.1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2025-03-25T17:46:59Z</dcterms:created>
  <dcterms:modified xmlns:dcterms="http://purl.org/dc/terms/" xmlns:xsi="http://www.w3.org/2001/XMLSchema-instance" xsi:type="dcterms:W3CDTF">2025-03-25T17:47:00Z</dcterms:modified>
</cp:coreProperties>
</file>