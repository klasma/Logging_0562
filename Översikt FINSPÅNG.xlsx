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45849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45849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45849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45849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45849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45849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45849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45849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45849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45849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45849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45849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45849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45849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45849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45849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45849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45849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45849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45849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45849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45849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45849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45849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45849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45849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45849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45849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45849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45849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45849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45849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45849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45849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45849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45849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45849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45849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45849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45849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45849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45849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45849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45849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45849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45849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45849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45849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45849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55989-2024</t>
        </is>
      </c>
      <c r="B52" s="1" t="n">
        <v>45623</v>
      </c>
      <c r="C52" s="1" t="n">
        <v>45849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11.1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Tjäder
Blåsippa</t>
        </is>
      </c>
      <c r="S52">
        <f>HYPERLINK("https://klasma.github.io/Logging_0562/artfynd/A 55989-2024 artfynd.xlsx", "A 55989-2024")</f>
        <v/>
      </c>
      <c r="T52">
        <f>HYPERLINK("https://klasma.github.io/Logging_0562/kartor/A 55989-2024 karta.png", "A 55989-2024")</f>
        <v/>
      </c>
      <c r="V52">
        <f>HYPERLINK("https://klasma.github.io/Logging_0562/klagomål/A 55989-2024 FSC-klagomål.docx", "A 55989-2024")</f>
        <v/>
      </c>
      <c r="W52">
        <f>HYPERLINK("https://klasma.github.io/Logging_0562/klagomålsmail/A 55989-2024 FSC-klagomål mail.docx", "A 55989-2024")</f>
        <v/>
      </c>
      <c r="X52">
        <f>HYPERLINK("https://klasma.github.io/Logging_0562/tillsyn/A 55989-2024 tillsynsbegäran.docx", "A 55989-2024")</f>
        <v/>
      </c>
      <c r="Y52">
        <f>HYPERLINK("https://klasma.github.io/Logging_0562/tillsynsmail/A 55989-2024 tillsynsbegäran mail.docx", "A 55989-2024")</f>
        <v/>
      </c>
      <c r="Z52">
        <f>HYPERLINK("https://klasma.github.io/Logging_0562/fåglar/A 55989-2024 prioriterade fågelarter.docx", "A 55989-2024")</f>
        <v/>
      </c>
    </row>
    <row r="53" ht="15" customHeight="1">
      <c r="A53" t="inlineStr">
        <is>
          <t>A 60667-2024</t>
        </is>
      </c>
      <c r="B53" s="1" t="n">
        <v>45644</v>
      </c>
      <c r="C53" s="1" t="n">
        <v>45849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18.1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HYPERLINK("https://klasma.github.io/Logging_0562/artfynd/A 60667-2024 artfynd.xlsx", "A 60667-2024")</f>
        <v/>
      </c>
      <c r="T53">
        <f>HYPERLINK("https://klasma.github.io/Logging_0562/kartor/A 60667-2024 karta.png", "A 60667-2024")</f>
        <v/>
      </c>
      <c r="U53">
        <f>HYPERLINK("https://klasma.github.io/Logging_0562/knärot/A 60667-2024 karta knärot.png", "A 60667-2024")</f>
        <v/>
      </c>
      <c r="V53">
        <f>HYPERLINK("https://klasma.github.io/Logging_0562/klagomål/A 60667-2024 FSC-klagomål.docx", "A 60667-2024")</f>
        <v/>
      </c>
      <c r="W53">
        <f>HYPERLINK("https://klasma.github.io/Logging_0562/klagomålsmail/A 60667-2024 FSC-klagomål mail.docx", "A 60667-2024")</f>
        <v/>
      </c>
      <c r="X53">
        <f>HYPERLINK("https://klasma.github.io/Logging_0562/tillsyn/A 60667-2024 tillsynsbegäran.docx", "A 60667-2024")</f>
        <v/>
      </c>
      <c r="Y53">
        <f>HYPERLINK("https://klasma.github.io/Logging_0562/tillsynsmail/A 60667-2024 tillsynsbegäran mail.docx", "A 60667-2024")</f>
        <v/>
      </c>
    </row>
    <row r="54" ht="15" customHeight="1">
      <c r="A54" t="inlineStr">
        <is>
          <t>A 19407-2019</t>
        </is>
      </c>
      <c r="B54" s="1" t="n">
        <v>43565</v>
      </c>
      <c r="C54" s="1" t="n">
        <v>45849</v>
      </c>
      <c r="D54" t="inlineStr">
        <is>
          <t>ÖSTERGÖTLANDS LÄN</t>
        </is>
      </c>
      <c r="E54" t="inlineStr">
        <is>
          <t>FINSPÅNG</t>
        </is>
      </c>
      <c r="G54" t="n">
        <v>10.5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19407-2019 artfynd.xlsx", "A 19407-2019")</f>
        <v/>
      </c>
      <c r="T54">
        <f>HYPERLINK("https://klasma.github.io/Logging_0562/kartor/A 19407-2019 karta.png", "A 19407-2019")</f>
        <v/>
      </c>
      <c r="V54">
        <f>HYPERLINK("https://klasma.github.io/Logging_0562/klagomål/A 19407-2019 FSC-klagomål.docx", "A 19407-2019")</f>
        <v/>
      </c>
      <c r="W54">
        <f>HYPERLINK("https://klasma.github.io/Logging_0562/klagomålsmail/A 19407-2019 FSC-klagomål mail.docx", "A 19407-2019")</f>
        <v/>
      </c>
      <c r="X54">
        <f>HYPERLINK("https://klasma.github.io/Logging_0562/tillsyn/A 19407-2019 tillsynsbegäran.docx", "A 19407-2019")</f>
        <v/>
      </c>
      <c r="Y54">
        <f>HYPERLINK("https://klasma.github.io/Logging_0562/tillsynsmail/A 19407-2019 tillsynsbegäran mail.docx", "A 19407-2019")</f>
        <v/>
      </c>
    </row>
    <row r="55" ht="15" customHeight="1">
      <c r="A55" t="inlineStr">
        <is>
          <t>A 24547-2019</t>
        </is>
      </c>
      <c r="B55" s="1" t="n">
        <v>43600</v>
      </c>
      <c r="C55" s="1" t="n">
        <v>45849</v>
      </c>
      <c r="D55" t="inlineStr">
        <is>
          <t>ÖSTERGÖTLANDS LÄN</t>
        </is>
      </c>
      <c r="E55" t="inlineStr">
        <is>
          <t>FINSPÅNG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24547-2019 artfynd.xlsx", "A 24547-2019")</f>
        <v/>
      </c>
      <c r="T55">
        <f>HYPERLINK("https://klasma.github.io/Logging_0562/kartor/A 24547-2019 karta.png", "A 24547-2019")</f>
        <v/>
      </c>
      <c r="V55">
        <f>HYPERLINK("https://klasma.github.io/Logging_0562/klagomål/A 24547-2019 FSC-klagomål.docx", "A 24547-2019")</f>
        <v/>
      </c>
      <c r="W55">
        <f>HYPERLINK("https://klasma.github.io/Logging_0562/klagomålsmail/A 24547-2019 FSC-klagomål mail.docx", "A 24547-2019")</f>
        <v/>
      </c>
      <c r="X55">
        <f>HYPERLINK("https://klasma.github.io/Logging_0562/tillsyn/A 24547-2019 tillsynsbegäran.docx", "A 24547-2019")</f>
        <v/>
      </c>
      <c r="Y55">
        <f>HYPERLINK("https://klasma.github.io/Logging_0562/tillsynsmail/A 24547-2019 tillsynsbegäran mail.docx", "A 24547-2019")</f>
        <v/>
      </c>
    </row>
    <row r="56" ht="15" customHeight="1">
      <c r="A56" t="inlineStr">
        <is>
          <t>A 26223-2019</t>
        </is>
      </c>
      <c r="B56" s="1" t="n">
        <v>43609</v>
      </c>
      <c r="C56" s="1" t="n">
        <v>45849</v>
      </c>
      <c r="D56" t="inlineStr">
        <is>
          <t>ÖSTERGÖTLANDS LÄN</t>
        </is>
      </c>
      <c r="E56" t="inlineStr">
        <is>
          <t>FINSPÅNG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26223-2019 artfynd.xlsx", "A 26223-2019")</f>
        <v/>
      </c>
      <c r="T56">
        <f>HYPERLINK("https://klasma.github.io/Logging_0562/kartor/A 26223-2019 karta.png", "A 26223-2019")</f>
        <v/>
      </c>
      <c r="V56">
        <f>HYPERLINK("https://klasma.github.io/Logging_0562/klagomål/A 26223-2019 FSC-klagomål.docx", "A 26223-2019")</f>
        <v/>
      </c>
      <c r="W56">
        <f>HYPERLINK("https://klasma.github.io/Logging_0562/klagomålsmail/A 26223-2019 FSC-klagomål mail.docx", "A 26223-2019")</f>
        <v/>
      </c>
      <c r="X56">
        <f>HYPERLINK("https://klasma.github.io/Logging_0562/tillsyn/A 26223-2019 tillsynsbegäran.docx", "A 26223-2019")</f>
        <v/>
      </c>
      <c r="Y56">
        <f>HYPERLINK("https://klasma.github.io/Logging_0562/tillsynsmail/A 26223-2019 tillsynsbegäran mail.docx", "A 26223-2019")</f>
        <v/>
      </c>
    </row>
    <row r="57" ht="15" customHeight="1">
      <c r="A57" t="inlineStr">
        <is>
          <t>A 26227-2019</t>
        </is>
      </c>
      <c r="B57" s="1" t="n">
        <v>43609</v>
      </c>
      <c r="C57" s="1" t="n">
        <v>45849</v>
      </c>
      <c r="D57" t="inlineStr">
        <is>
          <t>ÖSTERGÖTLANDS LÄN</t>
        </is>
      </c>
      <c r="E57" t="inlineStr">
        <is>
          <t>FINSPÅNG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Råglosta</t>
        </is>
      </c>
      <c r="S57">
        <f>HYPERLINK("https://klasma.github.io/Logging_0562/artfynd/A 26227-2019 artfynd.xlsx", "A 26227-2019")</f>
        <v/>
      </c>
      <c r="T57">
        <f>HYPERLINK("https://klasma.github.io/Logging_0562/kartor/A 26227-2019 karta.png", "A 26227-2019")</f>
        <v/>
      </c>
      <c r="V57">
        <f>HYPERLINK("https://klasma.github.io/Logging_0562/klagomål/A 26227-2019 FSC-klagomål.docx", "A 26227-2019")</f>
        <v/>
      </c>
      <c r="W57">
        <f>HYPERLINK("https://klasma.github.io/Logging_0562/klagomålsmail/A 26227-2019 FSC-klagomål mail.docx", "A 26227-2019")</f>
        <v/>
      </c>
      <c r="X57">
        <f>HYPERLINK("https://klasma.github.io/Logging_0562/tillsyn/A 26227-2019 tillsynsbegäran.docx", "A 26227-2019")</f>
        <v/>
      </c>
      <c r="Y57">
        <f>HYPERLINK("https://klasma.github.io/Logging_0562/tillsynsmail/A 26227-2019 tillsynsbegäran mail.docx", "A 26227-2019")</f>
        <v/>
      </c>
    </row>
    <row r="58" ht="15" customHeight="1">
      <c r="A58" t="inlineStr">
        <is>
          <t>A 30229-2019</t>
        </is>
      </c>
      <c r="B58" s="1" t="n">
        <v>43633</v>
      </c>
      <c r="C58" s="1" t="n">
        <v>45849</v>
      </c>
      <c r="D58" t="inlineStr">
        <is>
          <t>ÖSTERGÖTLANDS LÄN</t>
        </is>
      </c>
      <c r="E58" t="inlineStr">
        <is>
          <t>FINSPÅNG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HYPERLINK("https://klasma.github.io/Logging_0562/artfynd/A 30229-2019 artfynd.xlsx", "A 30229-2019")</f>
        <v/>
      </c>
      <c r="T58">
        <f>HYPERLINK("https://klasma.github.io/Logging_0562/kartor/A 30229-2019 karta.png", "A 30229-2019")</f>
        <v/>
      </c>
      <c r="V58">
        <f>HYPERLINK("https://klasma.github.io/Logging_0562/klagomål/A 30229-2019 FSC-klagomål.docx", "A 30229-2019")</f>
        <v/>
      </c>
      <c r="W58">
        <f>HYPERLINK("https://klasma.github.io/Logging_0562/klagomålsmail/A 30229-2019 FSC-klagomål mail.docx", "A 30229-2019")</f>
        <v/>
      </c>
      <c r="X58">
        <f>HYPERLINK("https://klasma.github.io/Logging_0562/tillsyn/A 30229-2019 tillsynsbegäran.docx", "A 30229-2019")</f>
        <v/>
      </c>
      <c r="Y58">
        <f>HYPERLINK("https://klasma.github.io/Logging_0562/tillsynsmail/A 30229-2019 tillsynsbegäran mail.docx", "A 30229-2019")</f>
        <v/>
      </c>
    </row>
    <row r="59" ht="15" customHeight="1">
      <c r="A59" t="inlineStr">
        <is>
          <t>A 34632-2019</t>
        </is>
      </c>
      <c r="B59" s="1" t="n">
        <v>43657</v>
      </c>
      <c r="C59" s="1" t="n">
        <v>45849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HYPERLINK("https://klasma.github.io/Logging_0562/artfynd/A 34632-2019 artfynd.xlsx", "A 34632-2019")</f>
        <v/>
      </c>
      <c r="T59">
        <f>HYPERLINK("https://klasma.github.io/Logging_0562/kartor/A 34632-2019 karta.png", "A 34632-2019")</f>
        <v/>
      </c>
      <c r="V59">
        <f>HYPERLINK("https://klasma.github.io/Logging_0562/klagomål/A 34632-2019 FSC-klagomål.docx", "A 34632-2019")</f>
        <v/>
      </c>
      <c r="W59">
        <f>HYPERLINK("https://klasma.github.io/Logging_0562/klagomålsmail/A 34632-2019 FSC-klagomål mail.docx", "A 34632-2019")</f>
        <v/>
      </c>
      <c r="X59">
        <f>HYPERLINK("https://klasma.github.io/Logging_0562/tillsyn/A 34632-2019 tillsynsbegäran.docx", "A 34632-2019")</f>
        <v/>
      </c>
      <c r="Y59">
        <f>HYPERLINK("https://klasma.github.io/Logging_0562/tillsynsmail/A 34632-2019 tillsynsbegäran mail.docx", "A 34632-2019")</f>
        <v/>
      </c>
    </row>
    <row r="60" ht="15" customHeight="1">
      <c r="A60" t="inlineStr">
        <is>
          <t>A 49494-2019</t>
        </is>
      </c>
      <c r="B60" s="1" t="n">
        <v>43732</v>
      </c>
      <c r="C60" s="1" t="n">
        <v>45849</v>
      </c>
      <c r="D60" t="inlineStr">
        <is>
          <t>ÖSTERGÖTLANDS LÄN</t>
        </is>
      </c>
      <c r="E60" t="inlineStr">
        <is>
          <t>FINSPÅNG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49494-2019 artfynd.xlsx", "A 49494-2019")</f>
        <v/>
      </c>
      <c r="T60">
        <f>HYPERLINK("https://klasma.github.io/Logging_0562/kartor/A 49494-2019 karta.png", "A 49494-2019")</f>
        <v/>
      </c>
      <c r="V60">
        <f>HYPERLINK("https://klasma.github.io/Logging_0562/klagomål/A 49494-2019 FSC-klagomål.docx", "A 49494-2019")</f>
        <v/>
      </c>
      <c r="W60">
        <f>HYPERLINK("https://klasma.github.io/Logging_0562/klagomålsmail/A 49494-2019 FSC-klagomål mail.docx", "A 49494-2019")</f>
        <v/>
      </c>
      <c r="X60">
        <f>HYPERLINK("https://klasma.github.io/Logging_0562/tillsyn/A 49494-2019 tillsynsbegäran.docx", "A 49494-2019")</f>
        <v/>
      </c>
      <c r="Y60">
        <f>HYPERLINK("https://klasma.github.io/Logging_0562/tillsynsmail/A 49494-2019 tillsynsbegäran mail.docx", "A 49494-2019")</f>
        <v/>
      </c>
    </row>
    <row r="61" ht="15" customHeight="1">
      <c r="A61" t="inlineStr">
        <is>
          <t>A 55658-2019</t>
        </is>
      </c>
      <c r="B61" s="1" t="n">
        <v>43760</v>
      </c>
      <c r="C61" s="1" t="n">
        <v>45849</v>
      </c>
      <c r="D61" t="inlineStr">
        <is>
          <t>ÖSTERGÖTLANDS LÄN</t>
        </is>
      </c>
      <c r="E61" t="inlineStr">
        <is>
          <t>FINSPÅNG</t>
        </is>
      </c>
      <c r="G61" t="n">
        <v>8.4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Raggbock</t>
        </is>
      </c>
      <c r="S61">
        <f>HYPERLINK("https://klasma.github.io/Logging_0562/artfynd/A 55658-2019 artfynd.xlsx", "A 55658-2019")</f>
        <v/>
      </c>
      <c r="T61">
        <f>HYPERLINK("https://klasma.github.io/Logging_0562/kartor/A 55658-2019 karta.png", "A 55658-2019")</f>
        <v/>
      </c>
      <c r="V61">
        <f>HYPERLINK("https://klasma.github.io/Logging_0562/klagomål/A 55658-2019 FSC-klagomål.docx", "A 55658-2019")</f>
        <v/>
      </c>
      <c r="W61">
        <f>HYPERLINK("https://klasma.github.io/Logging_0562/klagomålsmail/A 55658-2019 FSC-klagomål mail.docx", "A 55658-2019")</f>
        <v/>
      </c>
      <c r="X61">
        <f>HYPERLINK("https://klasma.github.io/Logging_0562/tillsyn/A 55658-2019 tillsynsbegäran.docx", "A 55658-2019")</f>
        <v/>
      </c>
      <c r="Y61">
        <f>HYPERLINK("https://klasma.github.io/Logging_0562/tillsynsmail/A 55658-2019 tillsynsbegäran mail.docx", "A 55658-2019")</f>
        <v/>
      </c>
    </row>
    <row r="62" ht="15" customHeight="1">
      <c r="A62" t="inlineStr">
        <is>
          <t>A 2350-2020</t>
        </is>
      </c>
      <c r="B62" s="1" t="n">
        <v>43846</v>
      </c>
      <c r="C62" s="1" t="n">
        <v>45849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HYPERLINK("https://klasma.github.io/Logging_0562/artfynd/A 2350-2020 artfynd.xlsx", "A 2350-2020")</f>
        <v/>
      </c>
      <c r="T62">
        <f>HYPERLINK("https://klasma.github.io/Logging_0562/kartor/A 2350-2020 karta.png", "A 2350-2020")</f>
        <v/>
      </c>
      <c r="V62">
        <f>HYPERLINK("https://klasma.github.io/Logging_0562/klagomål/A 2350-2020 FSC-klagomål.docx", "A 2350-2020")</f>
        <v/>
      </c>
      <c r="W62">
        <f>HYPERLINK("https://klasma.github.io/Logging_0562/klagomålsmail/A 2350-2020 FSC-klagomål mail.docx", "A 2350-2020")</f>
        <v/>
      </c>
      <c r="X62">
        <f>HYPERLINK("https://klasma.github.io/Logging_0562/tillsyn/A 2350-2020 tillsynsbegäran.docx", "A 2350-2020")</f>
        <v/>
      </c>
      <c r="Y62">
        <f>HYPERLINK("https://klasma.github.io/Logging_0562/tillsynsmail/A 2350-2020 tillsynsbegäran mail.docx", "A 2350-2020")</f>
        <v/>
      </c>
    </row>
    <row r="63" ht="15" customHeight="1">
      <c r="A63" t="inlineStr">
        <is>
          <t>A 3021-2020</t>
        </is>
      </c>
      <c r="B63" s="1" t="n">
        <v>43851</v>
      </c>
      <c r="C63" s="1" t="n">
        <v>45849</v>
      </c>
      <c r="D63" t="inlineStr">
        <is>
          <t>ÖSTERGÖTLANDS LÄN</t>
        </is>
      </c>
      <c r="E63" t="inlineStr">
        <is>
          <t>FINSPÅNG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HYPERLINK("https://klasma.github.io/Logging_0562/artfynd/A 3021-2020 artfynd.xlsx", "A 3021-2020")</f>
        <v/>
      </c>
      <c r="T63">
        <f>HYPERLINK("https://klasma.github.io/Logging_0562/kartor/A 3021-2020 karta.png", "A 3021-2020")</f>
        <v/>
      </c>
      <c r="V63">
        <f>HYPERLINK("https://klasma.github.io/Logging_0562/klagomål/A 3021-2020 FSC-klagomål.docx", "A 3021-2020")</f>
        <v/>
      </c>
      <c r="W63">
        <f>HYPERLINK("https://klasma.github.io/Logging_0562/klagomålsmail/A 3021-2020 FSC-klagomål mail.docx", "A 3021-2020")</f>
        <v/>
      </c>
      <c r="X63">
        <f>HYPERLINK("https://klasma.github.io/Logging_0562/tillsyn/A 3021-2020 tillsynsbegäran.docx", "A 3021-2020")</f>
        <v/>
      </c>
      <c r="Y63">
        <f>HYPERLINK("https://klasma.github.io/Logging_0562/tillsynsmail/A 3021-2020 tillsynsbegäran mail.docx", "A 3021-2020")</f>
        <v/>
      </c>
    </row>
    <row r="64" ht="15" customHeight="1">
      <c r="A64" t="inlineStr">
        <is>
          <t>A 14835-2020</t>
        </is>
      </c>
      <c r="B64" s="1" t="n">
        <v>43909</v>
      </c>
      <c r="C64" s="1" t="n">
        <v>45849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Vedtrappmossa</t>
        </is>
      </c>
      <c r="S64">
        <f>HYPERLINK("https://klasma.github.io/Logging_0562/artfynd/A 14835-2020 artfynd.xlsx", "A 14835-2020")</f>
        <v/>
      </c>
      <c r="T64">
        <f>HYPERLINK("https://klasma.github.io/Logging_0562/kartor/A 14835-2020 karta.png", "A 14835-2020")</f>
        <v/>
      </c>
      <c r="V64">
        <f>HYPERLINK("https://klasma.github.io/Logging_0562/klagomål/A 14835-2020 FSC-klagomål.docx", "A 14835-2020")</f>
        <v/>
      </c>
      <c r="W64">
        <f>HYPERLINK("https://klasma.github.io/Logging_0562/klagomålsmail/A 14835-2020 FSC-klagomål mail.docx", "A 14835-2020")</f>
        <v/>
      </c>
      <c r="X64">
        <f>HYPERLINK("https://klasma.github.io/Logging_0562/tillsyn/A 14835-2020 tillsynsbegäran.docx", "A 14835-2020")</f>
        <v/>
      </c>
      <c r="Y64">
        <f>HYPERLINK("https://klasma.github.io/Logging_0562/tillsynsmail/A 14835-2020 tillsynsbegäran mail.docx", "A 14835-2020")</f>
        <v/>
      </c>
    </row>
    <row r="65" ht="15" customHeight="1">
      <c r="A65" t="inlineStr">
        <is>
          <t>A 30624-2020</t>
        </is>
      </c>
      <c r="B65" s="1" t="n">
        <v>44008</v>
      </c>
      <c r="C65" s="1" t="n">
        <v>45849</v>
      </c>
      <c r="D65" t="inlineStr">
        <is>
          <t>ÖSTERGÖTLANDS LÄN</t>
        </is>
      </c>
      <c r="E65" t="inlineStr">
        <is>
          <t>FINSPÅNG</t>
        </is>
      </c>
      <c r="G65" t="n">
        <v>4.7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Sveafibbla</t>
        </is>
      </c>
      <c r="S65">
        <f>HYPERLINK("https://klasma.github.io/Logging_0562/artfynd/A 30624-2020 artfynd.xlsx", "A 30624-2020")</f>
        <v/>
      </c>
      <c r="T65">
        <f>HYPERLINK("https://klasma.github.io/Logging_0562/kartor/A 30624-2020 karta.png", "A 30624-2020")</f>
        <v/>
      </c>
      <c r="V65">
        <f>HYPERLINK("https://klasma.github.io/Logging_0562/klagomål/A 30624-2020 FSC-klagomål.docx", "A 30624-2020")</f>
        <v/>
      </c>
      <c r="W65">
        <f>HYPERLINK("https://klasma.github.io/Logging_0562/klagomålsmail/A 30624-2020 FSC-klagomål mail.docx", "A 30624-2020")</f>
        <v/>
      </c>
      <c r="X65">
        <f>HYPERLINK("https://klasma.github.io/Logging_0562/tillsyn/A 30624-2020 tillsynsbegäran.docx", "A 30624-2020")</f>
        <v/>
      </c>
      <c r="Y65">
        <f>HYPERLINK("https://klasma.github.io/Logging_0562/tillsynsmail/A 30624-2020 tillsynsbegäran mail.docx", "A 30624-2020")</f>
        <v/>
      </c>
    </row>
    <row r="66" ht="15" customHeight="1">
      <c r="A66" t="inlineStr">
        <is>
          <t>A 54832-2020</t>
        </is>
      </c>
      <c r="B66" s="1" t="n">
        <v>44127</v>
      </c>
      <c r="C66" s="1" t="n">
        <v>45849</v>
      </c>
      <c r="D66" t="inlineStr">
        <is>
          <t>ÖSTERGÖTLANDS LÄN</t>
        </is>
      </c>
      <c r="E66" t="inlineStr">
        <is>
          <t>FINSPÅNG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 aspvedbock</t>
        </is>
      </c>
      <c r="S66">
        <f>HYPERLINK("https://klasma.github.io/Logging_0562/artfynd/A 54832-2020 artfynd.xlsx", "A 54832-2020")</f>
        <v/>
      </c>
      <c r="T66">
        <f>HYPERLINK("https://klasma.github.io/Logging_0562/kartor/A 54832-2020 karta.png", "A 54832-2020")</f>
        <v/>
      </c>
      <c r="V66">
        <f>HYPERLINK("https://klasma.github.io/Logging_0562/klagomål/A 54832-2020 FSC-klagomål.docx", "A 54832-2020")</f>
        <v/>
      </c>
      <c r="W66">
        <f>HYPERLINK("https://klasma.github.io/Logging_0562/klagomålsmail/A 54832-2020 FSC-klagomål mail.docx", "A 54832-2020")</f>
        <v/>
      </c>
      <c r="X66">
        <f>HYPERLINK("https://klasma.github.io/Logging_0562/tillsyn/A 54832-2020 tillsynsbegäran.docx", "A 54832-2020")</f>
        <v/>
      </c>
      <c r="Y66">
        <f>HYPERLINK("https://klasma.github.io/Logging_0562/tillsynsmail/A 54832-2020 tillsynsbegäran mail.docx", "A 54832-2020")</f>
        <v/>
      </c>
    </row>
    <row r="67" ht="15" customHeight="1">
      <c r="A67" t="inlineStr">
        <is>
          <t>A 5534-2021</t>
        </is>
      </c>
      <c r="B67" s="1" t="n">
        <v>44230</v>
      </c>
      <c r="C67" s="1" t="n">
        <v>45849</v>
      </c>
      <c r="D67" t="inlineStr">
        <is>
          <t>ÖSTERGÖTLANDS LÄN</t>
        </is>
      </c>
      <c r="E67" t="inlineStr">
        <is>
          <t>FINSPÅNG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HYPERLINK("https://klasma.github.io/Logging_0562/artfynd/A 5534-2021 artfynd.xlsx", "A 5534-2021")</f>
        <v/>
      </c>
      <c r="T67">
        <f>HYPERLINK("https://klasma.github.io/Logging_0562/kartor/A 5534-2021 karta.png", "A 5534-2021")</f>
        <v/>
      </c>
      <c r="V67">
        <f>HYPERLINK("https://klasma.github.io/Logging_0562/klagomål/A 5534-2021 FSC-klagomål.docx", "A 5534-2021")</f>
        <v/>
      </c>
      <c r="W67">
        <f>HYPERLINK("https://klasma.github.io/Logging_0562/klagomålsmail/A 5534-2021 FSC-klagomål mail.docx", "A 5534-2021")</f>
        <v/>
      </c>
      <c r="X67">
        <f>HYPERLINK("https://klasma.github.io/Logging_0562/tillsyn/A 5534-2021 tillsynsbegäran.docx", "A 5534-2021")</f>
        <v/>
      </c>
      <c r="Y67">
        <f>HYPERLINK("https://klasma.github.io/Logging_0562/tillsynsmail/A 5534-2021 tillsynsbegäran mail.docx", "A 5534-2021")</f>
        <v/>
      </c>
      <c r="Z67">
        <f>HYPERLINK("https://klasma.github.io/Logging_0562/fåglar/A 5534-2021 prioriterade fågelarter.docx", "A 5534-2021")</f>
        <v/>
      </c>
    </row>
    <row r="68" ht="15" customHeight="1">
      <c r="A68" t="inlineStr">
        <is>
          <t>A 12446-2021</t>
        </is>
      </c>
      <c r="B68" s="1" t="n">
        <v>44267</v>
      </c>
      <c r="C68" s="1" t="n">
        <v>45849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HYPERLINK("https://klasma.github.io/Logging_0562/artfynd/A 12446-2021 artfynd.xlsx", "A 12446-2021")</f>
        <v/>
      </c>
      <c r="T68">
        <f>HYPERLINK("https://klasma.github.io/Logging_0562/kartor/A 12446-2021 karta.png", "A 12446-2021")</f>
        <v/>
      </c>
      <c r="V68">
        <f>HYPERLINK("https://klasma.github.io/Logging_0562/klagomål/A 12446-2021 FSC-klagomål.docx", "A 12446-2021")</f>
        <v/>
      </c>
      <c r="W68">
        <f>HYPERLINK("https://klasma.github.io/Logging_0562/klagomålsmail/A 12446-2021 FSC-klagomål mail.docx", "A 12446-2021")</f>
        <v/>
      </c>
      <c r="X68">
        <f>HYPERLINK("https://klasma.github.io/Logging_0562/tillsyn/A 12446-2021 tillsynsbegäran.docx", "A 12446-2021")</f>
        <v/>
      </c>
      <c r="Y68">
        <f>HYPERLINK("https://klasma.github.io/Logging_0562/tillsynsmail/A 12446-2021 tillsynsbegäran mail.docx", "A 12446-2021")</f>
        <v/>
      </c>
    </row>
    <row r="69" ht="15" customHeight="1">
      <c r="A69" t="inlineStr">
        <is>
          <t>A 16747-2021</t>
        </is>
      </c>
      <c r="B69" s="1" t="n">
        <v>44294</v>
      </c>
      <c r="C69" s="1" t="n">
        <v>45849</v>
      </c>
      <c r="D69" t="inlineStr">
        <is>
          <t>ÖSTERGÖTLANDS LÄN</t>
        </is>
      </c>
      <c r="E69" t="inlineStr">
        <is>
          <t>FINSPÅNG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16747-2021 artfynd.xlsx", "A 16747-2021")</f>
        <v/>
      </c>
      <c r="T69">
        <f>HYPERLINK("https://klasma.github.io/Logging_0562/kartor/A 16747-2021 karta.png", "A 16747-2021")</f>
        <v/>
      </c>
      <c r="V69">
        <f>HYPERLINK("https://klasma.github.io/Logging_0562/klagomål/A 16747-2021 FSC-klagomål.docx", "A 16747-2021")</f>
        <v/>
      </c>
      <c r="W69">
        <f>HYPERLINK("https://klasma.github.io/Logging_0562/klagomålsmail/A 16747-2021 FSC-klagomål mail.docx", "A 16747-2021")</f>
        <v/>
      </c>
      <c r="X69">
        <f>HYPERLINK("https://klasma.github.io/Logging_0562/tillsyn/A 16747-2021 tillsynsbegäran.docx", "A 16747-2021")</f>
        <v/>
      </c>
      <c r="Y69">
        <f>HYPERLINK("https://klasma.github.io/Logging_0562/tillsynsmail/A 16747-2021 tillsynsbegäran mail.docx", "A 16747-2021")</f>
        <v/>
      </c>
    </row>
    <row r="70" ht="15" customHeight="1">
      <c r="A70" t="inlineStr">
        <is>
          <t>A 38056-2021</t>
        </is>
      </c>
      <c r="B70" s="1" t="n">
        <v>44404</v>
      </c>
      <c r="C70" s="1" t="n">
        <v>45849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HYPERLINK("https://klasma.github.io/Logging_0562/artfynd/A 38056-2021 artfynd.xlsx", "A 38056-2021")</f>
        <v/>
      </c>
      <c r="T70">
        <f>HYPERLINK("https://klasma.github.io/Logging_0562/kartor/A 38056-2021 karta.png", "A 38056-2021")</f>
        <v/>
      </c>
      <c r="V70">
        <f>HYPERLINK("https://klasma.github.io/Logging_0562/klagomål/A 38056-2021 FSC-klagomål.docx", "A 38056-2021")</f>
        <v/>
      </c>
      <c r="W70">
        <f>HYPERLINK("https://klasma.github.io/Logging_0562/klagomålsmail/A 38056-2021 FSC-klagomål mail.docx", "A 38056-2021")</f>
        <v/>
      </c>
      <c r="X70">
        <f>HYPERLINK("https://klasma.github.io/Logging_0562/tillsyn/A 38056-2021 tillsynsbegäran.docx", "A 38056-2021")</f>
        <v/>
      </c>
      <c r="Y70">
        <f>HYPERLINK("https://klasma.github.io/Logging_0562/tillsynsmail/A 38056-2021 tillsynsbegäran mail.docx", "A 38056-2021")</f>
        <v/>
      </c>
    </row>
    <row r="71" ht="15" customHeight="1">
      <c r="A71" t="inlineStr">
        <is>
          <t>A 68414-2021</t>
        </is>
      </c>
      <c r="B71" s="1" t="n">
        <v>44529</v>
      </c>
      <c r="C71" s="1" t="n">
        <v>45849</v>
      </c>
      <c r="D71" t="inlineStr">
        <is>
          <t>ÖSTERGÖTLANDS LÄN</t>
        </is>
      </c>
      <c r="E71" t="inlineStr">
        <is>
          <t>FINSPÅNG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HYPERLINK("https://klasma.github.io/Logging_0562/artfynd/A 68414-2021 artfynd.xlsx", "A 68414-2021")</f>
        <v/>
      </c>
      <c r="T71">
        <f>HYPERLINK("https://klasma.github.io/Logging_0562/kartor/A 68414-2021 karta.png", "A 68414-2021")</f>
        <v/>
      </c>
      <c r="V71">
        <f>HYPERLINK("https://klasma.github.io/Logging_0562/klagomål/A 68414-2021 FSC-klagomål.docx", "A 68414-2021")</f>
        <v/>
      </c>
      <c r="W71">
        <f>HYPERLINK("https://klasma.github.io/Logging_0562/klagomålsmail/A 68414-2021 FSC-klagomål mail.docx", "A 68414-2021")</f>
        <v/>
      </c>
      <c r="X71">
        <f>HYPERLINK("https://klasma.github.io/Logging_0562/tillsyn/A 68414-2021 tillsynsbegäran.docx", "A 68414-2021")</f>
        <v/>
      </c>
      <c r="Y71">
        <f>HYPERLINK("https://klasma.github.io/Logging_0562/tillsynsmail/A 68414-2021 tillsynsbegäran mail.docx", "A 68414-2021")</f>
        <v/>
      </c>
    </row>
    <row r="72" ht="15" customHeight="1">
      <c r="A72" t="inlineStr">
        <is>
          <t>A 6035-2022</t>
        </is>
      </c>
      <c r="B72" s="1" t="n">
        <v>44599</v>
      </c>
      <c r="C72" s="1" t="n">
        <v>45849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Naturvårdsverket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Bred kärrtrollslända</t>
        </is>
      </c>
      <c r="S72">
        <f>HYPERLINK("https://klasma.github.io/Logging_0562/artfynd/A 6035-2022 artfynd.xlsx", "A 6035-2022")</f>
        <v/>
      </c>
      <c r="T72">
        <f>HYPERLINK("https://klasma.github.io/Logging_0562/kartor/A 6035-2022 karta.png", "A 6035-2022")</f>
        <v/>
      </c>
      <c r="V72">
        <f>HYPERLINK("https://klasma.github.io/Logging_0562/klagomål/A 6035-2022 FSC-klagomål.docx", "A 6035-2022")</f>
        <v/>
      </c>
      <c r="W72">
        <f>HYPERLINK("https://klasma.github.io/Logging_0562/klagomålsmail/A 6035-2022 FSC-klagomål mail.docx", "A 6035-2022")</f>
        <v/>
      </c>
      <c r="X72">
        <f>HYPERLINK("https://klasma.github.io/Logging_0562/tillsyn/A 6035-2022 tillsynsbegäran.docx", "A 6035-2022")</f>
        <v/>
      </c>
      <c r="Y72">
        <f>HYPERLINK("https://klasma.github.io/Logging_0562/tillsynsmail/A 6035-2022 tillsynsbegäran mail.docx", "A 6035-2022")</f>
        <v/>
      </c>
    </row>
    <row r="73" ht="15" customHeight="1">
      <c r="A73" t="inlineStr">
        <is>
          <t>A 10203-2022</t>
        </is>
      </c>
      <c r="B73" s="1" t="n">
        <v>44622</v>
      </c>
      <c r="C73" s="1" t="n">
        <v>45849</v>
      </c>
      <c r="D73" t="inlineStr">
        <is>
          <t>ÖSTERGÖTLANDS LÄN</t>
        </is>
      </c>
      <c r="E73" t="inlineStr">
        <is>
          <t>FINSPÅNG</t>
        </is>
      </c>
      <c r="G73" t="n">
        <v>0.6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HYPERLINK("https://klasma.github.io/Logging_0562/artfynd/A 10203-2022 artfynd.xlsx", "A 10203-2022")</f>
        <v/>
      </c>
      <c r="T73">
        <f>HYPERLINK("https://klasma.github.io/Logging_0562/kartor/A 10203-2022 karta.png", "A 10203-2022")</f>
        <v/>
      </c>
      <c r="V73">
        <f>HYPERLINK("https://klasma.github.io/Logging_0562/klagomål/A 10203-2022 FSC-klagomål.docx", "A 10203-2022")</f>
        <v/>
      </c>
      <c r="W73">
        <f>HYPERLINK("https://klasma.github.io/Logging_0562/klagomålsmail/A 10203-2022 FSC-klagomål mail.docx", "A 10203-2022")</f>
        <v/>
      </c>
      <c r="X73">
        <f>HYPERLINK("https://klasma.github.io/Logging_0562/tillsyn/A 10203-2022 tillsynsbegäran.docx", "A 10203-2022")</f>
        <v/>
      </c>
      <c r="Y73">
        <f>HYPERLINK("https://klasma.github.io/Logging_0562/tillsynsmail/A 10203-2022 tillsynsbegäran mail.docx", "A 10203-2022")</f>
        <v/>
      </c>
    </row>
    <row r="74" ht="15" customHeight="1">
      <c r="A74" t="inlineStr">
        <is>
          <t>A 17960-2022</t>
        </is>
      </c>
      <c r="B74" s="1" t="n">
        <v>44683</v>
      </c>
      <c r="C74" s="1" t="n">
        <v>45849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Källpraktmossa</t>
        </is>
      </c>
      <c r="S74">
        <f>HYPERLINK("https://klasma.github.io/Logging_0562/artfynd/A 17960-2022 artfynd.xlsx", "A 17960-2022")</f>
        <v/>
      </c>
      <c r="T74">
        <f>HYPERLINK("https://klasma.github.io/Logging_0562/kartor/A 17960-2022 karta.png", "A 17960-2022")</f>
        <v/>
      </c>
      <c r="V74">
        <f>HYPERLINK("https://klasma.github.io/Logging_0562/klagomål/A 17960-2022 FSC-klagomål.docx", "A 17960-2022")</f>
        <v/>
      </c>
      <c r="W74">
        <f>HYPERLINK("https://klasma.github.io/Logging_0562/klagomålsmail/A 17960-2022 FSC-klagomål mail.docx", "A 17960-2022")</f>
        <v/>
      </c>
      <c r="X74">
        <f>HYPERLINK("https://klasma.github.io/Logging_0562/tillsyn/A 17960-2022 tillsynsbegäran.docx", "A 17960-2022")</f>
        <v/>
      </c>
      <c r="Y74">
        <f>HYPERLINK("https://klasma.github.io/Logging_0562/tillsynsmail/A 17960-2022 tillsynsbegäran mail.docx", "A 17960-2022")</f>
        <v/>
      </c>
    </row>
    <row r="75" ht="15" customHeight="1">
      <c r="A75" t="inlineStr">
        <is>
          <t>A 18935-2022</t>
        </is>
      </c>
      <c r="B75" s="1" t="n">
        <v>44690</v>
      </c>
      <c r="C75" s="1" t="n">
        <v>45849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HYPERLINK("https://klasma.github.io/Logging_0562/artfynd/A 18935-2022 artfynd.xlsx", "A 18935-2022")</f>
        <v/>
      </c>
      <c r="T75">
        <f>HYPERLINK("https://klasma.github.io/Logging_0562/kartor/A 18935-2022 karta.png", "A 18935-2022")</f>
        <v/>
      </c>
      <c r="V75">
        <f>HYPERLINK("https://klasma.github.io/Logging_0562/klagomål/A 18935-2022 FSC-klagomål.docx", "A 18935-2022")</f>
        <v/>
      </c>
      <c r="W75">
        <f>HYPERLINK("https://klasma.github.io/Logging_0562/klagomålsmail/A 18935-2022 FSC-klagomål mail.docx", "A 18935-2022")</f>
        <v/>
      </c>
      <c r="X75">
        <f>HYPERLINK("https://klasma.github.io/Logging_0562/tillsyn/A 18935-2022 tillsynsbegäran.docx", "A 18935-2022")</f>
        <v/>
      </c>
      <c r="Y75">
        <f>HYPERLINK("https://klasma.github.io/Logging_0562/tillsynsmail/A 18935-2022 tillsynsbegäran mail.docx", "A 18935-2022")</f>
        <v/>
      </c>
    </row>
    <row r="76" ht="15" customHeight="1">
      <c r="A76" t="inlineStr">
        <is>
          <t>A 29467-2022</t>
        </is>
      </c>
      <c r="B76" s="1" t="n">
        <v>44753</v>
      </c>
      <c r="C76" s="1" t="n">
        <v>45849</v>
      </c>
      <c r="D76" t="inlineStr">
        <is>
          <t>ÖSTERGÖTLANDS LÄN</t>
        </is>
      </c>
      <c r="E76" t="inlineStr">
        <is>
          <t>FINSPÅNG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HYPERLINK("https://klasma.github.io/Logging_0562/artfynd/A 29467-2022 artfynd.xlsx", "A 29467-2022")</f>
        <v/>
      </c>
      <c r="T76">
        <f>HYPERLINK("https://klasma.github.io/Logging_0562/kartor/A 29467-2022 karta.png", "A 29467-2022")</f>
        <v/>
      </c>
      <c r="V76">
        <f>HYPERLINK("https://klasma.github.io/Logging_0562/klagomål/A 29467-2022 FSC-klagomål.docx", "A 29467-2022")</f>
        <v/>
      </c>
      <c r="W76">
        <f>HYPERLINK("https://klasma.github.io/Logging_0562/klagomålsmail/A 29467-2022 FSC-klagomål mail.docx", "A 29467-2022")</f>
        <v/>
      </c>
      <c r="X76">
        <f>HYPERLINK("https://klasma.github.io/Logging_0562/tillsyn/A 29467-2022 tillsynsbegäran.docx", "A 29467-2022")</f>
        <v/>
      </c>
      <c r="Y76">
        <f>HYPERLINK("https://klasma.github.io/Logging_0562/tillsynsmail/A 29467-2022 tillsynsbegäran mail.docx", "A 29467-2022")</f>
        <v/>
      </c>
    </row>
    <row r="77" ht="15" customHeight="1">
      <c r="A77" t="inlineStr">
        <is>
          <t>A 31750-2022</t>
        </is>
      </c>
      <c r="B77" s="1" t="n">
        <v>44776</v>
      </c>
      <c r="C77" s="1" t="n">
        <v>45849</v>
      </c>
      <c r="D77" t="inlineStr">
        <is>
          <t>ÖSTERGÖTLANDS LÄN</t>
        </is>
      </c>
      <c r="E77" t="inlineStr">
        <is>
          <t>FINSPÅNG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HYPERLINK("https://klasma.github.io/Logging_0562/artfynd/A 31750-2022 artfynd.xlsx", "A 31750-2022")</f>
        <v/>
      </c>
      <c r="T77">
        <f>HYPERLINK("https://klasma.github.io/Logging_0562/kartor/A 31750-2022 karta.png", "A 31750-2022")</f>
        <v/>
      </c>
      <c r="V77">
        <f>HYPERLINK("https://klasma.github.io/Logging_0562/klagomål/A 31750-2022 FSC-klagomål.docx", "A 31750-2022")</f>
        <v/>
      </c>
      <c r="W77">
        <f>HYPERLINK("https://klasma.github.io/Logging_0562/klagomålsmail/A 31750-2022 FSC-klagomål mail.docx", "A 31750-2022")</f>
        <v/>
      </c>
      <c r="X77">
        <f>HYPERLINK("https://klasma.github.io/Logging_0562/tillsyn/A 31750-2022 tillsynsbegäran.docx", "A 31750-2022")</f>
        <v/>
      </c>
      <c r="Y77">
        <f>HYPERLINK("https://klasma.github.io/Logging_0562/tillsynsmail/A 31750-2022 tillsynsbegäran mail.docx", "A 31750-2022")</f>
        <v/>
      </c>
    </row>
    <row r="78" ht="15" customHeight="1">
      <c r="A78" t="inlineStr">
        <is>
          <t>A 45256-2022</t>
        </is>
      </c>
      <c r="B78" s="1" t="n">
        <v>44840</v>
      </c>
      <c r="C78" s="1" t="n">
        <v>45849</v>
      </c>
      <c r="D78" t="inlineStr">
        <is>
          <t>ÖSTERGÖTLANDS LÄN</t>
        </is>
      </c>
      <c r="E78" t="inlineStr">
        <is>
          <t>FINSPÅNG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Stor hagfibbla</t>
        </is>
      </c>
      <c r="S78">
        <f>HYPERLINK("https://klasma.github.io/Logging_0562/artfynd/A 45256-2022 artfynd.xlsx", "A 45256-2022")</f>
        <v/>
      </c>
      <c r="T78">
        <f>HYPERLINK("https://klasma.github.io/Logging_0562/kartor/A 45256-2022 karta.png", "A 45256-2022")</f>
        <v/>
      </c>
      <c r="V78">
        <f>HYPERLINK("https://klasma.github.io/Logging_0562/klagomål/A 45256-2022 FSC-klagomål.docx", "A 45256-2022")</f>
        <v/>
      </c>
      <c r="W78">
        <f>HYPERLINK("https://klasma.github.io/Logging_0562/klagomålsmail/A 45256-2022 FSC-klagomål mail.docx", "A 45256-2022")</f>
        <v/>
      </c>
      <c r="X78">
        <f>HYPERLINK("https://klasma.github.io/Logging_0562/tillsyn/A 45256-2022 tillsynsbegäran.docx", "A 45256-2022")</f>
        <v/>
      </c>
      <c r="Y78">
        <f>HYPERLINK("https://klasma.github.io/Logging_0562/tillsynsmail/A 45256-2022 tillsynsbegäran mail.docx", "A 45256-2022")</f>
        <v/>
      </c>
    </row>
    <row r="79" ht="15" customHeight="1">
      <c r="A79" t="inlineStr">
        <is>
          <t>A 61104-2022</t>
        </is>
      </c>
      <c r="B79" s="1" t="n">
        <v>44915</v>
      </c>
      <c r="C79" s="1" t="n">
        <v>45849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HYPERLINK("https://klasma.github.io/Logging_0562/artfynd/A 61104-2022 artfynd.xlsx", "A 61104-2022")</f>
        <v/>
      </c>
      <c r="T79">
        <f>HYPERLINK("https://klasma.github.io/Logging_0562/kartor/A 61104-2022 karta.png", "A 61104-2022")</f>
        <v/>
      </c>
      <c r="V79">
        <f>HYPERLINK("https://klasma.github.io/Logging_0562/klagomål/A 61104-2022 FSC-klagomål.docx", "A 61104-2022")</f>
        <v/>
      </c>
      <c r="W79">
        <f>HYPERLINK("https://klasma.github.io/Logging_0562/klagomålsmail/A 61104-2022 FSC-klagomål mail.docx", "A 61104-2022")</f>
        <v/>
      </c>
      <c r="X79">
        <f>HYPERLINK("https://klasma.github.io/Logging_0562/tillsyn/A 61104-2022 tillsynsbegäran.docx", "A 61104-2022")</f>
        <v/>
      </c>
      <c r="Y79">
        <f>HYPERLINK("https://klasma.github.io/Logging_0562/tillsynsmail/A 61104-2022 tillsynsbegäran mail.docx", "A 61104-2022")</f>
        <v/>
      </c>
    </row>
    <row r="80" ht="15" customHeight="1">
      <c r="A80" t="inlineStr">
        <is>
          <t>A 663-2023</t>
        </is>
      </c>
      <c r="B80" s="1" t="n">
        <v>44930</v>
      </c>
      <c r="C80" s="1" t="n">
        <v>45849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HYPERLINK("https://klasma.github.io/Logging_0562/artfynd/A 663-2023 artfynd.xlsx", "A 663-2023")</f>
        <v/>
      </c>
      <c r="T80">
        <f>HYPERLINK("https://klasma.github.io/Logging_0562/kartor/A 663-2023 karta.png", "A 663-2023")</f>
        <v/>
      </c>
      <c r="V80">
        <f>HYPERLINK("https://klasma.github.io/Logging_0562/klagomål/A 663-2023 FSC-klagomål.docx", "A 663-2023")</f>
        <v/>
      </c>
      <c r="W80">
        <f>HYPERLINK("https://klasma.github.io/Logging_0562/klagomålsmail/A 663-2023 FSC-klagomål mail.docx", "A 663-2023")</f>
        <v/>
      </c>
      <c r="X80">
        <f>HYPERLINK("https://klasma.github.io/Logging_0562/tillsyn/A 663-2023 tillsynsbegäran.docx", "A 663-2023")</f>
        <v/>
      </c>
      <c r="Y80">
        <f>HYPERLINK("https://klasma.github.io/Logging_0562/tillsynsmail/A 663-2023 tillsynsbegäran mail.docx", "A 663-2023")</f>
        <v/>
      </c>
    </row>
    <row r="81" ht="15" customHeight="1">
      <c r="A81" t="inlineStr">
        <is>
          <t>A 3088-2023</t>
        </is>
      </c>
      <c r="B81" s="1" t="n">
        <v>44946</v>
      </c>
      <c r="C81" s="1" t="n">
        <v>45849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Guldsandbi</t>
        </is>
      </c>
      <c r="S81">
        <f>HYPERLINK("https://klasma.github.io/Logging_0562/artfynd/A 3088-2023 artfynd.xlsx", "A 3088-2023")</f>
        <v/>
      </c>
      <c r="T81">
        <f>HYPERLINK("https://klasma.github.io/Logging_0562/kartor/A 3088-2023 karta.png", "A 3088-2023")</f>
        <v/>
      </c>
      <c r="V81">
        <f>HYPERLINK("https://klasma.github.io/Logging_0562/klagomål/A 3088-2023 FSC-klagomål.docx", "A 3088-2023")</f>
        <v/>
      </c>
      <c r="W81">
        <f>HYPERLINK("https://klasma.github.io/Logging_0562/klagomålsmail/A 3088-2023 FSC-klagomål mail.docx", "A 3088-2023")</f>
        <v/>
      </c>
      <c r="X81">
        <f>HYPERLINK("https://klasma.github.io/Logging_0562/tillsyn/A 3088-2023 tillsynsbegäran.docx", "A 3088-2023")</f>
        <v/>
      </c>
      <c r="Y81">
        <f>HYPERLINK("https://klasma.github.io/Logging_0562/tillsynsmail/A 3088-2023 tillsynsbegäran mail.docx", "A 3088-2023")</f>
        <v/>
      </c>
    </row>
    <row r="82" ht="15" customHeight="1">
      <c r="A82" t="inlineStr">
        <is>
          <t>A 3096-2023</t>
        </is>
      </c>
      <c r="B82" s="1" t="n">
        <v>44946</v>
      </c>
      <c r="C82" s="1" t="n">
        <v>45849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Guldsandbi</t>
        </is>
      </c>
      <c r="S82">
        <f>HYPERLINK("https://klasma.github.io/Logging_0562/artfynd/A 3096-2023 artfynd.xlsx", "A 3096-2023")</f>
        <v/>
      </c>
      <c r="T82">
        <f>HYPERLINK("https://klasma.github.io/Logging_0562/kartor/A 3096-2023 karta.png", "A 3096-2023")</f>
        <v/>
      </c>
      <c r="V82">
        <f>HYPERLINK("https://klasma.github.io/Logging_0562/klagomål/A 3096-2023 FSC-klagomål.docx", "A 3096-2023")</f>
        <v/>
      </c>
      <c r="W82">
        <f>HYPERLINK("https://klasma.github.io/Logging_0562/klagomålsmail/A 3096-2023 FSC-klagomål mail.docx", "A 3096-2023")</f>
        <v/>
      </c>
      <c r="X82">
        <f>HYPERLINK("https://klasma.github.io/Logging_0562/tillsyn/A 3096-2023 tillsynsbegäran.docx", "A 3096-2023")</f>
        <v/>
      </c>
      <c r="Y82">
        <f>HYPERLINK("https://klasma.github.io/Logging_0562/tillsynsmail/A 3096-2023 tillsynsbegäran mail.docx", "A 3096-2023")</f>
        <v/>
      </c>
    </row>
    <row r="83" ht="15" customHeight="1">
      <c r="A83" t="inlineStr">
        <is>
          <t>A 6707-2023</t>
        </is>
      </c>
      <c r="B83" s="1" t="n">
        <v>44966</v>
      </c>
      <c r="C83" s="1" t="n">
        <v>45849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HYPERLINK("https://klasma.github.io/Logging_0562/artfynd/A 6707-2023 artfynd.xlsx", "A 6707-2023")</f>
        <v/>
      </c>
      <c r="T83">
        <f>HYPERLINK("https://klasma.github.io/Logging_0562/kartor/A 6707-2023 karta.png", "A 6707-2023")</f>
        <v/>
      </c>
      <c r="V83">
        <f>HYPERLINK("https://klasma.github.io/Logging_0562/klagomål/A 6707-2023 FSC-klagomål.docx", "A 6707-2023")</f>
        <v/>
      </c>
      <c r="W83">
        <f>HYPERLINK("https://klasma.github.io/Logging_0562/klagomålsmail/A 6707-2023 FSC-klagomål mail.docx", "A 6707-2023")</f>
        <v/>
      </c>
      <c r="X83">
        <f>HYPERLINK("https://klasma.github.io/Logging_0562/tillsyn/A 6707-2023 tillsynsbegäran.docx", "A 6707-2023")</f>
        <v/>
      </c>
      <c r="Y83">
        <f>HYPERLINK("https://klasma.github.io/Logging_0562/tillsynsmail/A 6707-2023 tillsynsbegäran mail.docx", "A 6707-2023")</f>
        <v/>
      </c>
    </row>
    <row r="84" ht="15" customHeight="1">
      <c r="A84" t="inlineStr">
        <is>
          <t>A 6729-2023</t>
        </is>
      </c>
      <c r="B84" s="1" t="n">
        <v>44966</v>
      </c>
      <c r="C84" s="1" t="n">
        <v>45849</v>
      </c>
      <c r="D84" t="inlineStr">
        <is>
          <t>ÖSTERGÖTLANDS LÄN</t>
        </is>
      </c>
      <c r="E84" t="inlineStr">
        <is>
          <t>FINSPÅNG</t>
        </is>
      </c>
      <c r="G84" t="n">
        <v>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HYPERLINK("https://klasma.github.io/Logging_0562/artfynd/A 6729-2023 artfynd.xlsx", "A 6729-2023")</f>
        <v/>
      </c>
      <c r="T84">
        <f>HYPERLINK("https://klasma.github.io/Logging_0562/kartor/A 6729-2023 karta.png", "A 6729-2023")</f>
        <v/>
      </c>
      <c r="V84">
        <f>HYPERLINK("https://klasma.github.io/Logging_0562/klagomål/A 6729-2023 FSC-klagomål.docx", "A 6729-2023")</f>
        <v/>
      </c>
      <c r="W84">
        <f>HYPERLINK("https://klasma.github.io/Logging_0562/klagomålsmail/A 6729-2023 FSC-klagomål mail.docx", "A 6729-2023")</f>
        <v/>
      </c>
      <c r="X84">
        <f>HYPERLINK("https://klasma.github.io/Logging_0562/tillsyn/A 6729-2023 tillsynsbegäran.docx", "A 6729-2023")</f>
        <v/>
      </c>
      <c r="Y84">
        <f>HYPERLINK("https://klasma.github.io/Logging_0562/tillsynsmail/A 6729-2023 tillsynsbegäran mail.docx", "A 6729-2023")</f>
        <v/>
      </c>
    </row>
    <row r="85" ht="15" customHeight="1">
      <c r="A85" t="inlineStr">
        <is>
          <t>A 19404-2023</t>
        </is>
      </c>
      <c r="B85" s="1" t="n">
        <v>45049</v>
      </c>
      <c r="C85" s="1" t="n">
        <v>45849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Naturvårdsverket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HYPERLINK("https://klasma.github.io/Logging_0562/artfynd/A 19404-2023 artfynd.xlsx", "A 19404-2023")</f>
        <v/>
      </c>
      <c r="T85">
        <f>HYPERLINK("https://klasma.github.io/Logging_0562/kartor/A 19404-2023 karta.png", "A 19404-2023")</f>
        <v/>
      </c>
      <c r="V85">
        <f>HYPERLINK("https://klasma.github.io/Logging_0562/klagomål/A 19404-2023 FSC-klagomål.docx", "A 19404-2023")</f>
        <v/>
      </c>
      <c r="W85">
        <f>HYPERLINK("https://klasma.github.io/Logging_0562/klagomålsmail/A 19404-2023 FSC-klagomål mail.docx", "A 19404-2023")</f>
        <v/>
      </c>
      <c r="X85">
        <f>HYPERLINK("https://klasma.github.io/Logging_0562/tillsyn/A 19404-2023 tillsynsbegäran.docx", "A 19404-2023")</f>
        <v/>
      </c>
      <c r="Y85">
        <f>HYPERLINK("https://klasma.github.io/Logging_0562/tillsynsmail/A 19404-2023 tillsynsbegäran mail.docx", "A 19404-2023")</f>
        <v/>
      </c>
    </row>
    <row r="86" ht="15" customHeight="1">
      <c r="A86" t="inlineStr">
        <is>
          <t>A 24411-2023</t>
        </is>
      </c>
      <c r="B86" s="1" t="n">
        <v>45082</v>
      </c>
      <c r="C86" s="1" t="n">
        <v>45849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HYPERLINK("https://klasma.github.io/Logging_0562/artfynd/A 24411-2023 artfynd.xlsx", "A 24411-2023")</f>
        <v/>
      </c>
      <c r="T86">
        <f>HYPERLINK("https://klasma.github.io/Logging_0562/kartor/A 24411-2023 karta.png", "A 24411-2023")</f>
        <v/>
      </c>
      <c r="V86">
        <f>HYPERLINK("https://klasma.github.io/Logging_0562/klagomål/A 24411-2023 FSC-klagomål.docx", "A 24411-2023")</f>
        <v/>
      </c>
      <c r="W86">
        <f>HYPERLINK("https://klasma.github.io/Logging_0562/klagomålsmail/A 24411-2023 FSC-klagomål mail.docx", "A 24411-2023")</f>
        <v/>
      </c>
      <c r="X86">
        <f>HYPERLINK("https://klasma.github.io/Logging_0562/tillsyn/A 24411-2023 tillsynsbegäran.docx", "A 24411-2023")</f>
        <v/>
      </c>
      <c r="Y86">
        <f>HYPERLINK("https://klasma.github.io/Logging_0562/tillsynsmail/A 24411-2023 tillsynsbegäran mail.docx", "A 24411-2023")</f>
        <v/>
      </c>
    </row>
    <row r="87" ht="15" customHeight="1">
      <c r="A87" t="inlineStr">
        <is>
          <t>A 32570-2023</t>
        </is>
      </c>
      <c r="B87" s="1" t="n">
        <v>45121</v>
      </c>
      <c r="C87" s="1" t="n">
        <v>45849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7.7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HYPERLINK("https://klasma.github.io/Logging_0562/artfynd/A 32570-2023 artfynd.xlsx", "A 32570-2023")</f>
        <v/>
      </c>
      <c r="T87">
        <f>HYPERLINK("https://klasma.github.io/Logging_0562/kartor/A 32570-2023 karta.png", "A 32570-2023")</f>
        <v/>
      </c>
      <c r="V87">
        <f>HYPERLINK("https://klasma.github.io/Logging_0562/klagomål/A 32570-2023 FSC-klagomål.docx", "A 32570-2023")</f>
        <v/>
      </c>
      <c r="W87">
        <f>HYPERLINK("https://klasma.github.io/Logging_0562/klagomålsmail/A 32570-2023 FSC-klagomål mail.docx", "A 32570-2023")</f>
        <v/>
      </c>
      <c r="X87">
        <f>HYPERLINK("https://klasma.github.io/Logging_0562/tillsyn/A 32570-2023 tillsynsbegäran.docx", "A 32570-2023")</f>
        <v/>
      </c>
      <c r="Y87">
        <f>HYPERLINK("https://klasma.github.io/Logging_0562/tillsynsmail/A 32570-2023 tillsynsbegäran mail.docx", "A 32570-2023")</f>
        <v/>
      </c>
      <c r="Z87">
        <f>HYPERLINK("https://klasma.github.io/Logging_0562/fåglar/A 32570-2023 prioriterade fågelarter.docx", "A 32570-2023")</f>
        <v/>
      </c>
    </row>
    <row r="88" ht="15" customHeight="1">
      <c r="A88" t="inlineStr">
        <is>
          <t>A 34115-2023</t>
        </is>
      </c>
      <c r="B88" s="1" t="n">
        <v>45135</v>
      </c>
      <c r="C88" s="1" t="n">
        <v>45849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4.8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HYPERLINK("https://klasma.github.io/Logging_0562/artfynd/A 34115-2023 artfynd.xlsx", "A 34115-2023")</f>
        <v/>
      </c>
      <c r="T88">
        <f>HYPERLINK("https://klasma.github.io/Logging_0562/kartor/A 34115-2023 karta.png", "A 34115-2023")</f>
        <v/>
      </c>
      <c r="V88">
        <f>HYPERLINK("https://klasma.github.io/Logging_0562/klagomål/A 34115-2023 FSC-klagomål.docx", "A 34115-2023")</f>
        <v/>
      </c>
      <c r="W88">
        <f>HYPERLINK("https://klasma.github.io/Logging_0562/klagomålsmail/A 34115-2023 FSC-klagomål mail.docx", "A 34115-2023")</f>
        <v/>
      </c>
      <c r="X88">
        <f>HYPERLINK("https://klasma.github.io/Logging_0562/tillsyn/A 34115-2023 tillsynsbegäran.docx", "A 34115-2023")</f>
        <v/>
      </c>
      <c r="Y88">
        <f>HYPERLINK("https://klasma.github.io/Logging_0562/tillsynsmail/A 34115-2023 tillsynsbegäran mail.docx", "A 34115-2023")</f>
        <v/>
      </c>
      <c r="Z88">
        <f>HYPERLINK("https://klasma.github.io/Logging_0562/fåglar/A 34115-2023 prioriterade fågelarter.docx", "A 34115-2023")</f>
        <v/>
      </c>
    </row>
    <row r="89" ht="15" customHeight="1">
      <c r="A89" t="inlineStr">
        <is>
          <t>A 53265-2023</t>
        </is>
      </c>
      <c r="B89" s="1" t="n">
        <v>45229</v>
      </c>
      <c r="C89" s="1" t="n">
        <v>45849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HYPERLINK("https://klasma.github.io/Logging_0562/artfynd/A 53265-2023 artfynd.xlsx", "A 53265-2023")</f>
        <v/>
      </c>
      <c r="T89">
        <f>HYPERLINK("https://klasma.github.io/Logging_0562/kartor/A 53265-2023 karta.png", "A 53265-2023")</f>
        <v/>
      </c>
      <c r="V89">
        <f>HYPERLINK("https://klasma.github.io/Logging_0562/klagomål/A 53265-2023 FSC-klagomål.docx", "A 53265-2023")</f>
        <v/>
      </c>
      <c r="W89">
        <f>HYPERLINK("https://klasma.github.io/Logging_0562/klagomålsmail/A 53265-2023 FSC-klagomål mail.docx", "A 53265-2023")</f>
        <v/>
      </c>
      <c r="X89">
        <f>HYPERLINK("https://klasma.github.io/Logging_0562/tillsyn/A 53265-2023 tillsynsbegäran.docx", "A 53265-2023")</f>
        <v/>
      </c>
      <c r="Y89">
        <f>HYPERLINK("https://klasma.github.io/Logging_0562/tillsynsmail/A 53265-2023 tillsynsbegäran mail.docx", "A 53265-2023")</f>
        <v/>
      </c>
    </row>
    <row r="90" ht="15" customHeight="1">
      <c r="A90" t="inlineStr">
        <is>
          <t>A 54379-2023</t>
        </is>
      </c>
      <c r="B90" s="1" t="n">
        <v>45233</v>
      </c>
      <c r="C90" s="1" t="n">
        <v>45849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Flagellkvastmossa</t>
        </is>
      </c>
      <c r="S90">
        <f>HYPERLINK("https://klasma.github.io/Logging_0562/artfynd/A 54379-2023 artfynd.xlsx", "A 54379-2023")</f>
        <v/>
      </c>
      <c r="T90">
        <f>HYPERLINK("https://klasma.github.io/Logging_0562/kartor/A 54379-2023 karta.png", "A 54379-2023")</f>
        <v/>
      </c>
      <c r="V90">
        <f>HYPERLINK("https://klasma.github.io/Logging_0562/klagomål/A 54379-2023 FSC-klagomål.docx", "A 54379-2023")</f>
        <v/>
      </c>
      <c r="W90">
        <f>HYPERLINK("https://klasma.github.io/Logging_0562/klagomålsmail/A 54379-2023 FSC-klagomål mail.docx", "A 54379-2023")</f>
        <v/>
      </c>
      <c r="X90">
        <f>HYPERLINK("https://klasma.github.io/Logging_0562/tillsyn/A 54379-2023 tillsynsbegäran.docx", "A 54379-2023")</f>
        <v/>
      </c>
      <c r="Y90">
        <f>HYPERLINK("https://klasma.github.io/Logging_0562/tillsynsmail/A 54379-2023 tillsynsbegäran mail.docx", "A 54379-2023")</f>
        <v/>
      </c>
    </row>
    <row r="91" ht="15" customHeight="1">
      <c r="A91" t="inlineStr">
        <is>
          <t>A 54756-2023</t>
        </is>
      </c>
      <c r="B91" s="1" t="n">
        <v>45236</v>
      </c>
      <c r="C91" s="1" t="n">
        <v>45849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Övriga Aktiebolag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HYPERLINK("https://klasma.github.io/Logging_0562/artfynd/A 54756-2023 artfynd.xlsx", "A 54756-2023")</f>
        <v/>
      </c>
      <c r="T91">
        <f>HYPERLINK("https://klasma.github.io/Logging_0562/kartor/A 54756-2023 karta.png", "A 54756-2023")</f>
        <v/>
      </c>
      <c r="V91">
        <f>HYPERLINK("https://klasma.github.io/Logging_0562/klagomål/A 54756-2023 FSC-klagomål.docx", "A 54756-2023")</f>
        <v/>
      </c>
      <c r="W91">
        <f>HYPERLINK("https://klasma.github.io/Logging_0562/klagomålsmail/A 54756-2023 FSC-klagomål mail.docx", "A 54756-2023")</f>
        <v/>
      </c>
      <c r="X91">
        <f>HYPERLINK("https://klasma.github.io/Logging_0562/tillsyn/A 54756-2023 tillsynsbegäran.docx", "A 54756-2023")</f>
        <v/>
      </c>
      <c r="Y91">
        <f>HYPERLINK("https://klasma.github.io/Logging_0562/tillsynsmail/A 54756-2023 tillsynsbegäran mail.docx", "A 54756-2023")</f>
        <v/>
      </c>
      <c r="Z91">
        <f>HYPERLINK("https://klasma.github.io/Logging_0562/fåglar/A 54756-2023 prioriterade fågelarter.docx", "A 54756-2023")</f>
        <v/>
      </c>
    </row>
    <row r="92" ht="15" customHeight="1">
      <c r="A92" t="inlineStr">
        <is>
          <t>A 1177-2024</t>
        </is>
      </c>
      <c r="B92" s="1" t="n">
        <v>45302</v>
      </c>
      <c r="C92" s="1" t="n">
        <v>45849</v>
      </c>
      <c r="D92" t="inlineStr">
        <is>
          <t>ÖSTERGÖTLANDS LÄN</t>
        </is>
      </c>
      <c r="E92" t="inlineStr">
        <is>
          <t>FINSPÅNG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HYPERLINK("https://klasma.github.io/Logging_0562/artfynd/A 1177-2024 artfynd.xlsx", "A 1177-2024")</f>
        <v/>
      </c>
      <c r="T92">
        <f>HYPERLINK("https://klasma.github.io/Logging_0562/kartor/A 1177-2024 karta.png", "A 1177-2024")</f>
        <v/>
      </c>
      <c r="U92">
        <f>HYPERLINK("https://klasma.github.io/Logging_0562/knärot/A 1177-2024 karta knärot.png", "A 1177-2024")</f>
        <v/>
      </c>
      <c r="V92">
        <f>HYPERLINK("https://klasma.github.io/Logging_0562/klagomål/A 1177-2024 FSC-klagomål.docx", "A 1177-2024")</f>
        <v/>
      </c>
      <c r="W92">
        <f>HYPERLINK("https://klasma.github.io/Logging_0562/klagomålsmail/A 1177-2024 FSC-klagomål mail.docx", "A 1177-2024")</f>
        <v/>
      </c>
      <c r="X92">
        <f>HYPERLINK("https://klasma.github.io/Logging_0562/tillsyn/A 1177-2024 tillsynsbegäran.docx", "A 1177-2024")</f>
        <v/>
      </c>
      <c r="Y92">
        <f>HYPERLINK("https://klasma.github.io/Logging_0562/tillsynsmail/A 1177-2024 tillsynsbegäran mail.docx", "A 1177-2024")</f>
        <v/>
      </c>
    </row>
    <row r="93" ht="15" customHeight="1">
      <c r="A93" t="inlineStr">
        <is>
          <t>A 4543-2024</t>
        </is>
      </c>
      <c r="B93" s="1" t="n">
        <v>45327</v>
      </c>
      <c r="C93" s="1" t="n">
        <v>45849</v>
      </c>
      <c r="D93" t="inlineStr">
        <is>
          <t>ÖSTERGÖTLANDS LÄN</t>
        </is>
      </c>
      <c r="E93" t="inlineStr">
        <is>
          <t>FINSPÅNG</t>
        </is>
      </c>
      <c r="G93" t="n">
        <v>12.1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Nätådrig parkmätare</t>
        </is>
      </c>
      <c r="S93">
        <f>HYPERLINK("https://klasma.github.io/Logging_0562/artfynd/A 4543-2024 artfynd.xlsx", "A 4543-2024")</f>
        <v/>
      </c>
      <c r="T93">
        <f>HYPERLINK("https://klasma.github.io/Logging_0562/kartor/A 4543-2024 karta.png", "A 4543-2024")</f>
        <v/>
      </c>
      <c r="V93">
        <f>HYPERLINK("https://klasma.github.io/Logging_0562/klagomål/A 4543-2024 FSC-klagomål.docx", "A 4543-2024")</f>
        <v/>
      </c>
      <c r="W93">
        <f>HYPERLINK("https://klasma.github.io/Logging_0562/klagomålsmail/A 4543-2024 FSC-klagomål mail.docx", "A 4543-2024")</f>
        <v/>
      </c>
      <c r="X93">
        <f>HYPERLINK("https://klasma.github.io/Logging_0562/tillsyn/A 4543-2024 tillsynsbegäran.docx", "A 4543-2024")</f>
        <v/>
      </c>
      <c r="Y93">
        <f>HYPERLINK("https://klasma.github.io/Logging_0562/tillsynsmail/A 4543-2024 tillsynsbegäran mail.docx", "A 4543-2024")</f>
        <v/>
      </c>
    </row>
    <row r="94" ht="15" customHeight="1">
      <c r="A94" t="inlineStr">
        <is>
          <t>A 4644-2024</t>
        </is>
      </c>
      <c r="B94" s="1" t="n">
        <v>45328</v>
      </c>
      <c r="C94" s="1" t="n">
        <v>45849</v>
      </c>
      <c r="D94" t="inlineStr">
        <is>
          <t>ÖSTERGÖTLANDS LÄN</t>
        </is>
      </c>
      <c r="E94" t="inlineStr">
        <is>
          <t>FINSPÅNG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HYPERLINK("https://klasma.github.io/Logging_0562/artfynd/A 4644-2024 artfynd.xlsx", "A 4644-2024")</f>
        <v/>
      </c>
      <c r="T94">
        <f>HYPERLINK("https://klasma.github.io/Logging_0562/kartor/A 4644-2024 karta.png", "A 4644-2024")</f>
        <v/>
      </c>
      <c r="V94">
        <f>HYPERLINK("https://klasma.github.io/Logging_0562/klagomål/A 4644-2024 FSC-klagomål.docx", "A 4644-2024")</f>
        <v/>
      </c>
      <c r="W94">
        <f>HYPERLINK("https://klasma.github.io/Logging_0562/klagomålsmail/A 4644-2024 FSC-klagomål mail.docx", "A 4644-2024")</f>
        <v/>
      </c>
      <c r="X94">
        <f>HYPERLINK("https://klasma.github.io/Logging_0562/tillsyn/A 4644-2024 tillsynsbegäran.docx", "A 4644-2024")</f>
        <v/>
      </c>
      <c r="Y94">
        <f>HYPERLINK("https://klasma.github.io/Logging_0562/tillsynsmail/A 4644-2024 tillsynsbegäran mail.docx", "A 4644-2024")</f>
        <v/>
      </c>
      <c r="Z94">
        <f>HYPERLINK("https://klasma.github.io/Logging_0562/fåglar/A 4644-2024 prioriterade fågelarter.docx", "A 4644-2024")</f>
        <v/>
      </c>
    </row>
    <row r="95" ht="15" customHeight="1">
      <c r="A95" t="inlineStr">
        <is>
          <t>A 5742-2024</t>
        </is>
      </c>
      <c r="B95" s="1" t="n">
        <v>45335</v>
      </c>
      <c r="C95" s="1" t="n">
        <v>45849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3.1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5742-2024 artfynd.xlsx", "A 5742-2024")</f>
        <v/>
      </c>
      <c r="T95">
        <f>HYPERLINK("https://klasma.github.io/Logging_0562/kartor/A 5742-2024 karta.png", "A 5742-2024")</f>
        <v/>
      </c>
      <c r="V95">
        <f>HYPERLINK("https://klasma.github.io/Logging_0562/klagomål/A 5742-2024 FSC-klagomål.docx", "A 5742-2024")</f>
        <v/>
      </c>
      <c r="W95">
        <f>HYPERLINK("https://klasma.github.io/Logging_0562/klagomålsmail/A 5742-2024 FSC-klagomål mail.docx", "A 5742-2024")</f>
        <v/>
      </c>
      <c r="X95">
        <f>HYPERLINK("https://klasma.github.io/Logging_0562/tillsyn/A 5742-2024 tillsynsbegäran.docx", "A 5742-2024")</f>
        <v/>
      </c>
      <c r="Y95">
        <f>HYPERLINK("https://klasma.github.io/Logging_0562/tillsynsmail/A 5742-2024 tillsynsbegäran mail.docx", "A 5742-2024")</f>
        <v/>
      </c>
    </row>
    <row r="96" ht="15" customHeight="1">
      <c r="A96" t="inlineStr">
        <is>
          <t>A 13477-2024</t>
        </is>
      </c>
      <c r="B96" s="1" t="n">
        <v>45387</v>
      </c>
      <c r="C96" s="1" t="n">
        <v>45849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HYPERLINK("https://klasma.github.io/Logging_0562/artfynd/A 13477-2024 artfynd.xlsx", "A 13477-2024")</f>
        <v/>
      </c>
      <c r="T96">
        <f>HYPERLINK("https://klasma.github.io/Logging_0562/kartor/A 13477-2024 karta.png", "A 13477-2024")</f>
        <v/>
      </c>
      <c r="V96">
        <f>HYPERLINK("https://klasma.github.io/Logging_0562/klagomål/A 13477-2024 FSC-klagomål.docx", "A 13477-2024")</f>
        <v/>
      </c>
      <c r="W96">
        <f>HYPERLINK("https://klasma.github.io/Logging_0562/klagomålsmail/A 13477-2024 FSC-klagomål mail.docx", "A 13477-2024")</f>
        <v/>
      </c>
      <c r="X96">
        <f>HYPERLINK("https://klasma.github.io/Logging_0562/tillsyn/A 13477-2024 tillsynsbegäran.docx", "A 13477-2024")</f>
        <v/>
      </c>
      <c r="Y96">
        <f>HYPERLINK("https://klasma.github.io/Logging_0562/tillsynsmail/A 13477-2024 tillsynsbegäran mail.docx", "A 13477-2024")</f>
        <v/>
      </c>
    </row>
    <row r="97" ht="15" customHeight="1">
      <c r="A97" t="inlineStr">
        <is>
          <t>A 18462-2024</t>
        </is>
      </c>
      <c r="B97" s="1" t="n">
        <v>45425</v>
      </c>
      <c r="C97" s="1" t="n">
        <v>45849</v>
      </c>
      <c r="D97" t="inlineStr">
        <is>
          <t>ÖSTERGÖTLANDS LÄN</t>
        </is>
      </c>
      <c r="E97" t="inlineStr">
        <is>
          <t>FINSPÅNG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HYPERLINK("https://klasma.github.io/Logging_0562/artfynd/A 18462-2024 artfynd.xlsx", "A 18462-2024")</f>
        <v/>
      </c>
      <c r="T97">
        <f>HYPERLINK("https://klasma.github.io/Logging_0562/kartor/A 18462-2024 karta.png", "A 18462-2024")</f>
        <v/>
      </c>
      <c r="V97">
        <f>HYPERLINK("https://klasma.github.io/Logging_0562/klagomål/A 18462-2024 FSC-klagomål.docx", "A 18462-2024")</f>
        <v/>
      </c>
      <c r="W97">
        <f>HYPERLINK("https://klasma.github.io/Logging_0562/klagomålsmail/A 18462-2024 FSC-klagomål mail.docx", "A 18462-2024")</f>
        <v/>
      </c>
      <c r="X97">
        <f>HYPERLINK("https://klasma.github.io/Logging_0562/tillsyn/A 18462-2024 tillsynsbegäran.docx", "A 18462-2024")</f>
        <v/>
      </c>
      <c r="Y97">
        <f>HYPERLINK("https://klasma.github.io/Logging_0562/tillsynsmail/A 18462-2024 tillsynsbegäran mail.docx", "A 18462-2024")</f>
        <v/>
      </c>
    </row>
    <row r="98" ht="15" customHeight="1">
      <c r="A98" t="inlineStr">
        <is>
          <t>A 23994-2024</t>
        </is>
      </c>
      <c r="B98" s="1" t="n">
        <v>45456</v>
      </c>
      <c r="C98" s="1" t="n">
        <v>45849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Naturvårdsverket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Mörksömmad barksvartbagge</t>
        </is>
      </c>
      <c r="S98">
        <f>HYPERLINK("https://klasma.github.io/Logging_0562/artfynd/A 23994-2024 artfynd.xlsx", "A 23994-2024")</f>
        <v/>
      </c>
      <c r="T98">
        <f>HYPERLINK("https://klasma.github.io/Logging_0562/kartor/A 23994-2024 karta.png", "A 23994-2024")</f>
        <v/>
      </c>
      <c r="V98">
        <f>HYPERLINK("https://klasma.github.io/Logging_0562/klagomål/A 23994-2024 FSC-klagomål.docx", "A 23994-2024")</f>
        <v/>
      </c>
      <c r="W98">
        <f>HYPERLINK("https://klasma.github.io/Logging_0562/klagomålsmail/A 23994-2024 FSC-klagomål mail.docx", "A 23994-2024")</f>
        <v/>
      </c>
      <c r="X98">
        <f>HYPERLINK("https://klasma.github.io/Logging_0562/tillsyn/A 23994-2024 tillsynsbegäran.docx", "A 23994-2024")</f>
        <v/>
      </c>
      <c r="Y98">
        <f>HYPERLINK("https://klasma.github.io/Logging_0562/tillsynsmail/A 23994-2024 tillsynsbegäran mail.docx", "A 23994-2024")</f>
        <v/>
      </c>
    </row>
    <row r="99" ht="15" customHeight="1">
      <c r="A99" t="inlineStr">
        <is>
          <t>A 38573-2024</t>
        </is>
      </c>
      <c r="B99" s="1" t="n">
        <v>45546</v>
      </c>
      <c r="C99" s="1" t="n">
        <v>45849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9.699999999999999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38573-2024 artfynd.xlsx", "A 38573-2024")</f>
        <v/>
      </c>
      <c r="T99">
        <f>HYPERLINK("https://klasma.github.io/Logging_0562/kartor/A 38573-2024 karta.png", "A 38573-2024")</f>
        <v/>
      </c>
      <c r="V99">
        <f>HYPERLINK("https://klasma.github.io/Logging_0562/klagomål/A 38573-2024 FSC-klagomål.docx", "A 38573-2024")</f>
        <v/>
      </c>
      <c r="W99">
        <f>HYPERLINK("https://klasma.github.io/Logging_0562/klagomålsmail/A 38573-2024 FSC-klagomål mail.docx", "A 38573-2024")</f>
        <v/>
      </c>
      <c r="X99">
        <f>HYPERLINK("https://klasma.github.io/Logging_0562/tillsyn/A 38573-2024 tillsynsbegäran.docx", "A 38573-2024")</f>
        <v/>
      </c>
      <c r="Y99">
        <f>HYPERLINK("https://klasma.github.io/Logging_0562/tillsynsmail/A 38573-2024 tillsynsbegäran mail.docx", "A 38573-2024")</f>
        <v/>
      </c>
    </row>
    <row r="100" ht="15" customHeight="1">
      <c r="A100" t="inlineStr">
        <is>
          <t>A 40311-2024</t>
        </is>
      </c>
      <c r="B100" s="1" t="n">
        <v>45554</v>
      </c>
      <c r="C100" s="1" t="n">
        <v>45849</v>
      </c>
      <c r="D100" t="inlineStr">
        <is>
          <t>ÖSTERGÖTLANDS LÄN</t>
        </is>
      </c>
      <c r="E100" t="inlineStr">
        <is>
          <t>FINSPÅNG</t>
        </is>
      </c>
      <c r="G100" t="n">
        <v>2.5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40311-2024 artfynd.xlsx", "A 40311-2024")</f>
        <v/>
      </c>
      <c r="T100">
        <f>HYPERLINK("https://klasma.github.io/Logging_0562/kartor/A 40311-2024 karta.png", "A 40311-2024")</f>
        <v/>
      </c>
      <c r="V100">
        <f>HYPERLINK("https://klasma.github.io/Logging_0562/klagomål/A 40311-2024 FSC-klagomål.docx", "A 40311-2024")</f>
        <v/>
      </c>
      <c r="W100">
        <f>HYPERLINK("https://klasma.github.io/Logging_0562/klagomålsmail/A 40311-2024 FSC-klagomål mail.docx", "A 40311-2024")</f>
        <v/>
      </c>
      <c r="X100">
        <f>HYPERLINK("https://klasma.github.io/Logging_0562/tillsyn/A 40311-2024 tillsynsbegäran.docx", "A 40311-2024")</f>
        <v/>
      </c>
      <c r="Y100">
        <f>HYPERLINK("https://klasma.github.io/Logging_0562/tillsynsmail/A 40311-2024 tillsynsbegäran mail.docx", "A 40311-2024")</f>
        <v/>
      </c>
    </row>
    <row r="101" ht="15" customHeight="1">
      <c r="A101" t="inlineStr">
        <is>
          <t>A 40385-2024</t>
        </is>
      </c>
      <c r="B101" s="1" t="n">
        <v>45555</v>
      </c>
      <c r="C101" s="1" t="n">
        <v>45849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HYPERLINK("https://klasma.github.io/Logging_0562/artfynd/A 40385-2024 artfynd.xlsx", "A 40385-2024")</f>
        <v/>
      </c>
      <c r="T101">
        <f>HYPERLINK("https://klasma.github.io/Logging_0562/kartor/A 40385-2024 karta.png", "A 40385-2024")</f>
        <v/>
      </c>
      <c r="V101">
        <f>HYPERLINK("https://klasma.github.io/Logging_0562/klagomål/A 40385-2024 FSC-klagomål.docx", "A 40385-2024")</f>
        <v/>
      </c>
      <c r="W101">
        <f>HYPERLINK("https://klasma.github.io/Logging_0562/klagomålsmail/A 40385-2024 FSC-klagomål mail.docx", "A 40385-2024")</f>
        <v/>
      </c>
      <c r="X101">
        <f>HYPERLINK("https://klasma.github.io/Logging_0562/tillsyn/A 40385-2024 tillsynsbegäran.docx", "A 40385-2024")</f>
        <v/>
      </c>
      <c r="Y101">
        <f>HYPERLINK("https://klasma.github.io/Logging_0562/tillsynsmail/A 40385-2024 tillsynsbegäran mail.docx", "A 40385-2024")</f>
        <v/>
      </c>
      <c r="Z101">
        <f>HYPERLINK("https://klasma.github.io/Logging_0562/fåglar/A 40385-2024 prioriterade fågelarter.docx", "A 40385-2024")</f>
        <v/>
      </c>
    </row>
    <row r="102" ht="15" customHeight="1">
      <c r="A102" t="inlineStr">
        <is>
          <t>A 40478-2024</t>
        </is>
      </c>
      <c r="B102" s="1" t="n">
        <v>45555</v>
      </c>
      <c r="C102" s="1" t="n">
        <v>45849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7.4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40478-2024 artfynd.xlsx", "A 40478-2024")</f>
        <v/>
      </c>
      <c r="T102">
        <f>HYPERLINK("https://klasma.github.io/Logging_0562/kartor/A 40478-2024 karta.png", "A 40478-2024")</f>
        <v/>
      </c>
      <c r="V102">
        <f>HYPERLINK("https://klasma.github.io/Logging_0562/klagomål/A 40478-2024 FSC-klagomål.docx", "A 40478-2024")</f>
        <v/>
      </c>
      <c r="W102">
        <f>HYPERLINK("https://klasma.github.io/Logging_0562/klagomålsmail/A 40478-2024 FSC-klagomål mail.docx", "A 40478-2024")</f>
        <v/>
      </c>
      <c r="X102">
        <f>HYPERLINK("https://klasma.github.io/Logging_0562/tillsyn/A 40478-2024 tillsynsbegäran.docx", "A 40478-2024")</f>
        <v/>
      </c>
      <c r="Y102">
        <f>HYPERLINK("https://klasma.github.io/Logging_0562/tillsynsmail/A 40478-2024 tillsynsbegäran mail.docx", "A 40478-2024")</f>
        <v/>
      </c>
    </row>
    <row r="103" ht="15" customHeight="1">
      <c r="A103" t="inlineStr">
        <is>
          <t>A 40686-2024</t>
        </is>
      </c>
      <c r="B103" s="1" t="n">
        <v>45558</v>
      </c>
      <c r="C103" s="1" t="n">
        <v>45849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19.6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40686-2024 artfynd.xlsx", "A 40686-2024")</f>
        <v/>
      </c>
      <c r="T103">
        <f>HYPERLINK("https://klasma.github.io/Logging_0562/kartor/A 40686-2024 karta.png", "A 40686-2024")</f>
        <v/>
      </c>
      <c r="V103">
        <f>HYPERLINK("https://klasma.github.io/Logging_0562/klagomål/A 40686-2024 FSC-klagomål.docx", "A 40686-2024")</f>
        <v/>
      </c>
      <c r="W103">
        <f>HYPERLINK("https://klasma.github.io/Logging_0562/klagomålsmail/A 40686-2024 FSC-klagomål mail.docx", "A 40686-2024")</f>
        <v/>
      </c>
      <c r="X103">
        <f>HYPERLINK("https://klasma.github.io/Logging_0562/tillsyn/A 40686-2024 tillsynsbegäran.docx", "A 40686-2024")</f>
        <v/>
      </c>
      <c r="Y103">
        <f>HYPERLINK("https://klasma.github.io/Logging_0562/tillsynsmail/A 40686-2024 tillsynsbegäran mail.docx", "A 40686-2024")</f>
        <v/>
      </c>
    </row>
    <row r="104" ht="15" customHeight="1">
      <c r="A104" t="inlineStr">
        <is>
          <t>A 42837-2024</t>
        </is>
      </c>
      <c r="B104" s="1" t="n">
        <v>45566</v>
      </c>
      <c r="C104" s="1" t="n">
        <v>45849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42837-2024 artfynd.xlsx", "A 42837-2024")</f>
        <v/>
      </c>
      <c r="T104">
        <f>HYPERLINK("https://klasma.github.io/Logging_0562/kartor/A 42837-2024 karta.png", "A 42837-2024")</f>
        <v/>
      </c>
      <c r="U104">
        <f>HYPERLINK("https://klasma.github.io/Logging_0562/knärot/A 42837-2024 karta knärot.png", "A 42837-2024")</f>
        <v/>
      </c>
      <c r="V104">
        <f>HYPERLINK("https://klasma.github.io/Logging_0562/klagomål/A 42837-2024 FSC-klagomål.docx", "A 42837-2024")</f>
        <v/>
      </c>
      <c r="W104">
        <f>HYPERLINK("https://klasma.github.io/Logging_0562/klagomålsmail/A 42837-2024 FSC-klagomål mail.docx", "A 42837-2024")</f>
        <v/>
      </c>
      <c r="X104">
        <f>HYPERLINK("https://klasma.github.io/Logging_0562/tillsyn/A 42837-2024 tillsynsbegäran.docx", "A 42837-2024")</f>
        <v/>
      </c>
      <c r="Y104">
        <f>HYPERLINK("https://klasma.github.io/Logging_0562/tillsynsmail/A 42837-2024 tillsynsbegäran mail.docx", "A 42837-2024")</f>
        <v/>
      </c>
    </row>
    <row r="105" ht="15" customHeight="1">
      <c r="A105" t="inlineStr">
        <is>
          <t>A 42650-2024</t>
        </is>
      </c>
      <c r="B105" s="1" t="n">
        <v>45566</v>
      </c>
      <c r="C105" s="1" t="n">
        <v>45849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3.1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HYPERLINK("https://klasma.github.io/Logging_0562/artfynd/A 42650-2024 artfynd.xlsx", "A 42650-2024")</f>
        <v/>
      </c>
      <c r="T105">
        <f>HYPERLINK("https://klasma.github.io/Logging_0562/kartor/A 42650-2024 karta.png", "A 42650-2024")</f>
        <v/>
      </c>
      <c r="V105">
        <f>HYPERLINK("https://klasma.github.io/Logging_0562/klagomål/A 42650-2024 FSC-klagomål.docx", "A 42650-2024")</f>
        <v/>
      </c>
      <c r="W105">
        <f>HYPERLINK("https://klasma.github.io/Logging_0562/klagomålsmail/A 42650-2024 FSC-klagomål mail.docx", "A 42650-2024")</f>
        <v/>
      </c>
      <c r="X105">
        <f>HYPERLINK("https://klasma.github.io/Logging_0562/tillsyn/A 42650-2024 tillsynsbegäran.docx", "A 42650-2024")</f>
        <v/>
      </c>
      <c r="Y105">
        <f>HYPERLINK("https://klasma.github.io/Logging_0562/tillsynsmail/A 42650-2024 tillsynsbegäran mail.docx", "A 42650-2024")</f>
        <v/>
      </c>
    </row>
    <row r="106" ht="15" customHeight="1">
      <c r="A106" t="inlineStr">
        <is>
          <t>A 42648-2024</t>
        </is>
      </c>
      <c r="B106" s="1" t="n">
        <v>45566</v>
      </c>
      <c r="C106" s="1" t="n">
        <v>45849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42648-2024 artfynd.xlsx", "A 42648-2024")</f>
        <v/>
      </c>
      <c r="T106">
        <f>HYPERLINK("https://klasma.github.io/Logging_0562/kartor/A 42648-2024 karta.png", "A 42648-2024")</f>
        <v/>
      </c>
      <c r="U106">
        <f>HYPERLINK("https://klasma.github.io/Logging_0562/knärot/A 42648-2024 karta knärot.png", "A 42648-2024")</f>
        <v/>
      </c>
      <c r="V106">
        <f>HYPERLINK("https://klasma.github.io/Logging_0562/klagomål/A 42648-2024 FSC-klagomål.docx", "A 42648-2024")</f>
        <v/>
      </c>
      <c r="W106">
        <f>HYPERLINK("https://klasma.github.io/Logging_0562/klagomålsmail/A 42648-2024 FSC-klagomål mail.docx", "A 42648-2024")</f>
        <v/>
      </c>
      <c r="X106">
        <f>HYPERLINK("https://klasma.github.io/Logging_0562/tillsyn/A 42648-2024 tillsynsbegäran.docx", "A 42648-2024")</f>
        <v/>
      </c>
      <c r="Y106">
        <f>HYPERLINK("https://klasma.github.io/Logging_0562/tillsynsmail/A 42648-2024 tillsynsbegäran mail.docx", "A 42648-2024")</f>
        <v/>
      </c>
    </row>
    <row r="107" ht="15" customHeight="1">
      <c r="A107" t="inlineStr">
        <is>
          <t>A 44984-2024</t>
        </is>
      </c>
      <c r="B107" s="1" t="n">
        <v>45575</v>
      </c>
      <c r="C107" s="1" t="n">
        <v>45849</v>
      </c>
      <c r="D107" t="inlineStr">
        <is>
          <t>ÖSTERGÖTLANDS LÄN</t>
        </is>
      </c>
      <c r="E107" t="inlineStr">
        <is>
          <t>FINSPÅNG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HYPERLINK("https://klasma.github.io/Logging_0562/artfynd/A 44984-2024 artfynd.xlsx", "A 44984-2024")</f>
        <v/>
      </c>
      <c r="T107">
        <f>HYPERLINK("https://klasma.github.io/Logging_0562/kartor/A 44984-2024 karta.png", "A 44984-2024")</f>
        <v/>
      </c>
      <c r="V107">
        <f>HYPERLINK("https://klasma.github.io/Logging_0562/klagomål/A 44984-2024 FSC-klagomål.docx", "A 44984-2024")</f>
        <v/>
      </c>
      <c r="W107">
        <f>HYPERLINK("https://klasma.github.io/Logging_0562/klagomålsmail/A 44984-2024 FSC-klagomål mail.docx", "A 44984-2024")</f>
        <v/>
      </c>
      <c r="X107">
        <f>HYPERLINK("https://klasma.github.io/Logging_0562/tillsyn/A 44984-2024 tillsynsbegäran.docx", "A 44984-2024")</f>
        <v/>
      </c>
      <c r="Y107">
        <f>HYPERLINK("https://klasma.github.io/Logging_0562/tillsynsmail/A 44984-2024 tillsynsbegäran mail.docx", "A 44984-2024")</f>
        <v/>
      </c>
    </row>
    <row r="108" ht="15" customHeight="1">
      <c r="A108" t="inlineStr">
        <is>
          <t>A 50639-2024</t>
        </is>
      </c>
      <c r="B108" s="1" t="n">
        <v>45601</v>
      </c>
      <c r="C108" s="1" t="n">
        <v>45849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13.4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bastardsvärmare</t>
        </is>
      </c>
      <c r="S108">
        <f>HYPERLINK("https://klasma.github.io/Logging_0562/artfynd/A 50639-2024 artfynd.xlsx", "A 50639-2024")</f>
        <v/>
      </c>
      <c r="T108">
        <f>HYPERLINK("https://klasma.github.io/Logging_0562/kartor/A 50639-2024 karta.png", "A 50639-2024")</f>
        <v/>
      </c>
      <c r="V108">
        <f>HYPERLINK("https://klasma.github.io/Logging_0562/klagomål/A 50639-2024 FSC-klagomål.docx", "A 50639-2024")</f>
        <v/>
      </c>
      <c r="W108">
        <f>HYPERLINK("https://klasma.github.io/Logging_0562/klagomålsmail/A 50639-2024 FSC-klagomål mail.docx", "A 50639-2024")</f>
        <v/>
      </c>
      <c r="X108">
        <f>HYPERLINK("https://klasma.github.io/Logging_0562/tillsyn/A 50639-2024 tillsynsbegäran.docx", "A 50639-2024")</f>
        <v/>
      </c>
      <c r="Y108">
        <f>HYPERLINK("https://klasma.github.io/Logging_0562/tillsynsmail/A 50639-2024 tillsynsbegäran mail.docx", "A 50639-2024")</f>
        <v/>
      </c>
    </row>
    <row r="109" ht="15" customHeight="1">
      <c r="A109" t="inlineStr">
        <is>
          <t>A 53673-2024</t>
        </is>
      </c>
      <c r="B109" s="1" t="n">
        <v>45615</v>
      </c>
      <c r="C109" s="1" t="n">
        <v>45849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53673-2024 artfynd.xlsx", "A 53673-2024")</f>
        <v/>
      </c>
      <c r="T109">
        <f>HYPERLINK("https://klasma.github.io/Logging_0562/kartor/A 53673-2024 karta.png", "A 53673-2024")</f>
        <v/>
      </c>
      <c r="U109">
        <f>HYPERLINK("https://klasma.github.io/Logging_0562/knärot/A 53673-2024 karta knärot.png", "A 53673-2024")</f>
        <v/>
      </c>
      <c r="V109">
        <f>HYPERLINK("https://klasma.github.io/Logging_0562/klagomål/A 53673-2024 FSC-klagomål.docx", "A 53673-2024")</f>
        <v/>
      </c>
      <c r="W109">
        <f>HYPERLINK("https://klasma.github.io/Logging_0562/klagomålsmail/A 53673-2024 FSC-klagomål mail.docx", "A 53673-2024")</f>
        <v/>
      </c>
      <c r="X109">
        <f>HYPERLINK("https://klasma.github.io/Logging_0562/tillsyn/A 53673-2024 tillsynsbegäran.docx", "A 53673-2024")</f>
        <v/>
      </c>
      <c r="Y109">
        <f>HYPERLINK("https://klasma.github.io/Logging_0562/tillsynsmail/A 53673-2024 tillsynsbegäran mail.docx", "A 53673-2024")</f>
        <v/>
      </c>
    </row>
    <row r="110" ht="15" customHeight="1">
      <c r="A110" t="inlineStr">
        <is>
          <t>A 56415-2024</t>
        </is>
      </c>
      <c r="B110" s="1" t="n">
        <v>45625</v>
      </c>
      <c r="C110" s="1" t="n">
        <v>45849</v>
      </c>
      <c r="D110" t="inlineStr">
        <is>
          <t>ÖSTERGÖTLANDS LÄN</t>
        </is>
      </c>
      <c r="E110" t="inlineStr">
        <is>
          <t>FINSPÅNG</t>
        </is>
      </c>
      <c r="G110" t="n">
        <v>5.3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56415-2024 artfynd.xlsx", "A 56415-2024")</f>
        <v/>
      </c>
      <c r="T110">
        <f>HYPERLINK("https://klasma.github.io/Logging_0562/kartor/A 56415-2024 karta.png", "A 56415-2024")</f>
        <v/>
      </c>
      <c r="U110">
        <f>HYPERLINK("https://klasma.github.io/Logging_0562/knärot/A 56415-2024 karta knärot.png", "A 56415-2024")</f>
        <v/>
      </c>
      <c r="V110">
        <f>HYPERLINK("https://klasma.github.io/Logging_0562/klagomål/A 56415-2024 FSC-klagomål.docx", "A 56415-2024")</f>
        <v/>
      </c>
      <c r="W110">
        <f>HYPERLINK("https://klasma.github.io/Logging_0562/klagomålsmail/A 56415-2024 FSC-klagomål mail.docx", "A 56415-2024")</f>
        <v/>
      </c>
      <c r="X110">
        <f>HYPERLINK("https://klasma.github.io/Logging_0562/tillsyn/A 56415-2024 tillsynsbegäran.docx", "A 56415-2024")</f>
        <v/>
      </c>
      <c r="Y110">
        <f>HYPERLINK("https://klasma.github.io/Logging_0562/tillsynsmail/A 56415-2024 tillsynsbegäran mail.docx", "A 56415-2024")</f>
        <v/>
      </c>
    </row>
    <row r="111" ht="15" customHeight="1">
      <c r="A111" t="inlineStr">
        <is>
          <t>A 56964-2024</t>
        </is>
      </c>
      <c r="B111" s="1" t="n">
        <v>45628</v>
      </c>
      <c r="C111" s="1" t="n">
        <v>45849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HYPERLINK("https://klasma.github.io/Logging_0562/artfynd/A 56964-2024 artfynd.xlsx", "A 56964-2024")</f>
        <v/>
      </c>
      <c r="T111">
        <f>HYPERLINK("https://klasma.github.io/Logging_0562/kartor/A 56964-2024 karta.png", "A 56964-2024")</f>
        <v/>
      </c>
      <c r="V111">
        <f>HYPERLINK("https://klasma.github.io/Logging_0562/klagomål/A 56964-2024 FSC-klagomål.docx", "A 56964-2024")</f>
        <v/>
      </c>
      <c r="W111">
        <f>HYPERLINK("https://klasma.github.io/Logging_0562/klagomålsmail/A 56964-2024 FSC-klagomål mail.docx", "A 56964-2024")</f>
        <v/>
      </c>
      <c r="X111">
        <f>HYPERLINK("https://klasma.github.io/Logging_0562/tillsyn/A 56964-2024 tillsynsbegäran.docx", "A 56964-2024")</f>
        <v/>
      </c>
      <c r="Y111">
        <f>HYPERLINK("https://klasma.github.io/Logging_0562/tillsynsmail/A 56964-2024 tillsynsbegäran mail.docx", "A 56964-2024")</f>
        <v/>
      </c>
    </row>
    <row r="112" ht="15" customHeight="1">
      <c r="A112" t="inlineStr">
        <is>
          <t>A 60093-2024</t>
        </is>
      </c>
      <c r="B112" s="1" t="n">
        <v>45642</v>
      </c>
      <c r="C112" s="1" t="n">
        <v>45849</v>
      </c>
      <c r="D112" t="inlineStr">
        <is>
          <t>ÖSTERGÖTLANDS LÄN</t>
        </is>
      </c>
      <c r="E112" t="inlineStr">
        <is>
          <t>FINSPÅNG</t>
        </is>
      </c>
      <c r="G112" t="n">
        <v>6.6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HYPERLINK("https://klasma.github.io/Logging_0562/artfynd/A 60093-2024 artfynd.xlsx", "A 60093-2024")</f>
        <v/>
      </c>
      <c r="T112">
        <f>HYPERLINK("https://klasma.github.io/Logging_0562/kartor/A 60093-2024 karta.png", "A 60093-2024")</f>
        <v/>
      </c>
      <c r="U112">
        <f>HYPERLINK("https://klasma.github.io/Logging_0562/knärot/A 60093-2024 karta knärot.png", "A 60093-2024")</f>
        <v/>
      </c>
      <c r="V112">
        <f>HYPERLINK("https://klasma.github.io/Logging_0562/klagomål/A 60093-2024 FSC-klagomål.docx", "A 60093-2024")</f>
        <v/>
      </c>
      <c r="W112">
        <f>HYPERLINK("https://klasma.github.io/Logging_0562/klagomålsmail/A 60093-2024 FSC-klagomål mail.docx", "A 60093-2024")</f>
        <v/>
      </c>
      <c r="X112">
        <f>HYPERLINK("https://klasma.github.io/Logging_0562/tillsyn/A 60093-2024 tillsynsbegäran.docx", "A 60093-2024")</f>
        <v/>
      </c>
      <c r="Y112">
        <f>HYPERLINK("https://klasma.github.io/Logging_0562/tillsynsmail/A 60093-2024 tillsynsbegäran mail.docx", "A 60093-2024")</f>
        <v/>
      </c>
    </row>
    <row r="113" ht="15" customHeight="1">
      <c r="A113" t="inlineStr">
        <is>
          <t>A 60621-2024</t>
        </is>
      </c>
      <c r="B113" s="1" t="n">
        <v>45644</v>
      </c>
      <c r="C113" s="1" t="n">
        <v>45849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11.2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Klasefibbla</t>
        </is>
      </c>
      <c r="S113">
        <f>HYPERLINK("https://klasma.github.io/Logging_0562/artfynd/A 60621-2024 artfynd.xlsx", "A 60621-2024")</f>
        <v/>
      </c>
      <c r="T113">
        <f>HYPERLINK("https://klasma.github.io/Logging_0562/kartor/A 60621-2024 karta.png", "A 60621-2024")</f>
        <v/>
      </c>
      <c r="V113">
        <f>HYPERLINK("https://klasma.github.io/Logging_0562/klagomål/A 60621-2024 FSC-klagomål.docx", "A 60621-2024")</f>
        <v/>
      </c>
      <c r="W113">
        <f>HYPERLINK("https://klasma.github.io/Logging_0562/klagomålsmail/A 60621-2024 FSC-klagomål mail.docx", "A 60621-2024")</f>
        <v/>
      </c>
      <c r="X113">
        <f>HYPERLINK("https://klasma.github.io/Logging_0562/tillsyn/A 60621-2024 tillsynsbegäran.docx", "A 60621-2024")</f>
        <v/>
      </c>
      <c r="Y113">
        <f>HYPERLINK("https://klasma.github.io/Logging_0562/tillsynsmail/A 60621-2024 tillsynsbegäran mail.docx", "A 60621-2024")</f>
        <v/>
      </c>
    </row>
    <row r="114" ht="15" customHeight="1">
      <c r="A114" t="inlineStr">
        <is>
          <t>A 61060-2024</t>
        </is>
      </c>
      <c r="B114" s="1" t="n">
        <v>45645</v>
      </c>
      <c r="C114" s="1" t="n">
        <v>45849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Slåtterfibbla</t>
        </is>
      </c>
      <c r="S114">
        <f>HYPERLINK("https://klasma.github.io/Logging_0562/artfynd/A 61060-2024 artfynd.xlsx", "A 61060-2024")</f>
        <v/>
      </c>
      <c r="T114">
        <f>HYPERLINK("https://klasma.github.io/Logging_0562/kartor/A 61060-2024 karta.png", "A 61060-2024")</f>
        <v/>
      </c>
      <c r="V114">
        <f>HYPERLINK("https://klasma.github.io/Logging_0562/klagomål/A 61060-2024 FSC-klagomål.docx", "A 61060-2024")</f>
        <v/>
      </c>
      <c r="W114">
        <f>HYPERLINK("https://klasma.github.io/Logging_0562/klagomålsmail/A 61060-2024 FSC-klagomål mail.docx", "A 61060-2024")</f>
        <v/>
      </c>
      <c r="X114">
        <f>HYPERLINK("https://klasma.github.io/Logging_0562/tillsyn/A 61060-2024 tillsynsbegäran.docx", "A 61060-2024")</f>
        <v/>
      </c>
      <c r="Y114">
        <f>HYPERLINK("https://klasma.github.io/Logging_0562/tillsynsmail/A 61060-2024 tillsynsbegäran mail.docx", "A 61060-2024")</f>
        <v/>
      </c>
    </row>
    <row r="115" ht="15" customHeight="1">
      <c r="A115" t="inlineStr">
        <is>
          <t>A 4087-2025</t>
        </is>
      </c>
      <c r="B115" s="1" t="n">
        <v>45684</v>
      </c>
      <c r="C115" s="1" t="n">
        <v>45849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15.7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HYPERLINK("https://klasma.github.io/Logging_0562/artfynd/A 4087-2025 artfynd.xlsx", "A 4087-2025")</f>
        <v/>
      </c>
      <c r="T115">
        <f>HYPERLINK("https://klasma.github.io/Logging_0562/kartor/A 4087-2025 karta.png", "A 4087-2025")</f>
        <v/>
      </c>
      <c r="V115">
        <f>HYPERLINK("https://klasma.github.io/Logging_0562/klagomål/A 4087-2025 FSC-klagomål.docx", "A 4087-2025")</f>
        <v/>
      </c>
      <c r="W115">
        <f>HYPERLINK("https://klasma.github.io/Logging_0562/klagomålsmail/A 4087-2025 FSC-klagomål mail.docx", "A 4087-2025")</f>
        <v/>
      </c>
      <c r="X115">
        <f>HYPERLINK("https://klasma.github.io/Logging_0562/tillsyn/A 4087-2025 tillsynsbegäran.docx", "A 4087-2025")</f>
        <v/>
      </c>
      <c r="Y115">
        <f>HYPERLINK("https://klasma.github.io/Logging_0562/tillsynsmail/A 4087-2025 tillsynsbegäran mail.docx", "A 4087-2025")</f>
        <v/>
      </c>
    </row>
    <row r="116" ht="15" customHeight="1">
      <c r="A116" t="inlineStr">
        <is>
          <t>A 10083-2025</t>
        </is>
      </c>
      <c r="B116" s="1" t="n">
        <v>45719</v>
      </c>
      <c r="C116" s="1" t="n">
        <v>45849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10083-2025 artfynd.xlsx", "A 10083-2025")</f>
        <v/>
      </c>
      <c r="T116">
        <f>HYPERLINK("https://klasma.github.io/Logging_050562/kartor/A 10083-2025 karta.png", "A 10083-2025")</f>
        <v/>
      </c>
      <c r="V116">
        <f>HYPERLINK("https://klasma.github.io/Logging_050562/klagomål/A 10083-2025 FSC-klagomål.docx", "A 10083-2025")</f>
        <v/>
      </c>
      <c r="W116">
        <f>HYPERLINK("https://klasma.github.io/Logging_050562/klagomålsmail/A 10083-2025 FSC-klagomål mail.docx", "A 10083-2025")</f>
        <v/>
      </c>
      <c r="X116">
        <f>HYPERLINK("https://klasma.github.io/Logging_050562/tillsyn/A 10083-2025 tillsynsbegäran.docx", "A 10083-2025")</f>
        <v/>
      </c>
      <c r="Y116">
        <f>HYPERLINK("https://klasma.github.io/Logging_050562/tillsynsmail/A 10083-2025 tillsynsbegäran mail.docx", "A 10083-2025")</f>
        <v/>
      </c>
    </row>
    <row r="117" ht="15" customHeight="1">
      <c r="A117" t="inlineStr">
        <is>
          <t>A 11118-2025</t>
        </is>
      </c>
      <c r="B117" s="1" t="n">
        <v>45723</v>
      </c>
      <c r="C117" s="1" t="n">
        <v>45849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7.9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Guldsandbi</t>
        </is>
      </c>
      <c r="S117">
        <f>HYPERLINK("https://klasma.github.io/Logging_050562/artfynd/A 11118-2025 artfynd.xlsx", "A 11118-2025")</f>
        <v/>
      </c>
      <c r="T117">
        <f>HYPERLINK("https://klasma.github.io/Logging_050562/kartor/A 11118-2025 karta.png", "A 11118-2025")</f>
        <v/>
      </c>
      <c r="V117">
        <f>HYPERLINK("https://klasma.github.io/Logging_050562/klagomål/A 11118-2025 FSC-klagomål.docx", "A 11118-2025")</f>
        <v/>
      </c>
      <c r="W117">
        <f>HYPERLINK("https://klasma.github.io/Logging_050562/klagomålsmail/A 11118-2025 FSC-klagomål mail.docx", "A 11118-2025")</f>
        <v/>
      </c>
      <c r="X117">
        <f>HYPERLINK("https://klasma.github.io/Logging_050562/tillsyn/A 11118-2025 tillsynsbegäran.docx", "A 11118-2025")</f>
        <v/>
      </c>
      <c r="Y117">
        <f>HYPERLINK("https://klasma.github.io/Logging_050562/tillsynsmail/A 11118-2025 tillsynsbegäran mail.docx", "A 11118-2025")</f>
        <v/>
      </c>
    </row>
    <row r="118" ht="15" customHeight="1">
      <c r="A118" t="inlineStr">
        <is>
          <t>A 12823-2025</t>
        </is>
      </c>
      <c r="B118" s="1" t="n">
        <v>45733</v>
      </c>
      <c r="C118" s="1" t="n">
        <v>45849</v>
      </c>
      <c r="D118" t="inlineStr">
        <is>
          <t>ÖSTERGÖTLANDS LÄN</t>
        </is>
      </c>
      <c r="E118" t="inlineStr">
        <is>
          <t>FINSPÅNG</t>
        </is>
      </c>
      <c r="G118" t="n">
        <v>7.1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Skinnlav</t>
        </is>
      </c>
      <c r="S118">
        <f>HYPERLINK("https://klasma.github.io/Logging_050562/artfynd/A 12823-2025 artfynd.xlsx", "A 12823-2025")</f>
        <v/>
      </c>
      <c r="T118">
        <f>HYPERLINK("https://klasma.github.io/Logging_050562/kartor/A 12823-2025 karta.png", "A 12823-2025")</f>
        <v/>
      </c>
      <c r="V118">
        <f>HYPERLINK("https://klasma.github.io/Logging_050562/klagomål/A 12823-2025 FSC-klagomål.docx", "A 12823-2025")</f>
        <v/>
      </c>
      <c r="W118">
        <f>HYPERLINK("https://klasma.github.io/Logging_050562/klagomålsmail/A 12823-2025 FSC-klagomål mail.docx", "A 12823-2025")</f>
        <v/>
      </c>
      <c r="X118">
        <f>HYPERLINK("https://klasma.github.io/Logging_050562/tillsyn/A 12823-2025 tillsynsbegäran.docx", "A 12823-2025")</f>
        <v/>
      </c>
      <c r="Y118">
        <f>HYPERLINK("https://klasma.github.io/Logging_050562/tillsynsmail/A 12823-2025 tillsynsbegäran mail.docx", "A 12823-2025")</f>
        <v/>
      </c>
    </row>
    <row r="119" ht="15" customHeight="1">
      <c r="A119" t="inlineStr">
        <is>
          <t>A 25284-2025</t>
        </is>
      </c>
      <c r="B119" s="1" t="n">
        <v>45800</v>
      </c>
      <c r="C119" s="1" t="n">
        <v>45849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Naturvårdsverket</t>
        </is>
      </c>
      <c r="G119" t="n">
        <v>5.9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HYPERLINK("https://klasma.github.io/Logging_050562/artfynd/A 25284-2025 artfynd.xlsx", "A 25284-2025")</f>
        <v/>
      </c>
      <c r="T119">
        <f>HYPERLINK("https://klasma.github.io/Logging_050562/kartor/A 25284-2025 karta.png", "A 25284-2025")</f>
        <v/>
      </c>
      <c r="V119">
        <f>HYPERLINK("https://klasma.github.io/Logging_050562/klagomål/A 25284-2025 FSC-klagomål.docx", "A 25284-2025")</f>
        <v/>
      </c>
      <c r="W119">
        <f>HYPERLINK("https://klasma.github.io/Logging_050562/klagomålsmail/A 25284-2025 FSC-klagomål mail.docx", "A 25284-2025")</f>
        <v/>
      </c>
      <c r="X119">
        <f>HYPERLINK("https://klasma.github.io/Logging_050562/tillsyn/A 25284-2025 tillsynsbegäran.docx", "A 25284-2025")</f>
        <v/>
      </c>
      <c r="Y119">
        <f>HYPERLINK("https://klasma.github.io/Logging_050562/tillsynsmail/A 25284-2025 tillsynsbegäran mail.docx", "A 25284-2025")</f>
        <v/>
      </c>
    </row>
    <row r="120" ht="15" customHeight="1">
      <c r="A120" t="inlineStr">
        <is>
          <t>A 19257-2019</t>
        </is>
      </c>
      <c r="B120" s="1" t="n">
        <v>43564</v>
      </c>
      <c r="C120" s="1" t="n">
        <v>45849</v>
      </c>
      <c r="D120" t="inlineStr">
        <is>
          <t>ÖSTERGÖTLANDS LÄN</t>
        </is>
      </c>
      <c r="E120" t="inlineStr">
        <is>
          <t>FINSPÅNG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19401-2019</t>
        </is>
      </c>
      <c r="B121" s="1" t="n">
        <v>43565</v>
      </c>
      <c r="C121" s="1" t="n">
        <v>45849</v>
      </c>
      <c r="D121" t="inlineStr">
        <is>
          <t>ÖSTERGÖTLANDS LÄN</t>
        </is>
      </c>
      <c r="E121" t="inlineStr">
        <is>
          <t>FINSPÅNG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20036-2019</t>
        </is>
      </c>
      <c r="B122" s="1" t="n">
        <v>43570</v>
      </c>
      <c r="C122" s="1" t="n">
        <v>45849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20031-2019</t>
        </is>
      </c>
      <c r="B123" s="1" t="n">
        <v>43570</v>
      </c>
      <c r="C123" s="1" t="n">
        <v>45849</v>
      </c>
      <c r="D123" t="inlineStr">
        <is>
          <t>ÖSTERGÖTLANDS LÄN</t>
        </is>
      </c>
      <c r="E123" t="inlineStr">
        <is>
          <t>FINSPÅNG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20296-2019</t>
        </is>
      </c>
      <c r="B124" s="1" t="n">
        <v>43571</v>
      </c>
      <c r="C124" s="1" t="n">
        <v>45849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21351-2019</t>
        </is>
      </c>
      <c r="B125" s="1" t="n">
        <v>43579</v>
      </c>
      <c r="C125" s="1" t="n">
        <v>45849</v>
      </c>
      <c r="D125" t="inlineStr">
        <is>
          <t>ÖSTERGÖTLANDS LÄN</t>
        </is>
      </c>
      <c r="E125" t="inlineStr">
        <is>
          <t>FINSPÅNG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21966-2019</t>
        </is>
      </c>
      <c r="B126" s="1" t="n">
        <v>43584</v>
      </c>
      <c r="C126" s="1" t="n">
        <v>45849</v>
      </c>
      <c r="D126" t="inlineStr">
        <is>
          <t>ÖSTERGÖTLANDS LÄN</t>
        </is>
      </c>
      <c r="E126" t="inlineStr">
        <is>
          <t>FINSPÅNG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23358-2019</t>
        </is>
      </c>
      <c r="B127" s="1" t="n">
        <v>43593</v>
      </c>
      <c r="C127" s="1" t="n">
        <v>45849</v>
      </c>
      <c r="D127" t="inlineStr">
        <is>
          <t>ÖSTERGÖTLANDS LÄN</t>
        </is>
      </c>
      <c r="E127" t="inlineStr">
        <is>
          <t>FINSPÅNG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23639-2019</t>
        </is>
      </c>
      <c r="B128" s="1" t="n">
        <v>43594</v>
      </c>
      <c r="C128" s="1" t="n">
        <v>45849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24554-2019</t>
        </is>
      </c>
      <c r="B129" s="1" t="n">
        <v>43600</v>
      </c>
      <c r="C129" s="1" t="n">
        <v>45849</v>
      </c>
      <c r="D129" t="inlineStr">
        <is>
          <t>ÖSTERGÖTLANDS LÄN</t>
        </is>
      </c>
      <c r="E129" t="inlineStr">
        <is>
          <t>FINSPÅNG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24558-2019</t>
        </is>
      </c>
      <c r="B130" s="1" t="n">
        <v>43600</v>
      </c>
      <c r="C130" s="1" t="n">
        <v>45849</v>
      </c>
      <c r="D130" t="inlineStr">
        <is>
          <t>ÖSTERGÖTLANDS LÄN</t>
        </is>
      </c>
      <c r="E130" t="inlineStr">
        <is>
          <t>FINSPÅNG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26224-2019</t>
        </is>
      </c>
      <c r="B131" s="1" t="n">
        <v>43609</v>
      </c>
      <c r="C131" s="1" t="n">
        <v>45849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26225-2019</t>
        </is>
      </c>
      <c r="B132" s="1" t="n">
        <v>43609</v>
      </c>
      <c r="C132" s="1" t="n">
        <v>45849</v>
      </c>
      <c r="D132" t="inlineStr">
        <is>
          <t>ÖSTERGÖTLANDS LÄN</t>
        </is>
      </c>
      <c r="E132" t="inlineStr">
        <is>
          <t>FINSPÅNG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28645-2019</t>
        </is>
      </c>
      <c r="B133" s="1" t="n">
        <v>43627</v>
      </c>
      <c r="C133" s="1" t="n">
        <v>45849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28990-2019</t>
        </is>
      </c>
      <c r="B134" s="1" t="n">
        <v>43628</v>
      </c>
      <c r="C134" s="1" t="n">
        <v>45849</v>
      </c>
      <c r="D134" t="inlineStr">
        <is>
          <t>ÖSTERGÖTLANDS LÄN</t>
        </is>
      </c>
      <c r="E134" t="inlineStr">
        <is>
          <t>FINSPÅNG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28987-2019</t>
        </is>
      </c>
      <c r="B135" s="1" t="n">
        <v>43628</v>
      </c>
      <c r="C135" s="1" t="n">
        <v>45849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29444-2019</t>
        </is>
      </c>
      <c r="B136" s="1" t="n">
        <v>43629</v>
      </c>
      <c r="C136" s="1" t="n">
        <v>45849</v>
      </c>
      <c r="D136" t="inlineStr">
        <is>
          <t>ÖSTERGÖTLANDS LÄN</t>
        </is>
      </c>
      <c r="E136" t="inlineStr">
        <is>
          <t>FINSPÅNG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29875-2019</t>
        </is>
      </c>
      <c r="B137" s="1" t="n">
        <v>43633</v>
      </c>
      <c r="C137" s="1" t="n">
        <v>45849</v>
      </c>
      <c r="D137" t="inlineStr">
        <is>
          <t>ÖSTERGÖTLANDS LÄN</t>
        </is>
      </c>
      <c r="E137" t="inlineStr">
        <is>
          <t>FINSPÅNG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31259-2019</t>
        </is>
      </c>
      <c r="B138" s="1" t="n">
        <v>43640</v>
      </c>
      <c r="C138" s="1" t="n">
        <v>45849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33291-2019</t>
        </is>
      </c>
      <c r="B139" s="1" t="n">
        <v>43650</v>
      </c>
      <c r="C139" s="1" t="n">
        <v>45849</v>
      </c>
      <c r="D139" t="inlineStr">
        <is>
          <t>ÖSTERGÖTLANDS LÄN</t>
        </is>
      </c>
      <c r="E139" t="inlineStr">
        <is>
          <t>FINSPÅNG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33814-2019</t>
        </is>
      </c>
      <c r="B140" s="1" t="n">
        <v>43651</v>
      </c>
      <c r="C140" s="1" t="n">
        <v>45849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33812-2019</t>
        </is>
      </c>
      <c r="B141" s="1" t="n">
        <v>43651</v>
      </c>
      <c r="C141" s="1" t="n">
        <v>45849</v>
      </c>
      <c r="D141" t="inlineStr">
        <is>
          <t>ÖSTERGÖTLANDS LÄN</t>
        </is>
      </c>
      <c r="E141" t="inlineStr">
        <is>
          <t>FINSPÅNG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34557-2019</t>
        </is>
      </c>
      <c r="B142" s="1" t="n">
        <v>43657</v>
      </c>
      <c r="C142" s="1" t="n">
        <v>45849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34559-2019</t>
        </is>
      </c>
      <c r="B143" s="1" t="n">
        <v>43657</v>
      </c>
      <c r="C143" s="1" t="n">
        <v>45849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34556-2019</t>
        </is>
      </c>
      <c r="B144" s="1" t="n">
        <v>43657</v>
      </c>
      <c r="C144" s="1" t="n">
        <v>45849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34697-2019</t>
        </is>
      </c>
      <c r="B145" s="1" t="n">
        <v>43657</v>
      </c>
      <c r="C145" s="1" t="n">
        <v>45849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35133-2019</t>
        </is>
      </c>
      <c r="B146" s="1" t="n">
        <v>43661</v>
      </c>
      <c r="C146" s="1" t="n">
        <v>45849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37461-2019</t>
        </is>
      </c>
      <c r="B147" s="1" t="n">
        <v>43678</v>
      </c>
      <c r="C147" s="1" t="n">
        <v>45849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37456-2019</t>
        </is>
      </c>
      <c r="B148" s="1" t="n">
        <v>43678</v>
      </c>
      <c r="C148" s="1" t="n">
        <v>45849</v>
      </c>
      <c r="D148" t="inlineStr">
        <is>
          <t>ÖSTERGÖTLANDS LÄN</t>
        </is>
      </c>
      <c r="E148" t="inlineStr">
        <is>
          <t>FINSPÅNG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38066-2019</t>
        </is>
      </c>
      <c r="B149" s="1" t="n">
        <v>43683</v>
      </c>
      <c r="C149" s="1" t="n">
        <v>45849</v>
      </c>
      <c r="D149" t="inlineStr">
        <is>
          <t>ÖSTERGÖTLANDS LÄN</t>
        </is>
      </c>
      <c r="E149" t="inlineStr">
        <is>
          <t>FINSPÅNG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38086-2019</t>
        </is>
      </c>
      <c r="B150" s="1" t="n">
        <v>43683</v>
      </c>
      <c r="C150" s="1" t="n">
        <v>45849</v>
      </c>
      <c r="D150" t="inlineStr">
        <is>
          <t>ÖSTERGÖTLANDS LÄN</t>
        </is>
      </c>
      <c r="E150" t="inlineStr">
        <is>
          <t>FINSPÅNG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40394-2019</t>
        </is>
      </c>
      <c r="B151" s="1" t="n">
        <v>43696</v>
      </c>
      <c r="C151" s="1" t="n">
        <v>45849</v>
      </c>
      <c r="D151" t="inlineStr">
        <is>
          <t>ÖSTERGÖTLANDS LÄN</t>
        </is>
      </c>
      <c r="E151" t="inlineStr">
        <is>
          <t>FINSPÅNG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40624-2019</t>
        </is>
      </c>
      <c r="B152" s="1" t="n">
        <v>43696</v>
      </c>
      <c r="C152" s="1" t="n">
        <v>45849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41118-2019</t>
        </is>
      </c>
      <c r="B153" s="1" t="n">
        <v>43698</v>
      </c>
      <c r="C153" s="1" t="n">
        <v>45849</v>
      </c>
      <c r="D153" t="inlineStr">
        <is>
          <t>ÖSTERGÖTLANDS LÄN</t>
        </is>
      </c>
      <c r="E153" t="inlineStr">
        <is>
          <t>FINSPÅNG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41303-2019</t>
        </is>
      </c>
      <c r="B154" s="1" t="n">
        <v>43698</v>
      </c>
      <c r="C154" s="1" t="n">
        <v>45849</v>
      </c>
      <c r="D154" t="inlineStr">
        <is>
          <t>ÖSTERGÖTLANDS LÄN</t>
        </is>
      </c>
      <c r="E154" t="inlineStr">
        <is>
          <t>FINSPÅNG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41516-2019</t>
        </is>
      </c>
      <c r="B155" s="1" t="n">
        <v>43699</v>
      </c>
      <c r="C155" s="1" t="n">
        <v>45849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41515-2019</t>
        </is>
      </c>
      <c r="B156" s="1" t="n">
        <v>43699</v>
      </c>
      <c r="C156" s="1" t="n">
        <v>45849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41846-2019</t>
        </is>
      </c>
      <c r="B157" s="1" t="n">
        <v>43700</v>
      </c>
      <c r="C157" s="1" t="n">
        <v>45849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41944-2019</t>
        </is>
      </c>
      <c r="B158" s="1" t="n">
        <v>43700</v>
      </c>
      <c r="C158" s="1" t="n">
        <v>45849</v>
      </c>
      <c r="D158" t="inlineStr">
        <is>
          <t>ÖSTERGÖTLANDS LÄN</t>
        </is>
      </c>
      <c r="E158" t="inlineStr">
        <is>
          <t>FINSPÅNG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42612-2019</t>
        </is>
      </c>
      <c r="B159" s="1" t="n">
        <v>43704</v>
      </c>
      <c r="C159" s="1" t="n">
        <v>45849</v>
      </c>
      <c r="D159" t="inlineStr">
        <is>
          <t>ÖSTERGÖTLANDS LÄN</t>
        </is>
      </c>
      <c r="E159" t="inlineStr">
        <is>
          <t>FINSPÅNG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42755-2019</t>
        </is>
      </c>
      <c r="B160" s="1" t="n">
        <v>43704</v>
      </c>
      <c r="C160" s="1" t="n">
        <v>45849</v>
      </c>
      <c r="D160" t="inlineStr">
        <is>
          <t>ÖSTERGÖTLANDS LÄN</t>
        </is>
      </c>
      <c r="E160" t="inlineStr">
        <is>
          <t>FINSPÅNG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42648-2019</t>
        </is>
      </c>
      <c r="B161" s="1" t="n">
        <v>43704</v>
      </c>
      <c r="C161" s="1" t="n">
        <v>45849</v>
      </c>
      <c r="D161" t="inlineStr">
        <is>
          <t>ÖSTERGÖTLANDS LÄN</t>
        </is>
      </c>
      <c r="E161" t="inlineStr">
        <is>
          <t>FINSPÅNG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42608-2019</t>
        </is>
      </c>
      <c r="B162" s="1" t="n">
        <v>43704</v>
      </c>
      <c r="C162" s="1" t="n">
        <v>45849</v>
      </c>
      <c r="D162" t="inlineStr">
        <is>
          <t>ÖSTERGÖTLANDS LÄN</t>
        </is>
      </c>
      <c r="E162" t="inlineStr">
        <is>
          <t>FINSPÅNG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42683-2019</t>
        </is>
      </c>
      <c r="B163" s="1" t="n">
        <v>43704</v>
      </c>
      <c r="C163" s="1" t="n">
        <v>45849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42623-2019</t>
        </is>
      </c>
      <c r="B164" s="1" t="n">
        <v>43704</v>
      </c>
      <c r="C164" s="1" t="n">
        <v>45849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42728-2019</t>
        </is>
      </c>
      <c r="B165" s="1" t="n">
        <v>43704</v>
      </c>
      <c r="C165" s="1" t="n">
        <v>45849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42748-2019</t>
        </is>
      </c>
      <c r="B166" s="1" t="n">
        <v>43704</v>
      </c>
      <c r="C166" s="1" t="n">
        <v>45849</v>
      </c>
      <c r="D166" t="inlineStr">
        <is>
          <t>ÖSTERGÖTLANDS LÄN</t>
        </is>
      </c>
      <c r="E166" t="inlineStr">
        <is>
          <t>FINSPÅNG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42757-2019</t>
        </is>
      </c>
      <c r="B167" s="1" t="n">
        <v>43704</v>
      </c>
      <c r="C167" s="1" t="n">
        <v>45849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42617-2019</t>
        </is>
      </c>
      <c r="B168" s="1" t="n">
        <v>43704</v>
      </c>
      <c r="C168" s="1" t="n">
        <v>45849</v>
      </c>
      <c r="D168" t="inlineStr">
        <is>
          <t>ÖSTERGÖTLANDS LÄN</t>
        </is>
      </c>
      <c r="E168" t="inlineStr">
        <is>
          <t>FINSPÅNG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42756-2019</t>
        </is>
      </c>
      <c r="B169" s="1" t="n">
        <v>43704</v>
      </c>
      <c r="C169" s="1" t="n">
        <v>45849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43000-2019</t>
        </is>
      </c>
      <c r="B170" s="1" t="n">
        <v>43705</v>
      </c>
      <c r="C170" s="1" t="n">
        <v>45849</v>
      </c>
      <c r="D170" t="inlineStr">
        <is>
          <t>ÖSTERGÖTLANDS LÄN</t>
        </is>
      </c>
      <c r="E170" t="inlineStr">
        <is>
          <t>FINSPÅNG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43155-2019</t>
        </is>
      </c>
      <c r="B171" s="1" t="n">
        <v>43705</v>
      </c>
      <c r="C171" s="1" t="n">
        <v>45849</v>
      </c>
      <c r="D171" t="inlineStr">
        <is>
          <t>ÖSTERGÖTLANDS LÄN</t>
        </is>
      </c>
      <c r="E171" t="inlineStr">
        <is>
          <t>FINSPÅNG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43027-2019</t>
        </is>
      </c>
      <c r="B172" s="1" t="n">
        <v>43705</v>
      </c>
      <c r="C172" s="1" t="n">
        <v>45849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45127-2019</t>
        </is>
      </c>
      <c r="B173" s="1" t="n">
        <v>43713</v>
      </c>
      <c r="C173" s="1" t="n">
        <v>45849</v>
      </c>
      <c r="D173" t="inlineStr">
        <is>
          <t>ÖSTERGÖTLANDS LÄN</t>
        </is>
      </c>
      <c r="E173" t="inlineStr">
        <is>
          <t>FINSPÅNG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45122-2019</t>
        </is>
      </c>
      <c r="B174" s="1" t="n">
        <v>43713</v>
      </c>
      <c r="C174" s="1" t="n">
        <v>45849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46124-2019</t>
        </is>
      </c>
      <c r="B175" s="1" t="n">
        <v>43713</v>
      </c>
      <c r="C175" s="1" t="n">
        <v>45849</v>
      </c>
      <c r="D175" t="inlineStr">
        <is>
          <t>ÖSTERGÖTLANDS LÄN</t>
        </is>
      </c>
      <c r="E175" t="inlineStr">
        <is>
          <t>FINSPÅNG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46184-2019</t>
        </is>
      </c>
      <c r="B176" s="1" t="n">
        <v>43713</v>
      </c>
      <c r="C176" s="1" t="n">
        <v>45849</v>
      </c>
      <c r="D176" t="inlineStr">
        <is>
          <t>ÖSTERGÖTLANDS LÄN</t>
        </is>
      </c>
      <c r="E176" t="inlineStr">
        <is>
          <t>FINSPÅNG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45938-2019</t>
        </is>
      </c>
      <c r="B177" s="1" t="n">
        <v>43718</v>
      </c>
      <c r="C177" s="1" t="n">
        <v>45849</v>
      </c>
      <c r="D177" t="inlineStr">
        <is>
          <t>ÖSTERGÖTLANDS LÄN</t>
        </is>
      </c>
      <c r="E177" t="inlineStr">
        <is>
          <t>FINSPÅNG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45949-2019</t>
        </is>
      </c>
      <c r="B178" s="1" t="n">
        <v>43718</v>
      </c>
      <c r="C178" s="1" t="n">
        <v>45849</v>
      </c>
      <c r="D178" t="inlineStr">
        <is>
          <t>ÖSTERGÖTLANDS LÄN</t>
        </is>
      </c>
      <c r="E178" t="inlineStr">
        <is>
          <t>FINSPÅNG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47223-2019</t>
        </is>
      </c>
      <c r="B179" s="1" t="n">
        <v>43720</v>
      </c>
      <c r="C179" s="1" t="n">
        <v>45849</v>
      </c>
      <c r="D179" t="inlineStr">
        <is>
          <t>ÖSTERGÖTLANDS LÄN</t>
        </is>
      </c>
      <c r="E179" t="inlineStr">
        <is>
          <t>FINSPÅNG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47327-2019</t>
        </is>
      </c>
      <c r="B180" s="1" t="n">
        <v>43721</v>
      </c>
      <c r="C180" s="1" t="n">
        <v>45849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47691-2019</t>
        </is>
      </c>
      <c r="B181" s="1" t="n">
        <v>43724</v>
      </c>
      <c r="C181" s="1" t="n">
        <v>45849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47839-2019</t>
        </is>
      </c>
      <c r="B182" s="1" t="n">
        <v>43724</v>
      </c>
      <c r="C182" s="1" t="n">
        <v>45849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47973-2019</t>
        </is>
      </c>
      <c r="B183" s="1" t="n">
        <v>43725</v>
      </c>
      <c r="C183" s="1" t="n">
        <v>45849</v>
      </c>
      <c r="D183" t="inlineStr">
        <is>
          <t>ÖSTERGÖTLANDS LÄN</t>
        </is>
      </c>
      <c r="E183" t="inlineStr">
        <is>
          <t>FINSPÅNG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48053-2019</t>
        </is>
      </c>
      <c r="B184" s="1" t="n">
        <v>43725</v>
      </c>
      <c r="C184" s="1" t="n">
        <v>45849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48242-2019</t>
        </is>
      </c>
      <c r="B185" s="1" t="n">
        <v>43726</v>
      </c>
      <c r="C185" s="1" t="n">
        <v>45849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Naturvårdsverket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50015-2019</t>
        </is>
      </c>
      <c r="B186" s="1" t="n">
        <v>43733</v>
      </c>
      <c r="C186" s="1" t="n">
        <v>45849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49949-2019</t>
        </is>
      </c>
      <c r="B187" s="1" t="n">
        <v>43733</v>
      </c>
      <c r="C187" s="1" t="n">
        <v>45849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50272-2019</t>
        </is>
      </c>
      <c r="B188" s="1" t="n">
        <v>43734</v>
      </c>
      <c r="C188" s="1" t="n">
        <v>45849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50621-2019</t>
        </is>
      </c>
      <c r="B189" s="1" t="n">
        <v>43736</v>
      </c>
      <c r="C189" s="1" t="n">
        <v>45849</v>
      </c>
      <c r="D189" t="inlineStr">
        <is>
          <t>ÖSTERGÖTLANDS LÄN</t>
        </is>
      </c>
      <c r="E189" t="inlineStr">
        <is>
          <t>FINSPÅNG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50620-2019</t>
        </is>
      </c>
      <c r="B190" s="1" t="n">
        <v>43736</v>
      </c>
      <c r="C190" s="1" t="n">
        <v>45849</v>
      </c>
      <c r="D190" t="inlineStr">
        <is>
          <t>ÖSTERGÖTLANDS LÄN</t>
        </is>
      </c>
      <c r="E190" t="inlineStr">
        <is>
          <t>FINSPÅNG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50617-2019</t>
        </is>
      </c>
      <c r="B191" s="1" t="n">
        <v>43736</v>
      </c>
      <c r="C191" s="1" t="n">
        <v>45849</v>
      </c>
      <c r="D191" t="inlineStr">
        <is>
          <t>ÖSTERGÖTLANDS LÄN</t>
        </is>
      </c>
      <c r="E191" t="inlineStr">
        <is>
          <t>FINSPÅNG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50805-2019</t>
        </is>
      </c>
      <c r="B192" s="1" t="n">
        <v>43738</v>
      </c>
      <c r="C192" s="1" t="n">
        <v>45849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51010-2019</t>
        </is>
      </c>
      <c r="B193" s="1" t="n">
        <v>43738</v>
      </c>
      <c r="C193" s="1" t="n">
        <v>45849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50927-2019</t>
        </is>
      </c>
      <c r="B194" s="1" t="n">
        <v>43738</v>
      </c>
      <c r="C194" s="1" t="n">
        <v>45849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52702-2019</t>
        </is>
      </c>
      <c r="B195" s="1" t="n">
        <v>43746</v>
      </c>
      <c r="C195" s="1" t="n">
        <v>45849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53101-2019</t>
        </is>
      </c>
      <c r="B196" s="1" t="n">
        <v>43747</v>
      </c>
      <c r="C196" s="1" t="n">
        <v>45849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54969-2019</t>
        </is>
      </c>
      <c r="B197" s="1" t="n">
        <v>43749</v>
      </c>
      <c r="C197" s="1" t="n">
        <v>45849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54992-2019</t>
        </is>
      </c>
      <c r="B198" s="1" t="n">
        <v>43755</v>
      </c>
      <c r="C198" s="1" t="n">
        <v>45849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54991-2019</t>
        </is>
      </c>
      <c r="B199" s="1" t="n">
        <v>43755</v>
      </c>
      <c r="C199" s="1" t="n">
        <v>45849</v>
      </c>
      <c r="D199" t="inlineStr">
        <is>
          <t>ÖSTERGÖTLANDS LÄN</t>
        </is>
      </c>
      <c r="E199" t="inlineStr">
        <is>
          <t>FINSPÅNG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55657-2019</t>
        </is>
      </c>
      <c r="B200" s="1" t="n">
        <v>43760</v>
      </c>
      <c r="C200" s="1" t="n">
        <v>45849</v>
      </c>
      <c r="D200" t="inlineStr">
        <is>
          <t>ÖSTERGÖTLANDS LÄN</t>
        </is>
      </c>
      <c r="E200" t="inlineStr">
        <is>
          <t>FINSPÅNG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55550-2019</t>
        </is>
      </c>
      <c r="B201" s="1" t="n">
        <v>43760</v>
      </c>
      <c r="C201" s="1" t="n">
        <v>45849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55655-2019</t>
        </is>
      </c>
      <c r="B202" s="1" t="n">
        <v>43760</v>
      </c>
      <c r="C202" s="1" t="n">
        <v>45849</v>
      </c>
      <c r="D202" t="inlineStr">
        <is>
          <t>ÖSTERGÖTLANDS LÄN</t>
        </is>
      </c>
      <c r="E202" t="inlineStr">
        <is>
          <t>FINSPÅNG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56643-2019</t>
        </is>
      </c>
      <c r="B203" s="1" t="n">
        <v>43763</v>
      </c>
      <c r="C203" s="1" t="n">
        <v>45849</v>
      </c>
      <c r="D203" t="inlineStr">
        <is>
          <t>ÖSTERGÖTLANDS LÄN</t>
        </is>
      </c>
      <c r="E203" t="inlineStr">
        <is>
          <t>FINSPÅNG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57311-2019</t>
        </is>
      </c>
      <c r="B204" s="1" t="n">
        <v>43767</v>
      </c>
      <c r="C204" s="1" t="n">
        <v>45849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57854-2019</t>
        </is>
      </c>
      <c r="B205" s="1" t="n">
        <v>43768</v>
      </c>
      <c r="C205" s="1" t="n">
        <v>45849</v>
      </c>
      <c r="D205" t="inlineStr">
        <is>
          <t>ÖSTERGÖTLANDS LÄN</t>
        </is>
      </c>
      <c r="E205" t="inlineStr">
        <is>
          <t>FINSPÅNG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61855-2019</t>
        </is>
      </c>
      <c r="B206" s="1" t="n">
        <v>43787</v>
      </c>
      <c r="C206" s="1" t="n">
        <v>45849</v>
      </c>
      <c r="D206" t="inlineStr">
        <is>
          <t>ÖSTERGÖTLANDS LÄN</t>
        </is>
      </c>
      <c r="E206" t="inlineStr">
        <is>
          <t>FINSPÅNG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61854-2019</t>
        </is>
      </c>
      <c r="B207" s="1" t="n">
        <v>43787</v>
      </c>
      <c r="C207" s="1" t="n">
        <v>45849</v>
      </c>
      <c r="D207" t="inlineStr">
        <is>
          <t>ÖSTERGÖTLANDS LÄN</t>
        </is>
      </c>
      <c r="E207" t="inlineStr">
        <is>
          <t>FINSPÅNG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62099-2019</t>
        </is>
      </c>
      <c r="B208" s="1" t="n">
        <v>43787</v>
      </c>
      <c r="C208" s="1" t="n">
        <v>45849</v>
      </c>
      <c r="D208" t="inlineStr">
        <is>
          <t>ÖSTERGÖTLANDS LÄN</t>
        </is>
      </c>
      <c r="E208" t="inlineStr">
        <is>
          <t>FINSPÅNG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61853-2019</t>
        </is>
      </c>
      <c r="B209" s="1" t="n">
        <v>43787</v>
      </c>
      <c r="C209" s="1" t="n">
        <v>45849</v>
      </c>
      <c r="D209" t="inlineStr">
        <is>
          <t>ÖSTERGÖTLANDS LÄN</t>
        </is>
      </c>
      <c r="E209" t="inlineStr">
        <is>
          <t>FINSPÅNG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61856-2019</t>
        </is>
      </c>
      <c r="B210" s="1" t="n">
        <v>43787</v>
      </c>
      <c r="C210" s="1" t="n">
        <v>45849</v>
      </c>
      <c r="D210" t="inlineStr">
        <is>
          <t>ÖSTERGÖTLANDS LÄN</t>
        </is>
      </c>
      <c r="E210" t="inlineStr">
        <is>
          <t>FINSPÅNG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63238-2019</t>
        </is>
      </c>
      <c r="B211" s="1" t="n">
        <v>43792</v>
      </c>
      <c r="C211" s="1" t="n">
        <v>45849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63237-2019</t>
        </is>
      </c>
      <c r="B212" s="1" t="n">
        <v>43792</v>
      </c>
      <c r="C212" s="1" t="n">
        <v>45849</v>
      </c>
      <c r="D212" t="inlineStr">
        <is>
          <t>ÖSTERGÖTLANDS LÄN</t>
        </is>
      </c>
      <c r="E212" t="inlineStr">
        <is>
          <t>FINSPÅNG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65160-2019</t>
        </is>
      </c>
      <c r="B213" s="1" t="n">
        <v>43796</v>
      </c>
      <c r="C213" s="1" t="n">
        <v>45849</v>
      </c>
      <c r="D213" t="inlineStr">
        <is>
          <t>ÖSTERGÖTLANDS LÄN</t>
        </is>
      </c>
      <c r="E213" t="inlineStr">
        <is>
          <t>FINSPÅNG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64668-2019</t>
        </is>
      </c>
      <c r="B214" s="1" t="n">
        <v>43798</v>
      </c>
      <c r="C214" s="1" t="n">
        <v>45849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64658-2019</t>
        </is>
      </c>
      <c r="B215" s="1" t="n">
        <v>43798</v>
      </c>
      <c r="C215" s="1" t="n">
        <v>45849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35.6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65254-2019</t>
        </is>
      </c>
      <c r="B216" s="1" t="n">
        <v>43802</v>
      </c>
      <c r="C216" s="1" t="n">
        <v>45849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65694-2019</t>
        </is>
      </c>
      <c r="B217" s="1" t="n">
        <v>43804</v>
      </c>
      <c r="C217" s="1" t="n">
        <v>45849</v>
      </c>
      <c r="D217" t="inlineStr">
        <is>
          <t>ÖSTERGÖTLANDS LÄN</t>
        </is>
      </c>
      <c r="E217" t="inlineStr">
        <is>
          <t>FINSPÅNG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65740-2019</t>
        </is>
      </c>
      <c r="B218" s="1" t="n">
        <v>43804</v>
      </c>
      <c r="C218" s="1" t="n">
        <v>45849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66006-2019</t>
        </is>
      </c>
      <c r="B219" s="1" t="n">
        <v>43805</v>
      </c>
      <c r="C219" s="1" t="n">
        <v>45849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66176-2019</t>
        </is>
      </c>
      <c r="B220" s="1" t="n">
        <v>43808</v>
      </c>
      <c r="C220" s="1" t="n">
        <v>45849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66364-2019</t>
        </is>
      </c>
      <c r="B221" s="1" t="n">
        <v>43808</v>
      </c>
      <c r="C221" s="1" t="n">
        <v>45849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66367-2019</t>
        </is>
      </c>
      <c r="B222" s="1" t="n">
        <v>43808</v>
      </c>
      <c r="C222" s="1" t="n">
        <v>45849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66671-2019</t>
        </is>
      </c>
      <c r="B223" s="1" t="n">
        <v>43809</v>
      </c>
      <c r="C223" s="1" t="n">
        <v>45849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66717-2019</t>
        </is>
      </c>
      <c r="B224" s="1" t="n">
        <v>43810</v>
      </c>
      <c r="C224" s="1" t="n">
        <v>45849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67383-2019</t>
        </is>
      </c>
      <c r="B225" s="1" t="n">
        <v>43812</v>
      </c>
      <c r="C225" s="1" t="n">
        <v>45849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67498-2019</t>
        </is>
      </c>
      <c r="B226" s="1" t="n">
        <v>43815</v>
      </c>
      <c r="C226" s="1" t="n">
        <v>45849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68453-2019</t>
        </is>
      </c>
      <c r="B227" s="1" t="n">
        <v>43818</v>
      </c>
      <c r="C227" s="1" t="n">
        <v>45849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68992-2019</t>
        </is>
      </c>
      <c r="B228" s="1" t="n">
        <v>43822</v>
      </c>
      <c r="C228" s="1" t="n">
        <v>45849</v>
      </c>
      <c r="D228" t="inlineStr">
        <is>
          <t>ÖSTERGÖTLANDS LÄN</t>
        </is>
      </c>
      <c r="E228" t="inlineStr">
        <is>
          <t>FINSPÅNG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68987-2019</t>
        </is>
      </c>
      <c r="B229" s="1" t="n">
        <v>43825</v>
      </c>
      <c r="C229" s="1" t="n">
        <v>45849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69045-2019</t>
        </is>
      </c>
      <c r="B230" s="1" t="n">
        <v>43826</v>
      </c>
      <c r="C230" s="1" t="n">
        <v>45849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1183-2020</t>
        </is>
      </c>
      <c r="B231" s="1" t="n">
        <v>43840</v>
      </c>
      <c r="C231" s="1" t="n">
        <v>45849</v>
      </c>
      <c r="D231" t="inlineStr">
        <is>
          <t>ÖSTERGÖTLANDS LÄN</t>
        </is>
      </c>
      <c r="E231" t="inlineStr">
        <is>
          <t>FINSPÅNG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1827-2020</t>
        </is>
      </c>
      <c r="B232" s="1" t="n">
        <v>43844</v>
      </c>
      <c r="C232" s="1" t="n">
        <v>45849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1848-2020</t>
        </is>
      </c>
      <c r="B233" s="1" t="n">
        <v>43844</v>
      </c>
      <c r="C233" s="1" t="n">
        <v>45849</v>
      </c>
      <c r="D233" t="inlineStr">
        <is>
          <t>ÖSTERGÖTLANDS LÄN</t>
        </is>
      </c>
      <c r="E233" t="inlineStr">
        <is>
          <t>FINSPÅNG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2351-2020</t>
        </is>
      </c>
      <c r="B234" s="1" t="n">
        <v>43846</v>
      </c>
      <c r="C234" s="1" t="n">
        <v>45849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22.2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2349-2020</t>
        </is>
      </c>
      <c r="B235" s="1" t="n">
        <v>43846</v>
      </c>
      <c r="C235" s="1" t="n">
        <v>45849</v>
      </c>
      <c r="D235" t="inlineStr">
        <is>
          <t>ÖSTERGÖTLANDS LÄN</t>
        </is>
      </c>
      <c r="E235" t="inlineStr">
        <is>
          <t>FINSPÅNG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2354-2020</t>
        </is>
      </c>
      <c r="B236" s="1" t="n">
        <v>43846</v>
      </c>
      <c r="C236" s="1" t="n">
        <v>45849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3134-2020</t>
        </is>
      </c>
      <c r="B237" s="1" t="n">
        <v>43851</v>
      </c>
      <c r="C237" s="1" t="n">
        <v>45849</v>
      </c>
      <c r="D237" t="inlineStr">
        <is>
          <t>ÖSTERGÖTLANDS LÄN</t>
        </is>
      </c>
      <c r="E237" t="inlineStr">
        <is>
          <t>FINSPÅNG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3372-2020</t>
        </is>
      </c>
      <c r="B238" s="1" t="n">
        <v>43852</v>
      </c>
      <c r="C238" s="1" t="n">
        <v>45849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3649-2020</t>
        </is>
      </c>
      <c r="B239" s="1" t="n">
        <v>43853</v>
      </c>
      <c r="C239" s="1" t="n">
        <v>45849</v>
      </c>
      <c r="D239" t="inlineStr">
        <is>
          <t>ÖSTERGÖTLANDS LÄN</t>
        </is>
      </c>
      <c r="E239" t="inlineStr">
        <is>
          <t>FINSPÅNG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3647-2020</t>
        </is>
      </c>
      <c r="B240" s="1" t="n">
        <v>43853</v>
      </c>
      <c r="C240" s="1" t="n">
        <v>45849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4167-2020</t>
        </is>
      </c>
      <c r="B241" s="1" t="n">
        <v>43857</v>
      </c>
      <c r="C241" s="1" t="n">
        <v>45849</v>
      </c>
      <c r="D241" t="inlineStr">
        <is>
          <t>ÖSTERGÖTLANDS LÄN</t>
        </is>
      </c>
      <c r="E241" t="inlineStr">
        <is>
          <t>FINSPÅNG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4278-2020</t>
        </is>
      </c>
      <c r="B242" s="1" t="n">
        <v>43857</v>
      </c>
      <c r="C242" s="1" t="n">
        <v>45849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4315-2020</t>
        </is>
      </c>
      <c r="B243" s="1" t="n">
        <v>43857</v>
      </c>
      <c r="C243" s="1" t="n">
        <v>45849</v>
      </c>
      <c r="D243" t="inlineStr">
        <is>
          <t>ÖSTERGÖTLANDS LÄN</t>
        </is>
      </c>
      <c r="E243" t="inlineStr">
        <is>
          <t>FINSPÅNG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4712-2020</t>
        </is>
      </c>
      <c r="B244" s="1" t="n">
        <v>43858</v>
      </c>
      <c r="C244" s="1" t="n">
        <v>45849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4713-2020</t>
        </is>
      </c>
      <c r="B245" s="1" t="n">
        <v>43858</v>
      </c>
      <c r="C245" s="1" t="n">
        <v>45849</v>
      </c>
      <c r="D245" t="inlineStr">
        <is>
          <t>ÖSTERGÖTLANDS LÄN</t>
        </is>
      </c>
      <c r="E245" t="inlineStr">
        <is>
          <t>FINSPÅNG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4811-2020</t>
        </is>
      </c>
      <c r="B246" s="1" t="n">
        <v>43859</v>
      </c>
      <c r="C246" s="1" t="n">
        <v>45849</v>
      </c>
      <c r="D246" t="inlineStr">
        <is>
          <t>ÖSTERGÖTLANDS LÄN</t>
        </is>
      </c>
      <c r="E246" t="inlineStr">
        <is>
          <t>FINSPÅNG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5088-2020</t>
        </is>
      </c>
      <c r="B247" s="1" t="n">
        <v>43859</v>
      </c>
      <c r="C247" s="1" t="n">
        <v>45849</v>
      </c>
      <c r="D247" t="inlineStr">
        <is>
          <t>ÖSTERGÖTLANDS LÄN</t>
        </is>
      </c>
      <c r="E247" t="inlineStr">
        <is>
          <t>FINSPÅNG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5091-2020</t>
        </is>
      </c>
      <c r="B248" s="1" t="n">
        <v>43859</v>
      </c>
      <c r="C248" s="1" t="n">
        <v>45849</v>
      </c>
      <c r="D248" t="inlineStr">
        <is>
          <t>ÖSTERGÖTLANDS LÄN</t>
        </is>
      </c>
      <c r="E248" t="inlineStr">
        <is>
          <t>FINSPÅNG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5726-2020</t>
        </is>
      </c>
      <c r="B249" s="1" t="n">
        <v>43862</v>
      </c>
      <c r="C249" s="1" t="n">
        <v>45849</v>
      </c>
      <c r="D249" t="inlineStr">
        <is>
          <t>ÖSTERGÖTLANDS LÄN</t>
        </is>
      </c>
      <c r="E249" t="inlineStr">
        <is>
          <t>FINSPÅNG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5730-2020</t>
        </is>
      </c>
      <c r="B250" s="1" t="n">
        <v>43862</v>
      </c>
      <c r="C250" s="1" t="n">
        <v>45849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6379-2020</t>
        </is>
      </c>
      <c r="B251" s="1" t="n">
        <v>43864</v>
      </c>
      <c r="C251" s="1" t="n">
        <v>45849</v>
      </c>
      <c r="D251" t="inlineStr">
        <is>
          <t>ÖSTERGÖTLANDS LÄN</t>
        </is>
      </c>
      <c r="E251" t="inlineStr">
        <is>
          <t>FINSPÅNG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6201-2020</t>
        </is>
      </c>
      <c r="B252" s="1" t="n">
        <v>43865</v>
      </c>
      <c r="C252" s="1" t="n">
        <v>45849</v>
      </c>
      <c r="D252" t="inlineStr">
        <is>
          <t>ÖSTERGÖTLANDS LÄN</t>
        </is>
      </c>
      <c r="E252" t="inlineStr">
        <is>
          <t>FINSPÅNG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6254-2020</t>
        </is>
      </c>
      <c r="B253" s="1" t="n">
        <v>43866</v>
      </c>
      <c r="C253" s="1" t="n">
        <v>45849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6300-2020</t>
        </is>
      </c>
      <c r="B254" s="1" t="n">
        <v>43866</v>
      </c>
      <c r="C254" s="1" t="n">
        <v>45849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8033-2020</t>
        </is>
      </c>
      <c r="B255" s="1" t="n">
        <v>43873</v>
      </c>
      <c r="C255" s="1" t="n">
        <v>45849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8156-2020</t>
        </is>
      </c>
      <c r="B256" s="1" t="n">
        <v>43874</v>
      </c>
      <c r="C256" s="1" t="n">
        <v>45849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8184-2020</t>
        </is>
      </c>
      <c r="B257" s="1" t="n">
        <v>43874</v>
      </c>
      <c r="C257" s="1" t="n">
        <v>45849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8690-2020</t>
        </is>
      </c>
      <c r="B258" s="1" t="n">
        <v>43878</v>
      </c>
      <c r="C258" s="1" t="n">
        <v>45849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11005-2020</t>
        </is>
      </c>
      <c r="B259" s="1" t="n">
        <v>43889</v>
      </c>
      <c r="C259" s="1" t="n">
        <v>45849</v>
      </c>
      <c r="D259" t="inlineStr">
        <is>
          <t>ÖSTERGÖTLANDS LÄN</t>
        </is>
      </c>
      <c r="E259" t="inlineStr">
        <is>
          <t>FINSPÅNG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11007-2020</t>
        </is>
      </c>
      <c r="B260" s="1" t="n">
        <v>43889</v>
      </c>
      <c r="C260" s="1" t="n">
        <v>45849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11000-2020</t>
        </is>
      </c>
      <c r="B261" s="1" t="n">
        <v>43889</v>
      </c>
      <c r="C261" s="1" t="n">
        <v>45849</v>
      </c>
      <c r="D261" t="inlineStr">
        <is>
          <t>ÖSTERGÖTLANDS LÄN</t>
        </is>
      </c>
      <c r="E261" t="inlineStr">
        <is>
          <t>FINSPÅNG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11432-2020</t>
        </is>
      </c>
      <c r="B262" s="1" t="n">
        <v>43893</v>
      </c>
      <c r="C262" s="1" t="n">
        <v>45849</v>
      </c>
      <c r="D262" t="inlineStr">
        <is>
          <t>ÖSTERGÖTLANDS LÄN</t>
        </is>
      </c>
      <c r="E262" t="inlineStr">
        <is>
          <t>FINSPÅNG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12193-2020</t>
        </is>
      </c>
      <c r="B263" s="1" t="n">
        <v>43895</v>
      </c>
      <c r="C263" s="1" t="n">
        <v>45849</v>
      </c>
      <c r="D263" t="inlineStr">
        <is>
          <t>ÖSTERGÖTLANDS LÄN</t>
        </is>
      </c>
      <c r="E263" t="inlineStr">
        <is>
          <t>FINSPÅNG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12951-2020</t>
        </is>
      </c>
      <c r="B264" s="1" t="n">
        <v>43900</v>
      </c>
      <c r="C264" s="1" t="n">
        <v>45849</v>
      </c>
      <c r="D264" t="inlineStr">
        <is>
          <t>ÖSTERGÖTLANDS LÄN</t>
        </is>
      </c>
      <c r="E264" t="inlineStr">
        <is>
          <t>FINSPÅNG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13981-2020</t>
        </is>
      </c>
      <c r="B265" s="1" t="n">
        <v>43906</v>
      </c>
      <c r="C265" s="1" t="n">
        <v>45849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14849-2020</t>
        </is>
      </c>
      <c r="B266" s="1" t="n">
        <v>43909</v>
      </c>
      <c r="C266" s="1" t="n">
        <v>45849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14834-2020</t>
        </is>
      </c>
      <c r="B267" s="1" t="n">
        <v>43909</v>
      </c>
      <c r="C267" s="1" t="n">
        <v>45849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14840-2020</t>
        </is>
      </c>
      <c r="B268" s="1" t="n">
        <v>43909</v>
      </c>
      <c r="C268" s="1" t="n">
        <v>45849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14850-2020</t>
        </is>
      </c>
      <c r="B269" s="1" t="n">
        <v>43909</v>
      </c>
      <c r="C269" s="1" t="n">
        <v>45849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15216-2020</t>
        </is>
      </c>
      <c r="B270" s="1" t="n">
        <v>43913</v>
      </c>
      <c r="C270" s="1" t="n">
        <v>45849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15204-2020</t>
        </is>
      </c>
      <c r="B271" s="1" t="n">
        <v>43913</v>
      </c>
      <c r="C271" s="1" t="n">
        <v>45849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16008-2020</t>
        </is>
      </c>
      <c r="B272" s="1" t="n">
        <v>43916</v>
      </c>
      <c r="C272" s="1" t="n">
        <v>45849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19088-2020</t>
        </is>
      </c>
      <c r="B273" s="1" t="n">
        <v>43936</v>
      </c>
      <c r="C273" s="1" t="n">
        <v>45849</v>
      </c>
      <c r="D273" t="inlineStr">
        <is>
          <t>ÖSTERGÖTLANDS LÄN</t>
        </is>
      </c>
      <c r="E273" t="inlineStr">
        <is>
          <t>FINSPÅNG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19081-2020</t>
        </is>
      </c>
      <c r="B274" s="1" t="n">
        <v>43936</v>
      </c>
      <c r="C274" s="1" t="n">
        <v>45849</v>
      </c>
      <c r="D274" t="inlineStr">
        <is>
          <t>ÖSTERGÖTLANDS LÄN</t>
        </is>
      </c>
      <c r="E274" t="inlineStr">
        <is>
          <t>FINSPÅNG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19496-2020</t>
        </is>
      </c>
      <c r="B275" s="1" t="n">
        <v>43938</v>
      </c>
      <c r="C275" s="1" t="n">
        <v>45849</v>
      </c>
      <c r="D275" t="inlineStr">
        <is>
          <t>ÖSTERGÖTLANDS LÄN</t>
        </is>
      </c>
      <c r="E275" t="inlineStr">
        <is>
          <t>FINSPÅNG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19494-2020</t>
        </is>
      </c>
      <c r="B276" s="1" t="n">
        <v>43938</v>
      </c>
      <c r="C276" s="1" t="n">
        <v>45849</v>
      </c>
      <c r="D276" t="inlineStr">
        <is>
          <t>ÖSTERGÖTLANDS LÄN</t>
        </is>
      </c>
      <c r="E276" t="inlineStr">
        <is>
          <t>FINSPÅNG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20859-2020</t>
        </is>
      </c>
      <c r="B277" s="1" t="n">
        <v>43948</v>
      </c>
      <c r="C277" s="1" t="n">
        <v>45849</v>
      </c>
      <c r="D277" t="inlineStr">
        <is>
          <t>ÖSTERGÖTLANDS LÄN</t>
        </is>
      </c>
      <c r="E277" t="inlineStr">
        <is>
          <t>FINSPÅNG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20551-2020</t>
        </is>
      </c>
      <c r="B278" s="1" t="n">
        <v>43948</v>
      </c>
      <c r="C278" s="1" t="n">
        <v>45849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20746-2020</t>
        </is>
      </c>
      <c r="B279" s="1" t="n">
        <v>43949</v>
      </c>
      <c r="C279" s="1" t="n">
        <v>45849</v>
      </c>
      <c r="D279" t="inlineStr">
        <is>
          <t>ÖSTERGÖTLANDS LÄN</t>
        </is>
      </c>
      <c r="E279" t="inlineStr">
        <is>
          <t>FINSPÅNG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21487-2020</t>
        </is>
      </c>
      <c r="B280" s="1" t="n">
        <v>43956</v>
      </c>
      <c r="C280" s="1" t="n">
        <v>45849</v>
      </c>
      <c r="D280" t="inlineStr">
        <is>
          <t>ÖSTERGÖTLANDS LÄN</t>
        </is>
      </c>
      <c r="E280" t="inlineStr">
        <is>
          <t>FINSPÅNG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21583-2020</t>
        </is>
      </c>
      <c r="B281" s="1" t="n">
        <v>43956</v>
      </c>
      <c r="C281" s="1" t="n">
        <v>45849</v>
      </c>
      <c r="D281" t="inlineStr">
        <is>
          <t>ÖSTERGÖTLANDS LÄN</t>
        </is>
      </c>
      <c r="E281" t="inlineStr">
        <is>
          <t>FINSPÅNG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22631-2020</t>
        </is>
      </c>
      <c r="B282" s="1" t="n">
        <v>43963</v>
      </c>
      <c r="C282" s="1" t="n">
        <v>45849</v>
      </c>
      <c r="D282" t="inlineStr">
        <is>
          <t>ÖSTERGÖTLANDS LÄN</t>
        </is>
      </c>
      <c r="E282" t="inlineStr">
        <is>
          <t>FINSPÅNG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23378-2020</t>
        </is>
      </c>
      <c r="B283" s="1" t="n">
        <v>43967</v>
      </c>
      <c r="C283" s="1" t="n">
        <v>45849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23384-2020</t>
        </is>
      </c>
      <c r="B284" s="1" t="n">
        <v>43967</v>
      </c>
      <c r="C284" s="1" t="n">
        <v>45849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23925-2020</t>
        </is>
      </c>
      <c r="B285" s="1" t="n">
        <v>43971</v>
      </c>
      <c r="C285" s="1" t="n">
        <v>45849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24630-2020</t>
        </is>
      </c>
      <c r="B286" s="1" t="n">
        <v>43977</v>
      </c>
      <c r="C286" s="1" t="n">
        <v>45849</v>
      </c>
      <c r="D286" t="inlineStr">
        <is>
          <t>ÖSTERGÖTLANDS LÄN</t>
        </is>
      </c>
      <c r="E286" t="inlineStr">
        <is>
          <t>FINSPÅNG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25123-2020</t>
        </is>
      </c>
      <c r="B287" s="1" t="n">
        <v>43979</v>
      </c>
      <c r="C287" s="1" t="n">
        <v>45849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26346-2020</t>
        </is>
      </c>
      <c r="B288" s="1" t="n">
        <v>43986</v>
      </c>
      <c r="C288" s="1" t="n">
        <v>45849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27182-2020</t>
        </is>
      </c>
      <c r="B289" s="1" t="n">
        <v>43991</v>
      </c>
      <c r="C289" s="1" t="n">
        <v>45849</v>
      </c>
      <c r="D289" t="inlineStr">
        <is>
          <t>ÖSTERGÖTLANDS LÄN</t>
        </is>
      </c>
      <c r="E289" t="inlineStr">
        <is>
          <t>FINSPÅNG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27179-2020</t>
        </is>
      </c>
      <c r="B290" s="1" t="n">
        <v>43991</v>
      </c>
      <c r="C290" s="1" t="n">
        <v>45849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27456-2020</t>
        </is>
      </c>
      <c r="B291" s="1" t="n">
        <v>43993</v>
      </c>
      <c r="C291" s="1" t="n">
        <v>45849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28391-2020</t>
        </is>
      </c>
      <c r="B292" s="1" t="n">
        <v>43998</v>
      </c>
      <c r="C292" s="1" t="n">
        <v>45849</v>
      </c>
      <c r="D292" t="inlineStr">
        <is>
          <t>ÖSTERGÖTLANDS LÄN</t>
        </is>
      </c>
      <c r="E292" t="inlineStr">
        <is>
          <t>FINSPÅNG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28389-2020</t>
        </is>
      </c>
      <c r="B293" s="1" t="n">
        <v>43998</v>
      </c>
      <c r="C293" s="1" t="n">
        <v>45849</v>
      </c>
      <c r="D293" t="inlineStr">
        <is>
          <t>ÖSTERGÖTLANDS LÄN</t>
        </is>
      </c>
      <c r="E293" t="inlineStr">
        <is>
          <t>FINSPÅNG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28403-2020</t>
        </is>
      </c>
      <c r="B294" s="1" t="n">
        <v>43998</v>
      </c>
      <c r="C294" s="1" t="n">
        <v>45849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29111-2020</t>
        </is>
      </c>
      <c r="B295" s="1" t="n">
        <v>44003</v>
      </c>
      <c r="C295" s="1" t="n">
        <v>45849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30626-2020</t>
        </is>
      </c>
      <c r="B296" s="1" t="n">
        <v>44008</v>
      </c>
      <c r="C296" s="1" t="n">
        <v>45849</v>
      </c>
      <c r="D296" t="inlineStr">
        <is>
          <t>ÖSTERGÖTLANDS LÄN</t>
        </is>
      </c>
      <c r="E296" t="inlineStr">
        <is>
          <t>FINSPÅNG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31278-2020</t>
        </is>
      </c>
      <c r="B297" s="1" t="n">
        <v>44011</v>
      </c>
      <c r="C297" s="1" t="n">
        <v>45849</v>
      </c>
      <c r="D297" t="inlineStr">
        <is>
          <t>ÖSTERGÖTLANDS LÄN</t>
        </is>
      </c>
      <c r="E297" t="inlineStr">
        <is>
          <t>FINSPÅNG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31266-2020</t>
        </is>
      </c>
      <c r="B298" s="1" t="n">
        <v>44011</v>
      </c>
      <c r="C298" s="1" t="n">
        <v>45849</v>
      </c>
      <c r="D298" t="inlineStr">
        <is>
          <t>ÖSTERGÖTLANDS LÄN</t>
        </is>
      </c>
      <c r="E298" t="inlineStr">
        <is>
          <t>FINSPÅNG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31611-2020</t>
        </is>
      </c>
      <c r="B299" s="1" t="n">
        <v>44013</v>
      </c>
      <c r="C299" s="1" t="n">
        <v>45849</v>
      </c>
      <c r="D299" t="inlineStr">
        <is>
          <t>ÖSTERGÖTLANDS LÄN</t>
        </is>
      </c>
      <c r="E299" t="inlineStr">
        <is>
          <t>FINSPÅNG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31612-2020</t>
        </is>
      </c>
      <c r="B300" s="1" t="n">
        <v>44013</v>
      </c>
      <c r="C300" s="1" t="n">
        <v>45849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32288-2020</t>
        </is>
      </c>
      <c r="B301" s="1" t="n">
        <v>44015</v>
      </c>
      <c r="C301" s="1" t="n">
        <v>45849</v>
      </c>
      <c r="D301" t="inlineStr">
        <is>
          <t>ÖSTERGÖTLANDS LÄN</t>
        </is>
      </c>
      <c r="E301" t="inlineStr">
        <is>
          <t>FINSPÅNG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32290-2020</t>
        </is>
      </c>
      <c r="B302" s="1" t="n">
        <v>44015</v>
      </c>
      <c r="C302" s="1" t="n">
        <v>45849</v>
      </c>
      <c r="D302" t="inlineStr">
        <is>
          <t>ÖSTERGÖTLANDS LÄN</t>
        </is>
      </c>
      <c r="E302" t="inlineStr">
        <is>
          <t>FINSPÅNG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32389-2020</t>
        </is>
      </c>
      <c r="B303" s="1" t="n">
        <v>44018</v>
      </c>
      <c r="C303" s="1" t="n">
        <v>45849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32392-2020</t>
        </is>
      </c>
      <c r="B304" s="1" t="n">
        <v>44018</v>
      </c>
      <c r="C304" s="1" t="n">
        <v>45849</v>
      </c>
      <c r="D304" t="inlineStr">
        <is>
          <t>ÖSTERGÖTLANDS LÄN</t>
        </is>
      </c>
      <c r="E304" t="inlineStr">
        <is>
          <t>FINSPÅNG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32384-2020</t>
        </is>
      </c>
      <c r="B305" s="1" t="n">
        <v>44018</v>
      </c>
      <c r="C305" s="1" t="n">
        <v>45849</v>
      </c>
      <c r="D305" t="inlineStr">
        <is>
          <t>ÖSTERGÖTLANDS LÄN</t>
        </is>
      </c>
      <c r="E305" t="inlineStr">
        <is>
          <t>FINSPÅNG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32652-2020</t>
        </is>
      </c>
      <c r="B306" s="1" t="n">
        <v>44019</v>
      </c>
      <c r="C306" s="1" t="n">
        <v>45849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33090-2020</t>
        </is>
      </c>
      <c r="B307" s="1" t="n">
        <v>44021</v>
      </c>
      <c r="C307" s="1" t="n">
        <v>45849</v>
      </c>
      <c r="D307" t="inlineStr">
        <is>
          <t>ÖSTERGÖTLANDS LÄN</t>
        </is>
      </c>
      <c r="E307" t="inlineStr">
        <is>
          <t>FINSPÅNG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33297-2020</t>
        </is>
      </c>
      <c r="B308" s="1" t="n">
        <v>44022</v>
      </c>
      <c r="C308" s="1" t="n">
        <v>45849</v>
      </c>
      <c r="D308" t="inlineStr">
        <is>
          <t>ÖSTERGÖTLANDS LÄN</t>
        </is>
      </c>
      <c r="E308" t="inlineStr">
        <is>
          <t>FINSPÅNG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33475-2020</t>
        </is>
      </c>
      <c r="B309" s="1" t="n">
        <v>44023</v>
      </c>
      <c r="C309" s="1" t="n">
        <v>45849</v>
      </c>
      <c r="D309" t="inlineStr">
        <is>
          <t>ÖSTERGÖTLANDS LÄN</t>
        </is>
      </c>
      <c r="E309" t="inlineStr">
        <is>
          <t>FINSPÅNG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33906-2020</t>
        </is>
      </c>
      <c r="B310" s="1" t="n">
        <v>44027</v>
      </c>
      <c r="C310" s="1" t="n">
        <v>45849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34880-2020</t>
        </is>
      </c>
      <c r="B311" s="1" t="n">
        <v>44036</v>
      </c>
      <c r="C311" s="1" t="n">
        <v>45849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35050-2020</t>
        </is>
      </c>
      <c r="B312" s="1" t="n">
        <v>44039</v>
      </c>
      <c r="C312" s="1" t="n">
        <v>45849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36784-2020</t>
        </is>
      </c>
      <c r="B313" s="1" t="n">
        <v>44053</v>
      </c>
      <c r="C313" s="1" t="n">
        <v>45849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36925-2020</t>
        </is>
      </c>
      <c r="B314" s="1" t="n">
        <v>44053</v>
      </c>
      <c r="C314" s="1" t="n">
        <v>45849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36924-2020</t>
        </is>
      </c>
      <c r="B315" s="1" t="n">
        <v>44053</v>
      </c>
      <c r="C315" s="1" t="n">
        <v>45849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36920-2020</t>
        </is>
      </c>
      <c r="B316" s="1" t="n">
        <v>44053</v>
      </c>
      <c r="C316" s="1" t="n">
        <v>45849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37290-2020</t>
        </is>
      </c>
      <c r="B317" s="1" t="n">
        <v>44055</v>
      </c>
      <c r="C317" s="1" t="n">
        <v>45849</v>
      </c>
      <c r="D317" t="inlineStr">
        <is>
          <t>ÖSTERGÖTLANDS LÄN</t>
        </is>
      </c>
      <c r="E317" t="inlineStr">
        <is>
          <t>FINSPÅNG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37294-2020</t>
        </is>
      </c>
      <c r="B318" s="1" t="n">
        <v>44055</v>
      </c>
      <c r="C318" s="1" t="n">
        <v>45849</v>
      </c>
      <c r="D318" t="inlineStr">
        <is>
          <t>ÖSTERGÖTLANDS LÄN</t>
        </is>
      </c>
      <c r="E318" t="inlineStr">
        <is>
          <t>FINSPÅNG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37529-2020</t>
        </is>
      </c>
      <c r="B319" s="1" t="n">
        <v>44056</v>
      </c>
      <c r="C319" s="1" t="n">
        <v>45849</v>
      </c>
      <c r="D319" t="inlineStr">
        <is>
          <t>ÖSTERGÖTLANDS LÄN</t>
        </is>
      </c>
      <c r="E319" t="inlineStr">
        <is>
          <t>FINSPÅNG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37528-2020</t>
        </is>
      </c>
      <c r="B320" s="1" t="n">
        <v>44056</v>
      </c>
      <c r="C320" s="1" t="n">
        <v>45849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37884-2020</t>
        </is>
      </c>
      <c r="B321" s="1" t="n">
        <v>44057</v>
      </c>
      <c r="C321" s="1" t="n">
        <v>45849</v>
      </c>
      <c r="D321" t="inlineStr">
        <is>
          <t>ÖSTERGÖTLANDS LÄN</t>
        </is>
      </c>
      <c r="E321" t="inlineStr">
        <is>
          <t>FINSPÅNG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38005-2020</t>
        </is>
      </c>
      <c r="B322" s="1" t="n">
        <v>44057</v>
      </c>
      <c r="C322" s="1" t="n">
        <v>45849</v>
      </c>
      <c r="D322" t="inlineStr">
        <is>
          <t>ÖSTERGÖTLANDS LÄN</t>
        </is>
      </c>
      <c r="E322" t="inlineStr">
        <is>
          <t>FINSPÅNG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38923-2020</t>
        </is>
      </c>
      <c r="B323" s="1" t="n">
        <v>44062</v>
      </c>
      <c r="C323" s="1" t="n">
        <v>45849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40125-2020</t>
        </is>
      </c>
      <c r="B324" s="1" t="n">
        <v>44064</v>
      </c>
      <c r="C324" s="1" t="n">
        <v>45849</v>
      </c>
      <c r="D324" t="inlineStr">
        <is>
          <t>ÖSTERGÖTLANDS LÄN</t>
        </is>
      </c>
      <c r="E324" t="inlineStr">
        <is>
          <t>FINSPÅNG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39869-2020</t>
        </is>
      </c>
      <c r="B325" s="1" t="n">
        <v>44067</v>
      </c>
      <c r="C325" s="1" t="n">
        <v>45849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39870-2020</t>
        </is>
      </c>
      <c r="B326" s="1" t="n">
        <v>44067</v>
      </c>
      <c r="C326" s="1" t="n">
        <v>45849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40635-2020</t>
        </is>
      </c>
      <c r="B327" s="1" t="n">
        <v>44069</v>
      </c>
      <c r="C327" s="1" t="n">
        <v>45849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40546-2020</t>
        </is>
      </c>
      <c r="B328" s="1" t="n">
        <v>44069</v>
      </c>
      <c r="C328" s="1" t="n">
        <v>45849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41084-2020</t>
        </is>
      </c>
      <c r="B329" s="1" t="n">
        <v>44071</v>
      </c>
      <c r="C329" s="1" t="n">
        <v>45849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41247-2020</t>
        </is>
      </c>
      <c r="B330" s="1" t="n">
        <v>44071</v>
      </c>
      <c r="C330" s="1" t="n">
        <v>45849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41331-2020</t>
        </is>
      </c>
      <c r="B331" s="1" t="n">
        <v>44071</v>
      </c>
      <c r="C331" s="1" t="n">
        <v>45849</v>
      </c>
      <c r="D331" t="inlineStr">
        <is>
          <t>ÖSTERGÖTLANDS LÄN</t>
        </is>
      </c>
      <c r="E331" t="inlineStr">
        <is>
          <t>FINSPÅNG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41599-2020</t>
        </is>
      </c>
      <c r="B332" s="1" t="n">
        <v>44074</v>
      </c>
      <c r="C332" s="1" t="n">
        <v>45849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41968-2020</t>
        </is>
      </c>
      <c r="B333" s="1" t="n">
        <v>44075</v>
      </c>
      <c r="C333" s="1" t="n">
        <v>45849</v>
      </c>
      <c r="D333" t="inlineStr">
        <is>
          <t>ÖSTERGÖTLANDS LÄN</t>
        </is>
      </c>
      <c r="E333" t="inlineStr">
        <is>
          <t>FINSPÅNG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42195-2020</t>
        </is>
      </c>
      <c r="B334" s="1" t="n">
        <v>44075</v>
      </c>
      <c r="C334" s="1" t="n">
        <v>45849</v>
      </c>
      <c r="D334" t="inlineStr">
        <is>
          <t>ÖSTERGÖTLANDS LÄN</t>
        </is>
      </c>
      <c r="E334" t="inlineStr">
        <is>
          <t>FINSPÅNG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42194-2020</t>
        </is>
      </c>
      <c r="B335" s="1" t="n">
        <v>44075</v>
      </c>
      <c r="C335" s="1" t="n">
        <v>45849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42235-2020</t>
        </is>
      </c>
      <c r="B336" s="1" t="n">
        <v>44076</v>
      </c>
      <c r="C336" s="1" t="n">
        <v>45849</v>
      </c>
      <c r="D336" t="inlineStr">
        <is>
          <t>ÖSTERGÖTLANDS LÄN</t>
        </is>
      </c>
      <c r="E336" t="inlineStr">
        <is>
          <t>FINSPÅNG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42451-2020</t>
        </is>
      </c>
      <c r="B337" s="1" t="n">
        <v>44076</v>
      </c>
      <c r="C337" s="1" t="n">
        <v>45849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42315-2020</t>
        </is>
      </c>
      <c r="B338" s="1" t="n">
        <v>44076</v>
      </c>
      <c r="C338" s="1" t="n">
        <v>45849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Övriga Aktiebolag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42459-2020</t>
        </is>
      </c>
      <c r="B339" s="1" t="n">
        <v>44076</v>
      </c>
      <c r="C339" s="1" t="n">
        <v>45849</v>
      </c>
      <c r="D339" t="inlineStr">
        <is>
          <t>ÖSTERGÖTLANDS LÄN</t>
        </is>
      </c>
      <c r="E339" t="inlineStr">
        <is>
          <t>FINSPÅNG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42452-2020</t>
        </is>
      </c>
      <c r="B340" s="1" t="n">
        <v>44076</v>
      </c>
      <c r="C340" s="1" t="n">
        <v>45849</v>
      </c>
      <c r="D340" t="inlineStr">
        <is>
          <t>ÖSTERGÖTLANDS LÄN</t>
        </is>
      </c>
      <c r="E340" t="inlineStr">
        <is>
          <t>FINSPÅNG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43118-2020</t>
        </is>
      </c>
      <c r="B341" s="1" t="n">
        <v>44079</v>
      </c>
      <c r="C341" s="1" t="n">
        <v>45849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43113-2020</t>
        </is>
      </c>
      <c r="B342" s="1" t="n">
        <v>44079</v>
      </c>
      <c r="C342" s="1" t="n">
        <v>45849</v>
      </c>
      <c r="D342" t="inlineStr">
        <is>
          <t>ÖSTERGÖTLANDS LÄN</t>
        </is>
      </c>
      <c r="E342" t="inlineStr">
        <is>
          <t>FINSPÅNG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44480-2020</t>
        </is>
      </c>
      <c r="B343" s="1" t="n">
        <v>44084</v>
      </c>
      <c r="C343" s="1" t="n">
        <v>45849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44477-2020</t>
        </is>
      </c>
      <c r="B344" s="1" t="n">
        <v>44084</v>
      </c>
      <c r="C344" s="1" t="n">
        <v>45849</v>
      </c>
      <c r="D344" t="inlineStr">
        <is>
          <t>ÖSTERGÖTLANDS LÄN</t>
        </is>
      </c>
      <c r="E344" t="inlineStr">
        <is>
          <t>FINSPÅNG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44478-2020</t>
        </is>
      </c>
      <c r="B345" s="1" t="n">
        <v>44084</v>
      </c>
      <c r="C345" s="1" t="n">
        <v>45849</v>
      </c>
      <c r="D345" t="inlineStr">
        <is>
          <t>ÖSTERGÖTLANDS LÄN</t>
        </is>
      </c>
      <c r="E345" t="inlineStr">
        <is>
          <t>FINSPÅNG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44485-2020</t>
        </is>
      </c>
      <c r="B346" s="1" t="n">
        <v>44084</v>
      </c>
      <c r="C346" s="1" t="n">
        <v>45849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44817-2020</t>
        </is>
      </c>
      <c r="B347" s="1" t="n">
        <v>44085</v>
      </c>
      <c r="C347" s="1" t="n">
        <v>45849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44821-2020</t>
        </is>
      </c>
      <c r="B348" s="1" t="n">
        <v>44085</v>
      </c>
      <c r="C348" s="1" t="n">
        <v>45849</v>
      </c>
      <c r="D348" t="inlineStr">
        <is>
          <t>ÖSTERGÖTLANDS LÄN</t>
        </is>
      </c>
      <c r="E348" t="inlineStr">
        <is>
          <t>FINSPÅNG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44819-2020</t>
        </is>
      </c>
      <c r="B349" s="1" t="n">
        <v>44085</v>
      </c>
      <c r="C349" s="1" t="n">
        <v>45849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46063-2020</t>
        </is>
      </c>
      <c r="B350" s="1" t="n">
        <v>44088</v>
      </c>
      <c r="C350" s="1" t="n">
        <v>45849</v>
      </c>
      <c r="D350" t="inlineStr">
        <is>
          <t>ÖSTERGÖTLANDS LÄN</t>
        </is>
      </c>
      <c r="E350" t="inlineStr">
        <is>
          <t>FINSPÅNG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47390-2020</t>
        </is>
      </c>
      <c r="B351" s="1" t="n">
        <v>44097</v>
      </c>
      <c r="C351" s="1" t="n">
        <v>45849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48015-2020</t>
        </is>
      </c>
      <c r="B352" s="1" t="n">
        <v>44099</v>
      </c>
      <c r="C352" s="1" t="n">
        <v>45849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48012-2020</t>
        </is>
      </c>
      <c r="B353" s="1" t="n">
        <v>44099</v>
      </c>
      <c r="C353" s="1" t="n">
        <v>45849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Sveaskog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48273-2020</t>
        </is>
      </c>
      <c r="B354" s="1" t="n">
        <v>44102</v>
      </c>
      <c r="C354" s="1" t="n">
        <v>45849</v>
      </c>
      <c r="D354" t="inlineStr">
        <is>
          <t>ÖSTERGÖTLANDS LÄN</t>
        </is>
      </c>
      <c r="E354" t="inlineStr">
        <is>
          <t>FINSPÅNG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48674-2020</t>
        </is>
      </c>
      <c r="B355" s="1" t="n">
        <v>44103</v>
      </c>
      <c r="C355" s="1" t="n">
        <v>45849</v>
      </c>
      <c r="D355" t="inlineStr">
        <is>
          <t>ÖSTERGÖTLANDS LÄN</t>
        </is>
      </c>
      <c r="E355" t="inlineStr">
        <is>
          <t>FINSPÅNG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48669-2020</t>
        </is>
      </c>
      <c r="B356" s="1" t="n">
        <v>44103</v>
      </c>
      <c r="C356" s="1" t="n">
        <v>45849</v>
      </c>
      <c r="D356" t="inlineStr">
        <is>
          <t>ÖSTERGÖTLANDS LÄN</t>
        </is>
      </c>
      <c r="E356" t="inlineStr">
        <is>
          <t>FINSPÅNG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49620-2020</t>
        </is>
      </c>
      <c r="B357" s="1" t="n">
        <v>44103</v>
      </c>
      <c r="C357" s="1" t="n">
        <v>45849</v>
      </c>
      <c r="D357" t="inlineStr">
        <is>
          <t>ÖSTERGÖTLANDS LÄN</t>
        </is>
      </c>
      <c r="E357" t="inlineStr">
        <is>
          <t>FINSPÅNG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49861-2020</t>
        </is>
      </c>
      <c r="B358" s="1" t="n">
        <v>44107</v>
      </c>
      <c r="C358" s="1" t="n">
        <v>45849</v>
      </c>
      <c r="D358" t="inlineStr">
        <is>
          <t>ÖSTERGÖTLANDS LÄN</t>
        </is>
      </c>
      <c r="E358" t="inlineStr">
        <is>
          <t>FINSPÅNG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49862-2020</t>
        </is>
      </c>
      <c r="B359" s="1" t="n">
        <v>44107</v>
      </c>
      <c r="C359" s="1" t="n">
        <v>45849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50207-2020</t>
        </is>
      </c>
      <c r="B360" s="1" t="n">
        <v>44109</v>
      </c>
      <c r="C360" s="1" t="n">
        <v>45849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50284-2020</t>
        </is>
      </c>
      <c r="B361" s="1" t="n">
        <v>44109</v>
      </c>
      <c r="C361" s="1" t="n">
        <v>45849</v>
      </c>
      <c r="D361" t="inlineStr">
        <is>
          <t>ÖSTERGÖTLANDS LÄN</t>
        </is>
      </c>
      <c r="E361" t="inlineStr">
        <is>
          <t>FINSPÅNG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50288-2020</t>
        </is>
      </c>
      <c r="B362" s="1" t="n">
        <v>44110</v>
      </c>
      <c r="C362" s="1" t="n">
        <v>45849</v>
      </c>
      <c r="D362" t="inlineStr">
        <is>
          <t>ÖSTERGÖTLANDS LÄN</t>
        </is>
      </c>
      <c r="E362" t="inlineStr">
        <is>
          <t>FINSPÅNG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51234-2020</t>
        </is>
      </c>
      <c r="B363" s="1" t="n">
        <v>44112</v>
      </c>
      <c r="C363" s="1" t="n">
        <v>45849</v>
      </c>
      <c r="D363" t="inlineStr">
        <is>
          <t>ÖSTERGÖTLANDS LÄN</t>
        </is>
      </c>
      <c r="E363" t="inlineStr">
        <is>
          <t>FINSPÅNG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52183-2020</t>
        </is>
      </c>
      <c r="B364" s="1" t="n">
        <v>44117</v>
      </c>
      <c r="C364" s="1" t="n">
        <v>45849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52604-2020</t>
        </is>
      </c>
      <c r="B365" s="1" t="n">
        <v>44118</v>
      </c>
      <c r="C365" s="1" t="n">
        <v>45849</v>
      </c>
      <c r="D365" t="inlineStr">
        <is>
          <t>ÖSTERGÖTLANDS LÄN</t>
        </is>
      </c>
      <c r="E365" t="inlineStr">
        <is>
          <t>FINSPÅNG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52605-2020</t>
        </is>
      </c>
      <c r="B366" s="1" t="n">
        <v>44118</v>
      </c>
      <c r="C366" s="1" t="n">
        <v>45849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52705-2020</t>
        </is>
      </c>
      <c r="B367" s="1" t="n">
        <v>44119</v>
      </c>
      <c r="C367" s="1" t="n">
        <v>45849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53403-2020</t>
        </is>
      </c>
      <c r="B368" s="1" t="n">
        <v>44123</v>
      </c>
      <c r="C368" s="1" t="n">
        <v>45849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54179-2020</t>
        </is>
      </c>
      <c r="B369" s="1" t="n">
        <v>44125</v>
      </c>
      <c r="C369" s="1" t="n">
        <v>45849</v>
      </c>
      <c r="D369" t="inlineStr">
        <is>
          <t>ÖSTERGÖTLANDS LÄN</t>
        </is>
      </c>
      <c r="E369" t="inlineStr">
        <is>
          <t>FINSPÅNG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53867-2020</t>
        </is>
      </c>
      <c r="B370" s="1" t="n">
        <v>44125</v>
      </c>
      <c r="C370" s="1" t="n">
        <v>45849</v>
      </c>
      <c r="D370" t="inlineStr">
        <is>
          <t>ÖSTERGÖTLANDS LÄN</t>
        </is>
      </c>
      <c r="E370" t="inlineStr">
        <is>
          <t>FINSPÅNG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53896-2020</t>
        </is>
      </c>
      <c r="B371" s="1" t="n">
        <v>44125</v>
      </c>
      <c r="C371" s="1" t="n">
        <v>45849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54834-2020</t>
        </is>
      </c>
      <c r="B372" s="1" t="n">
        <v>44127</v>
      </c>
      <c r="C372" s="1" t="n">
        <v>45849</v>
      </c>
      <c r="D372" t="inlineStr">
        <is>
          <t>ÖSTERGÖTLANDS LÄN</t>
        </is>
      </c>
      <c r="E372" t="inlineStr">
        <is>
          <t>FINSPÅNG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54838-2020</t>
        </is>
      </c>
      <c r="B373" s="1" t="n">
        <v>44128</v>
      </c>
      <c r="C373" s="1" t="n">
        <v>45849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54859-2020</t>
        </is>
      </c>
      <c r="B374" s="1" t="n">
        <v>44128</v>
      </c>
      <c r="C374" s="1" t="n">
        <v>45849</v>
      </c>
      <c r="D374" t="inlineStr">
        <is>
          <t>ÖSTERGÖTLANDS LÄN</t>
        </is>
      </c>
      <c r="E374" t="inlineStr">
        <is>
          <t>FINSPÅNG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54855-2020</t>
        </is>
      </c>
      <c r="B375" s="1" t="n">
        <v>44128</v>
      </c>
      <c r="C375" s="1" t="n">
        <v>45849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55405-2020</t>
        </is>
      </c>
      <c r="B376" s="1" t="n">
        <v>44131</v>
      </c>
      <c r="C376" s="1" t="n">
        <v>45849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55860-2020</t>
        </is>
      </c>
      <c r="B377" s="1" t="n">
        <v>44132</v>
      </c>
      <c r="C377" s="1" t="n">
        <v>45849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56557-2020</t>
        </is>
      </c>
      <c r="B378" s="1" t="n">
        <v>44137</v>
      </c>
      <c r="C378" s="1" t="n">
        <v>45849</v>
      </c>
      <c r="D378" t="inlineStr">
        <is>
          <t>ÖSTERGÖTLANDS LÄN</t>
        </is>
      </c>
      <c r="E378" t="inlineStr">
        <is>
          <t>FINSPÅNG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58632-2020</t>
        </is>
      </c>
      <c r="B379" s="1" t="n">
        <v>44145</v>
      </c>
      <c r="C379" s="1" t="n">
        <v>45849</v>
      </c>
      <c r="D379" t="inlineStr">
        <is>
          <t>ÖSTERGÖTLANDS LÄN</t>
        </is>
      </c>
      <c r="E379" t="inlineStr">
        <is>
          <t>FINSPÅNG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59430-2020</t>
        </is>
      </c>
      <c r="B380" s="1" t="n">
        <v>44148</v>
      </c>
      <c r="C380" s="1" t="n">
        <v>45849</v>
      </c>
      <c r="D380" t="inlineStr">
        <is>
          <t>ÖSTERGÖTLANDS LÄN</t>
        </is>
      </c>
      <c r="E380" t="inlineStr">
        <is>
          <t>FINSPÅNG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59694-2020</t>
        </is>
      </c>
      <c r="B381" s="1" t="n">
        <v>44151</v>
      </c>
      <c r="C381" s="1" t="n">
        <v>45849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59765-2020</t>
        </is>
      </c>
      <c r="B382" s="1" t="n">
        <v>44151</v>
      </c>
      <c r="C382" s="1" t="n">
        <v>45849</v>
      </c>
      <c r="D382" t="inlineStr">
        <is>
          <t>ÖSTERGÖTLANDS LÄN</t>
        </is>
      </c>
      <c r="E382" t="inlineStr">
        <is>
          <t>FINSPÅNG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59931-2020</t>
        </is>
      </c>
      <c r="B383" s="1" t="n">
        <v>44151</v>
      </c>
      <c r="C383" s="1" t="n">
        <v>45849</v>
      </c>
      <c r="D383" t="inlineStr">
        <is>
          <t>ÖSTERGÖTLANDS LÄN</t>
        </is>
      </c>
      <c r="E383" t="inlineStr">
        <is>
          <t>FINSPÅNG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61384-2020</t>
        </is>
      </c>
      <c r="B384" s="1" t="n">
        <v>44155</v>
      </c>
      <c r="C384" s="1" t="n">
        <v>45849</v>
      </c>
      <c r="D384" t="inlineStr">
        <is>
          <t>ÖSTERGÖTLANDS LÄN</t>
        </is>
      </c>
      <c r="E384" t="inlineStr">
        <is>
          <t>FINSPÅNG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61262-2020</t>
        </is>
      </c>
      <c r="B385" s="1" t="n">
        <v>44155</v>
      </c>
      <c r="C385" s="1" t="n">
        <v>45849</v>
      </c>
      <c r="D385" t="inlineStr">
        <is>
          <t>ÖSTERGÖTLANDS LÄN</t>
        </is>
      </c>
      <c r="E385" t="inlineStr">
        <is>
          <t>FINSPÅNG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61783-2020</t>
        </is>
      </c>
      <c r="B386" s="1" t="n">
        <v>44158</v>
      </c>
      <c r="C386" s="1" t="n">
        <v>45849</v>
      </c>
      <c r="D386" t="inlineStr">
        <is>
          <t>ÖSTERGÖTLANDS LÄN</t>
        </is>
      </c>
      <c r="E386" t="inlineStr">
        <is>
          <t>FINSPÅNG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61782-2020</t>
        </is>
      </c>
      <c r="B387" s="1" t="n">
        <v>44158</v>
      </c>
      <c r="C387" s="1" t="n">
        <v>45849</v>
      </c>
      <c r="D387" t="inlineStr">
        <is>
          <t>ÖSTERGÖTLANDS LÄN</t>
        </is>
      </c>
      <c r="E387" t="inlineStr">
        <is>
          <t>FINSPÅNG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61964-2020</t>
        </is>
      </c>
      <c r="B388" s="1" t="n">
        <v>44159</v>
      </c>
      <c r="C388" s="1" t="n">
        <v>45849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62413-2020</t>
        </is>
      </c>
      <c r="B389" s="1" t="n">
        <v>44160</v>
      </c>
      <c r="C389" s="1" t="n">
        <v>45849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62498-2020</t>
        </is>
      </c>
      <c r="B390" s="1" t="n">
        <v>44160</v>
      </c>
      <c r="C390" s="1" t="n">
        <v>45849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62436-2020</t>
        </is>
      </c>
      <c r="B391" s="1" t="n">
        <v>44160</v>
      </c>
      <c r="C391" s="1" t="n">
        <v>45849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62847-2020</t>
        </is>
      </c>
      <c r="B392" s="1" t="n">
        <v>44161</v>
      </c>
      <c r="C392" s="1" t="n">
        <v>45849</v>
      </c>
      <c r="D392" t="inlineStr">
        <is>
          <t>ÖSTERGÖTLANDS LÄN</t>
        </is>
      </c>
      <c r="E392" t="inlineStr">
        <is>
          <t>FINSPÅNG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62845-2020</t>
        </is>
      </c>
      <c r="B393" s="1" t="n">
        <v>44161</v>
      </c>
      <c r="C393" s="1" t="n">
        <v>45849</v>
      </c>
      <c r="D393" t="inlineStr">
        <is>
          <t>ÖSTERGÖTLANDS LÄN</t>
        </is>
      </c>
      <c r="E393" t="inlineStr">
        <is>
          <t>FINSPÅNG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62976-2020</t>
        </is>
      </c>
      <c r="B394" s="1" t="n">
        <v>44162</v>
      </c>
      <c r="C394" s="1" t="n">
        <v>45849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63344-2020</t>
        </is>
      </c>
      <c r="B395" s="1" t="n">
        <v>44165</v>
      </c>
      <c r="C395" s="1" t="n">
        <v>45849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63407-2020</t>
        </is>
      </c>
      <c r="B396" s="1" t="n">
        <v>44165</v>
      </c>
      <c r="C396" s="1" t="n">
        <v>45849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63480-2020</t>
        </is>
      </c>
      <c r="B397" s="1" t="n">
        <v>44165</v>
      </c>
      <c r="C397" s="1" t="n">
        <v>45849</v>
      </c>
      <c r="D397" t="inlineStr">
        <is>
          <t>ÖSTERGÖTLANDS LÄN</t>
        </is>
      </c>
      <c r="E397" t="inlineStr">
        <is>
          <t>FINSPÅNG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64112-2020</t>
        </is>
      </c>
      <c r="B398" s="1" t="n">
        <v>44167</v>
      </c>
      <c r="C398" s="1" t="n">
        <v>45849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64617-2020</t>
        </is>
      </c>
      <c r="B399" s="1" t="n">
        <v>44169</v>
      </c>
      <c r="C399" s="1" t="n">
        <v>45849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65234-2020</t>
        </is>
      </c>
      <c r="B400" s="1" t="n">
        <v>44172</v>
      </c>
      <c r="C400" s="1" t="n">
        <v>45849</v>
      </c>
      <c r="D400" t="inlineStr">
        <is>
          <t>ÖSTERGÖTLANDS LÄN</t>
        </is>
      </c>
      <c r="E400" t="inlineStr">
        <is>
          <t>FINSPÅNG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65237-2020</t>
        </is>
      </c>
      <c r="B401" s="1" t="n">
        <v>44172</v>
      </c>
      <c r="C401" s="1" t="n">
        <v>45849</v>
      </c>
      <c r="D401" t="inlineStr">
        <is>
          <t>ÖSTERGÖTLANDS LÄN</t>
        </is>
      </c>
      <c r="E401" t="inlineStr">
        <is>
          <t>FINSPÅNG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66382-2020</t>
        </is>
      </c>
      <c r="B402" s="1" t="n">
        <v>44176</v>
      </c>
      <c r="C402" s="1" t="n">
        <v>45849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66351-2020</t>
        </is>
      </c>
      <c r="B403" s="1" t="n">
        <v>44176</v>
      </c>
      <c r="C403" s="1" t="n">
        <v>45849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67208-2020</t>
        </is>
      </c>
      <c r="B404" s="1" t="n">
        <v>44180</v>
      </c>
      <c r="C404" s="1" t="n">
        <v>45849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67452-2020</t>
        </is>
      </c>
      <c r="B405" s="1" t="n">
        <v>44181</v>
      </c>
      <c r="C405" s="1" t="n">
        <v>45849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67578-2020</t>
        </is>
      </c>
      <c r="B406" s="1" t="n">
        <v>44181</v>
      </c>
      <c r="C406" s="1" t="n">
        <v>45849</v>
      </c>
      <c r="D406" t="inlineStr">
        <is>
          <t>ÖSTERGÖTLANDS LÄN</t>
        </is>
      </c>
      <c r="E406" t="inlineStr">
        <is>
          <t>FINSPÅNG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67473-2020</t>
        </is>
      </c>
      <c r="B407" s="1" t="n">
        <v>44181</v>
      </c>
      <c r="C407" s="1" t="n">
        <v>45849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67794-2020</t>
        </is>
      </c>
      <c r="B408" s="1" t="n">
        <v>44182</v>
      </c>
      <c r="C408" s="1" t="n">
        <v>45849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67702-2020</t>
        </is>
      </c>
      <c r="B409" s="1" t="n">
        <v>44182</v>
      </c>
      <c r="C409" s="1" t="n">
        <v>45849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67937-2020</t>
        </is>
      </c>
      <c r="B410" s="1" t="n">
        <v>44182</v>
      </c>
      <c r="C410" s="1" t="n">
        <v>45849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69310-2020</t>
        </is>
      </c>
      <c r="B411" s="1" t="n">
        <v>44193</v>
      </c>
      <c r="C411" s="1" t="n">
        <v>45849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69377-2020</t>
        </is>
      </c>
      <c r="B412" s="1" t="n">
        <v>44193</v>
      </c>
      <c r="C412" s="1" t="n">
        <v>45849</v>
      </c>
      <c r="D412" t="inlineStr">
        <is>
          <t>ÖSTERGÖTLANDS LÄN</t>
        </is>
      </c>
      <c r="E412" t="inlineStr">
        <is>
          <t>FINSPÅNG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69395-2020</t>
        </is>
      </c>
      <c r="B413" s="1" t="n">
        <v>44193</v>
      </c>
      <c r="C413" s="1" t="n">
        <v>45849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69386-2020</t>
        </is>
      </c>
      <c r="B414" s="1" t="n">
        <v>44193</v>
      </c>
      <c r="C414" s="1" t="n">
        <v>45849</v>
      </c>
      <c r="D414" t="inlineStr">
        <is>
          <t>ÖSTERGÖTLANDS LÄN</t>
        </is>
      </c>
      <c r="E414" t="inlineStr">
        <is>
          <t>FINSPÅNG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594-2021</t>
        </is>
      </c>
      <c r="B415" s="1" t="n">
        <v>44203</v>
      </c>
      <c r="C415" s="1" t="n">
        <v>45849</v>
      </c>
      <c r="D415" t="inlineStr">
        <is>
          <t>ÖSTERGÖTLANDS LÄN</t>
        </is>
      </c>
      <c r="E415" t="inlineStr">
        <is>
          <t>FINSPÅNG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595-2021</t>
        </is>
      </c>
      <c r="B416" s="1" t="n">
        <v>44203</v>
      </c>
      <c r="C416" s="1" t="n">
        <v>45849</v>
      </c>
      <c r="D416" t="inlineStr">
        <is>
          <t>ÖSTERGÖTLANDS LÄN</t>
        </is>
      </c>
      <c r="E416" t="inlineStr">
        <is>
          <t>FINSPÅNG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608-2021</t>
        </is>
      </c>
      <c r="B417" s="1" t="n">
        <v>44203</v>
      </c>
      <c r="C417" s="1" t="n">
        <v>45849</v>
      </c>
      <c r="D417" t="inlineStr">
        <is>
          <t>ÖSTERGÖTLANDS LÄN</t>
        </is>
      </c>
      <c r="E417" t="inlineStr">
        <is>
          <t>FINSPÅNG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586-2021</t>
        </is>
      </c>
      <c r="B418" s="1" t="n">
        <v>44203</v>
      </c>
      <c r="C418" s="1" t="n">
        <v>45849</v>
      </c>
      <c r="D418" t="inlineStr">
        <is>
          <t>ÖSTERGÖTLANDS LÄN</t>
        </is>
      </c>
      <c r="E418" t="inlineStr">
        <is>
          <t>FINSPÅNG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1275-2021</t>
        </is>
      </c>
      <c r="B419" s="1" t="n">
        <v>44208</v>
      </c>
      <c r="C419" s="1" t="n">
        <v>45849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1514-2021</t>
        </is>
      </c>
      <c r="B420" s="1" t="n">
        <v>44209</v>
      </c>
      <c r="C420" s="1" t="n">
        <v>45849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1674-2021</t>
        </is>
      </c>
      <c r="B421" s="1" t="n">
        <v>44209</v>
      </c>
      <c r="C421" s="1" t="n">
        <v>45849</v>
      </c>
      <c r="D421" t="inlineStr">
        <is>
          <t>ÖSTERGÖTLANDS LÄN</t>
        </is>
      </c>
      <c r="E421" t="inlineStr">
        <is>
          <t>FINSPÅNG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2081-2021</t>
        </is>
      </c>
      <c r="B422" s="1" t="n">
        <v>44211</v>
      </c>
      <c r="C422" s="1" t="n">
        <v>45849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2329-2021</t>
        </is>
      </c>
      <c r="B423" s="1" t="n">
        <v>44214</v>
      </c>
      <c r="C423" s="1" t="n">
        <v>45849</v>
      </c>
      <c r="D423" t="inlineStr">
        <is>
          <t>ÖSTERGÖTLANDS LÄN</t>
        </is>
      </c>
      <c r="E423" t="inlineStr">
        <is>
          <t>FINSPÅNG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2330-2021</t>
        </is>
      </c>
      <c r="B424" s="1" t="n">
        <v>44214</v>
      </c>
      <c r="C424" s="1" t="n">
        <v>45849</v>
      </c>
      <c r="D424" t="inlineStr">
        <is>
          <t>ÖSTERGÖTLANDS LÄN</t>
        </is>
      </c>
      <c r="E424" t="inlineStr">
        <is>
          <t>FINSPÅNG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2740-2021</t>
        </is>
      </c>
      <c r="B425" s="1" t="n">
        <v>44215</v>
      </c>
      <c r="C425" s="1" t="n">
        <v>45849</v>
      </c>
      <c r="D425" t="inlineStr">
        <is>
          <t>ÖSTERGÖTLANDS LÄN</t>
        </is>
      </c>
      <c r="E425" t="inlineStr">
        <is>
          <t>FINSPÅNG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3001-2021</t>
        </is>
      </c>
      <c r="B426" s="1" t="n">
        <v>44216</v>
      </c>
      <c r="C426" s="1" t="n">
        <v>45849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3057-2021</t>
        </is>
      </c>
      <c r="B427" s="1" t="n">
        <v>44216</v>
      </c>
      <c r="C427" s="1" t="n">
        <v>45849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3079-2021</t>
        </is>
      </c>
      <c r="B428" s="1" t="n">
        <v>44216</v>
      </c>
      <c r="C428" s="1" t="n">
        <v>45849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2997-2021</t>
        </is>
      </c>
      <c r="B429" s="1" t="n">
        <v>44216</v>
      </c>
      <c r="C429" s="1" t="n">
        <v>45849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3055-2021</t>
        </is>
      </c>
      <c r="B430" s="1" t="n">
        <v>44216</v>
      </c>
      <c r="C430" s="1" t="n">
        <v>45849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3088-2021</t>
        </is>
      </c>
      <c r="B431" s="1" t="n">
        <v>44216</v>
      </c>
      <c r="C431" s="1" t="n">
        <v>45849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3324-2021</t>
        </is>
      </c>
      <c r="B432" s="1" t="n">
        <v>44217</v>
      </c>
      <c r="C432" s="1" t="n">
        <v>45849</v>
      </c>
      <c r="D432" t="inlineStr">
        <is>
          <t>ÖSTERGÖTLANDS LÄN</t>
        </is>
      </c>
      <c r="E432" t="inlineStr">
        <is>
          <t>FINSPÅNG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3416-2021</t>
        </is>
      </c>
      <c r="B433" s="1" t="n">
        <v>44218</v>
      </c>
      <c r="C433" s="1" t="n">
        <v>45849</v>
      </c>
      <c r="D433" t="inlineStr">
        <is>
          <t>ÖSTERGÖTLANDS LÄN</t>
        </is>
      </c>
      <c r="E433" t="inlineStr">
        <is>
          <t>FINSPÅNG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3503-2021</t>
        </is>
      </c>
      <c r="B434" s="1" t="n">
        <v>44218</v>
      </c>
      <c r="C434" s="1" t="n">
        <v>45849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3437-2021</t>
        </is>
      </c>
      <c r="B435" s="1" t="n">
        <v>44218</v>
      </c>
      <c r="C435" s="1" t="n">
        <v>45849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3398-2021</t>
        </is>
      </c>
      <c r="B436" s="1" t="n">
        <v>44218</v>
      </c>
      <c r="C436" s="1" t="n">
        <v>45849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3393-2021</t>
        </is>
      </c>
      <c r="B437" s="1" t="n">
        <v>44218</v>
      </c>
      <c r="C437" s="1" t="n">
        <v>45849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3700-2021</t>
        </is>
      </c>
      <c r="B438" s="1" t="n">
        <v>44221</v>
      </c>
      <c r="C438" s="1" t="n">
        <v>45849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3762-2021</t>
        </is>
      </c>
      <c r="B439" s="1" t="n">
        <v>44221</v>
      </c>
      <c r="C439" s="1" t="n">
        <v>45849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Naturvårdsverket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4237-2021</t>
        </is>
      </c>
      <c r="B440" s="1" t="n">
        <v>44223</v>
      </c>
      <c r="C440" s="1" t="n">
        <v>45849</v>
      </c>
      <c r="D440" t="inlineStr">
        <is>
          <t>ÖSTERGÖTLANDS LÄN</t>
        </is>
      </c>
      <c r="E440" t="inlineStr">
        <is>
          <t>FINSPÅNG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4955-2021</t>
        </is>
      </c>
      <c r="B441" s="1" t="n">
        <v>44228</v>
      </c>
      <c r="C441" s="1" t="n">
        <v>45849</v>
      </c>
      <c r="D441" t="inlineStr">
        <is>
          <t>ÖSTERGÖTLANDS LÄN</t>
        </is>
      </c>
      <c r="E441" t="inlineStr">
        <is>
          <t>FINSPÅNG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7242-2021</t>
        </is>
      </c>
      <c r="B442" s="1" t="n">
        <v>44238</v>
      </c>
      <c r="C442" s="1" t="n">
        <v>45849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7543-2021</t>
        </is>
      </c>
      <c r="B443" s="1" t="n">
        <v>44239</v>
      </c>
      <c r="C443" s="1" t="n">
        <v>45849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7947-2021</t>
        </is>
      </c>
      <c r="B444" s="1" t="n">
        <v>44243</v>
      </c>
      <c r="C444" s="1" t="n">
        <v>45849</v>
      </c>
      <c r="D444" t="inlineStr">
        <is>
          <t>ÖSTERGÖTLANDS LÄN</t>
        </is>
      </c>
      <c r="E444" t="inlineStr">
        <is>
          <t>FINSPÅNG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8300-2021</t>
        </is>
      </c>
      <c r="B445" s="1" t="n">
        <v>44244</v>
      </c>
      <c r="C445" s="1" t="n">
        <v>45849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Naturvårdsverket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8554-2021</t>
        </is>
      </c>
      <c r="B446" s="1" t="n">
        <v>44245</v>
      </c>
      <c r="C446" s="1" t="n">
        <v>45849</v>
      </c>
      <c r="D446" t="inlineStr">
        <is>
          <t>ÖSTERGÖTLANDS LÄN</t>
        </is>
      </c>
      <c r="E446" t="inlineStr">
        <is>
          <t>FINSPÅNG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8703-2021</t>
        </is>
      </c>
      <c r="B447" s="1" t="n">
        <v>44246</v>
      </c>
      <c r="C447" s="1" t="n">
        <v>45849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8688-2021</t>
        </is>
      </c>
      <c r="B448" s="1" t="n">
        <v>44246</v>
      </c>
      <c r="C448" s="1" t="n">
        <v>45849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9093-2021</t>
        </is>
      </c>
      <c r="B449" s="1" t="n">
        <v>44249</v>
      </c>
      <c r="C449" s="1" t="n">
        <v>45849</v>
      </c>
      <c r="D449" t="inlineStr">
        <is>
          <t>ÖSTERGÖTLANDS LÄN</t>
        </is>
      </c>
      <c r="E449" t="inlineStr">
        <is>
          <t>FINSPÅNG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9159-2021</t>
        </is>
      </c>
      <c r="B450" s="1" t="n">
        <v>44249</v>
      </c>
      <c r="C450" s="1" t="n">
        <v>45849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9148-2021</t>
        </is>
      </c>
      <c r="B451" s="1" t="n">
        <v>44249</v>
      </c>
      <c r="C451" s="1" t="n">
        <v>45849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9079-2021</t>
        </is>
      </c>
      <c r="B452" s="1" t="n">
        <v>44249</v>
      </c>
      <c r="C452" s="1" t="n">
        <v>45849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9122-2021</t>
        </is>
      </c>
      <c r="B453" s="1" t="n">
        <v>44249</v>
      </c>
      <c r="C453" s="1" t="n">
        <v>45849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9139-2021</t>
        </is>
      </c>
      <c r="B454" s="1" t="n">
        <v>44249</v>
      </c>
      <c r="C454" s="1" t="n">
        <v>45849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9390-2021</t>
        </is>
      </c>
      <c r="B455" s="1" t="n">
        <v>44250</v>
      </c>
      <c r="C455" s="1" t="n">
        <v>45849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9346-2021</t>
        </is>
      </c>
      <c r="B456" s="1" t="n">
        <v>44250</v>
      </c>
      <c r="C456" s="1" t="n">
        <v>45849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9385-2021</t>
        </is>
      </c>
      <c r="B457" s="1" t="n">
        <v>44250</v>
      </c>
      <c r="C457" s="1" t="n">
        <v>45849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9765-2021</t>
        </is>
      </c>
      <c r="B458" s="1" t="n">
        <v>44252</v>
      </c>
      <c r="C458" s="1" t="n">
        <v>45849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9784-2021</t>
        </is>
      </c>
      <c r="B459" s="1" t="n">
        <v>44252</v>
      </c>
      <c r="C459" s="1" t="n">
        <v>45849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9832-2021</t>
        </is>
      </c>
      <c r="B460" s="1" t="n">
        <v>44253</v>
      </c>
      <c r="C460" s="1" t="n">
        <v>45849</v>
      </c>
      <c r="D460" t="inlineStr">
        <is>
          <t>ÖSTERGÖTLANDS LÄN</t>
        </is>
      </c>
      <c r="E460" t="inlineStr">
        <is>
          <t>FINSPÅNG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10465-2021</t>
        </is>
      </c>
      <c r="B461" s="1" t="n">
        <v>44257</v>
      </c>
      <c r="C461" s="1" t="n">
        <v>45849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10462-2021</t>
        </is>
      </c>
      <c r="B462" s="1" t="n">
        <v>44257</v>
      </c>
      <c r="C462" s="1" t="n">
        <v>45849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10654-2021</t>
        </is>
      </c>
      <c r="B463" s="1" t="n">
        <v>44258</v>
      </c>
      <c r="C463" s="1" t="n">
        <v>45849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10678-2021</t>
        </is>
      </c>
      <c r="B464" s="1" t="n">
        <v>44258</v>
      </c>
      <c r="C464" s="1" t="n">
        <v>45849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10866-2021</t>
        </is>
      </c>
      <c r="B465" s="1" t="n">
        <v>44259</v>
      </c>
      <c r="C465" s="1" t="n">
        <v>45849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10881-2021</t>
        </is>
      </c>
      <c r="B466" s="1" t="n">
        <v>44259</v>
      </c>
      <c r="C466" s="1" t="n">
        <v>45849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10830-2021</t>
        </is>
      </c>
      <c r="B467" s="1" t="n">
        <v>44259</v>
      </c>
      <c r="C467" s="1" t="n">
        <v>45849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11494-2021</t>
        </is>
      </c>
      <c r="B468" s="1" t="n">
        <v>44264</v>
      </c>
      <c r="C468" s="1" t="n">
        <v>45849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11892-2021</t>
        </is>
      </c>
      <c r="B469" s="1" t="n">
        <v>44265</v>
      </c>
      <c r="C469" s="1" t="n">
        <v>45849</v>
      </c>
      <c r="D469" t="inlineStr">
        <is>
          <t>ÖSTERGÖTLANDS LÄN</t>
        </is>
      </c>
      <c r="E469" t="inlineStr">
        <is>
          <t>FINSPÅNG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11902-2021</t>
        </is>
      </c>
      <c r="B470" s="1" t="n">
        <v>44265</v>
      </c>
      <c r="C470" s="1" t="n">
        <v>45849</v>
      </c>
      <c r="D470" t="inlineStr">
        <is>
          <t>ÖSTERGÖTLANDS LÄN</t>
        </is>
      </c>
      <c r="E470" t="inlineStr">
        <is>
          <t>FINSPÅNG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12464-2021</t>
        </is>
      </c>
      <c r="B471" s="1" t="n">
        <v>44267</v>
      </c>
      <c r="C471" s="1" t="n">
        <v>45849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12561-2021</t>
        </is>
      </c>
      <c r="B472" s="1" t="n">
        <v>44267</v>
      </c>
      <c r="C472" s="1" t="n">
        <v>45849</v>
      </c>
      <c r="D472" t="inlineStr">
        <is>
          <t>ÖSTERGÖTLANDS LÄN</t>
        </is>
      </c>
      <c r="E472" t="inlineStr">
        <is>
          <t>FINSPÅNG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12455-2021</t>
        </is>
      </c>
      <c r="B473" s="1" t="n">
        <v>44267</v>
      </c>
      <c r="C473" s="1" t="n">
        <v>45849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12565-2021</t>
        </is>
      </c>
      <c r="B474" s="1" t="n">
        <v>44267</v>
      </c>
      <c r="C474" s="1" t="n">
        <v>45849</v>
      </c>
      <c r="D474" t="inlineStr">
        <is>
          <t>ÖSTERGÖTLANDS LÄN</t>
        </is>
      </c>
      <c r="E474" t="inlineStr">
        <is>
          <t>FINSPÅNG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13138-2021</t>
        </is>
      </c>
      <c r="B475" s="1" t="n">
        <v>44272</v>
      </c>
      <c r="C475" s="1" t="n">
        <v>45849</v>
      </c>
      <c r="D475" t="inlineStr">
        <is>
          <t>ÖSTERGÖTLANDS LÄN</t>
        </is>
      </c>
      <c r="E475" t="inlineStr">
        <is>
          <t>FINSPÅNG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13161-2021</t>
        </is>
      </c>
      <c r="B476" s="1" t="n">
        <v>44272</v>
      </c>
      <c r="C476" s="1" t="n">
        <v>45849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14793-2021</t>
        </is>
      </c>
      <c r="B477" s="1" t="n">
        <v>44280</v>
      </c>
      <c r="C477" s="1" t="n">
        <v>45849</v>
      </c>
      <c r="D477" t="inlineStr">
        <is>
          <t>ÖSTERGÖTLANDS LÄN</t>
        </is>
      </c>
      <c r="E477" t="inlineStr">
        <is>
          <t>FINSPÅNG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15434-2021</t>
        </is>
      </c>
      <c r="B478" s="1" t="n">
        <v>44285</v>
      </c>
      <c r="C478" s="1" t="n">
        <v>45849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16756-2021</t>
        </is>
      </c>
      <c r="B479" s="1" t="n">
        <v>44294</v>
      </c>
      <c r="C479" s="1" t="n">
        <v>45849</v>
      </c>
      <c r="D479" t="inlineStr">
        <is>
          <t>ÖSTERGÖTLANDS LÄN</t>
        </is>
      </c>
      <c r="E479" t="inlineStr">
        <is>
          <t>FINSPÅNG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17246-2021</t>
        </is>
      </c>
      <c r="B480" s="1" t="n">
        <v>44298</v>
      </c>
      <c r="C480" s="1" t="n">
        <v>45849</v>
      </c>
      <c r="D480" t="inlineStr">
        <is>
          <t>ÖSTERGÖTLANDS LÄN</t>
        </is>
      </c>
      <c r="E480" t="inlineStr">
        <is>
          <t>FINSPÅNG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18184-2021</t>
        </is>
      </c>
      <c r="B481" s="1" t="n">
        <v>44302</v>
      </c>
      <c r="C481" s="1" t="n">
        <v>45849</v>
      </c>
      <c r="D481" t="inlineStr">
        <is>
          <t>ÖSTERGÖTLANDS LÄN</t>
        </is>
      </c>
      <c r="E481" t="inlineStr">
        <is>
          <t>FINSPÅNG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18187-2021</t>
        </is>
      </c>
      <c r="B482" s="1" t="n">
        <v>44302</v>
      </c>
      <c r="C482" s="1" t="n">
        <v>45849</v>
      </c>
      <c r="D482" t="inlineStr">
        <is>
          <t>ÖSTERGÖTLANDS LÄN</t>
        </is>
      </c>
      <c r="E482" t="inlineStr">
        <is>
          <t>FINSPÅNG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18262-2021</t>
        </is>
      </c>
      <c r="B483" s="1" t="n">
        <v>44305</v>
      </c>
      <c r="C483" s="1" t="n">
        <v>45849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18361-2021</t>
        </is>
      </c>
      <c r="B484" s="1" t="n">
        <v>44305</v>
      </c>
      <c r="C484" s="1" t="n">
        <v>45849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18367-2021</t>
        </is>
      </c>
      <c r="B485" s="1" t="n">
        <v>44305</v>
      </c>
      <c r="C485" s="1" t="n">
        <v>45849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18988-2021</t>
        </is>
      </c>
      <c r="B486" s="1" t="n">
        <v>44308</v>
      </c>
      <c r="C486" s="1" t="n">
        <v>45849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19755-2021</t>
        </is>
      </c>
      <c r="B487" s="1" t="n">
        <v>44313</v>
      </c>
      <c r="C487" s="1" t="n">
        <v>45849</v>
      </c>
      <c r="D487" t="inlineStr">
        <is>
          <t>ÖSTERGÖTLANDS LÄN</t>
        </is>
      </c>
      <c r="E487" t="inlineStr">
        <is>
          <t>FINSPÅNG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19872-2021</t>
        </is>
      </c>
      <c r="B488" s="1" t="n">
        <v>44313</v>
      </c>
      <c r="C488" s="1" t="n">
        <v>45849</v>
      </c>
      <c r="D488" t="inlineStr">
        <is>
          <t>ÖSTERGÖTLANDS LÄN</t>
        </is>
      </c>
      <c r="E488" t="inlineStr">
        <is>
          <t>FINSPÅNG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19971-2021</t>
        </is>
      </c>
      <c r="B489" s="1" t="n">
        <v>44313</v>
      </c>
      <c r="C489" s="1" t="n">
        <v>45849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19987-2021</t>
        </is>
      </c>
      <c r="B490" s="1" t="n">
        <v>44313</v>
      </c>
      <c r="C490" s="1" t="n">
        <v>45849</v>
      </c>
      <c r="D490" t="inlineStr">
        <is>
          <t>ÖSTERGÖTLANDS LÄN</t>
        </is>
      </c>
      <c r="E490" t="inlineStr">
        <is>
          <t>FINSPÅNG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20226-2021</t>
        </is>
      </c>
      <c r="B491" s="1" t="n">
        <v>44314</v>
      </c>
      <c r="C491" s="1" t="n">
        <v>45849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20056-2021</t>
        </is>
      </c>
      <c r="B492" s="1" t="n">
        <v>44314</v>
      </c>
      <c r="C492" s="1" t="n">
        <v>45849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20287-2021</t>
        </is>
      </c>
      <c r="B493" s="1" t="n">
        <v>44314</v>
      </c>
      <c r="C493" s="1" t="n">
        <v>45849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20235-2021</t>
        </is>
      </c>
      <c r="B494" s="1" t="n">
        <v>44314</v>
      </c>
      <c r="C494" s="1" t="n">
        <v>45849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20480-2021</t>
        </is>
      </c>
      <c r="B495" s="1" t="n">
        <v>44315</v>
      </c>
      <c r="C495" s="1" t="n">
        <v>45849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20411-2021</t>
        </is>
      </c>
      <c r="B496" s="1" t="n">
        <v>44315</v>
      </c>
      <c r="C496" s="1" t="n">
        <v>45849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20403-2021</t>
        </is>
      </c>
      <c r="B497" s="1" t="n">
        <v>44315</v>
      </c>
      <c r="C497" s="1" t="n">
        <v>45849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20444-2021</t>
        </is>
      </c>
      <c r="B498" s="1" t="n">
        <v>44315</v>
      </c>
      <c r="C498" s="1" t="n">
        <v>45849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20485-2021</t>
        </is>
      </c>
      <c r="B499" s="1" t="n">
        <v>44315</v>
      </c>
      <c r="C499" s="1" t="n">
        <v>45849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28742-2021</t>
        </is>
      </c>
      <c r="B500" s="1" t="n">
        <v>44357</v>
      </c>
      <c r="C500" s="1" t="n">
        <v>45849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28791-2021</t>
        </is>
      </c>
      <c r="B501" s="1" t="n">
        <v>44357</v>
      </c>
      <c r="C501" s="1" t="n">
        <v>45849</v>
      </c>
      <c r="D501" t="inlineStr">
        <is>
          <t>ÖSTERGÖTLANDS LÄN</t>
        </is>
      </c>
      <c r="E501" t="inlineStr">
        <is>
          <t>FINSPÅNG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29716-2021</t>
        </is>
      </c>
      <c r="B502" s="1" t="n">
        <v>44362</v>
      </c>
      <c r="C502" s="1" t="n">
        <v>45849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29709-2021</t>
        </is>
      </c>
      <c r="B503" s="1" t="n">
        <v>44362</v>
      </c>
      <c r="C503" s="1" t="n">
        <v>45849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29718-2021</t>
        </is>
      </c>
      <c r="B504" s="1" t="n">
        <v>44362</v>
      </c>
      <c r="C504" s="1" t="n">
        <v>45849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30953-2021</t>
        </is>
      </c>
      <c r="B505" s="1" t="n">
        <v>44365</v>
      </c>
      <c r="C505" s="1" t="n">
        <v>45849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31309-2021</t>
        </is>
      </c>
      <c r="B506" s="1" t="n">
        <v>44368</v>
      </c>
      <c r="C506" s="1" t="n">
        <v>45849</v>
      </c>
      <c r="D506" t="inlineStr">
        <is>
          <t>ÖSTERGÖTLANDS LÄN</t>
        </is>
      </c>
      <c r="E506" t="inlineStr">
        <is>
          <t>FINSPÅNG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31334-2021</t>
        </is>
      </c>
      <c r="B507" s="1" t="n">
        <v>44368</v>
      </c>
      <c r="C507" s="1" t="n">
        <v>45849</v>
      </c>
      <c r="D507" t="inlineStr">
        <is>
          <t>ÖSTERGÖTLANDS LÄN</t>
        </is>
      </c>
      <c r="E507" t="inlineStr">
        <is>
          <t>FINSPÅNG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31371-2021</t>
        </is>
      </c>
      <c r="B508" s="1" t="n">
        <v>44369</v>
      </c>
      <c r="C508" s="1" t="n">
        <v>45849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31373-2021</t>
        </is>
      </c>
      <c r="B509" s="1" t="n">
        <v>44368</v>
      </c>
      <c r="C509" s="1" t="n">
        <v>45849</v>
      </c>
      <c r="D509" t="inlineStr">
        <is>
          <t>ÖSTERGÖTLANDS LÄN</t>
        </is>
      </c>
      <c r="E509" t="inlineStr">
        <is>
          <t>FINSPÅNG</t>
        </is>
      </c>
      <c r="G509" t="n">
        <v>13.8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31375-2021</t>
        </is>
      </c>
      <c r="B510" s="1" t="n">
        <v>44368</v>
      </c>
      <c r="C510" s="1" t="n">
        <v>45849</v>
      </c>
      <c r="D510" t="inlineStr">
        <is>
          <t>ÖSTERGÖTLANDS LÄN</t>
        </is>
      </c>
      <c r="E510" t="inlineStr">
        <is>
          <t>FINSPÅNG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31369-2021</t>
        </is>
      </c>
      <c r="B511" s="1" t="n">
        <v>44368</v>
      </c>
      <c r="C511" s="1" t="n">
        <v>45849</v>
      </c>
      <c r="D511" t="inlineStr">
        <is>
          <t>ÖSTERGÖTLANDS LÄN</t>
        </is>
      </c>
      <c r="E511" t="inlineStr">
        <is>
          <t>FINSPÅNG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31374-2021</t>
        </is>
      </c>
      <c r="B512" s="1" t="n">
        <v>44369</v>
      </c>
      <c r="C512" s="1" t="n">
        <v>45849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31376-2021</t>
        </is>
      </c>
      <c r="B513" s="1" t="n">
        <v>44369</v>
      </c>
      <c r="C513" s="1" t="n">
        <v>45849</v>
      </c>
      <c r="D513" t="inlineStr">
        <is>
          <t>ÖSTERGÖTLANDS LÄN</t>
        </is>
      </c>
      <c r="E513" t="inlineStr">
        <is>
          <t>FINSPÅNG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31377-2021</t>
        </is>
      </c>
      <c r="B514" s="1" t="n">
        <v>44369</v>
      </c>
      <c r="C514" s="1" t="n">
        <v>45849</v>
      </c>
      <c r="D514" t="inlineStr">
        <is>
          <t>ÖSTERGÖTLANDS LÄN</t>
        </is>
      </c>
      <c r="E514" t="inlineStr">
        <is>
          <t>FINSPÅNG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31571-2021</t>
        </is>
      </c>
      <c r="B515" s="1" t="n">
        <v>44369</v>
      </c>
      <c r="C515" s="1" t="n">
        <v>45849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31850-2021</t>
        </is>
      </c>
      <c r="B516" s="1" t="n">
        <v>44369</v>
      </c>
      <c r="C516" s="1" t="n">
        <v>45849</v>
      </c>
      <c r="D516" t="inlineStr">
        <is>
          <t>ÖSTERGÖTLANDS LÄN</t>
        </is>
      </c>
      <c r="E516" t="inlineStr">
        <is>
          <t>FINSPÅNG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32596-2021</t>
        </is>
      </c>
      <c r="B517" s="1" t="n">
        <v>44375</v>
      </c>
      <c r="C517" s="1" t="n">
        <v>45849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33173-2021</t>
        </is>
      </c>
      <c r="B518" s="1" t="n">
        <v>44376</v>
      </c>
      <c r="C518" s="1" t="n">
        <v>45849</v>
      </c>
      <c r="D518" t="inlineStr">
        <is>
          <t>ÖSTERGÖTLANDS LÄN</t>
        </is>
      </c>
      <c r="E518" t="inlineStr">
        <is>
          <t>FINSPÅNG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33584-2021</t>
        </is>
      </c>
      <c r="B519" s="1" t="n">
        <v>44377</v>
      </c>
      <c r="C519" s="1" t="n">
        <v>45849</v>
      </c>
      <c r="D519" t="inlineStr">
        <is>
          <t>ÖSTERGÖTLANDS LÄN</t>
        </is>
      </c>
      <c r="E519" t="inlineStr">
        <is>
          <t>FINSPÅNG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33694-2021</t>
        </is>
      </c>
      <c r="B520" s="1" t="n">
        <v>44378</v>
      </c>
      <c r="C520" s="1" t="n">
        <v>45849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33746-2021</t>
        </is>
      </c>
      <c r="B521" s="1" t="n">
        <v>44378</v>
      </c>
      <c r="C521" s="1" t="n">
        <v>45849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35096-2021</t>
        </is>
      </c>
      <c r="B522" s="1" t="n">
        <v>44383</v>
      </c>
      <c r="C522" s="1" t="n">
        <v>45849</v>
      </c>
      <c r="D522" t="inlineStr">
        <is>
          <t>ÖSTERGÖTLANDS LÄN</t>
        </is>
      </c>
      <c r="E522" t="inlineStr">
        <is>
          <t>FINSPÅNG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35098-2021</t>
        </is>
      </c>
      <c r="B523" s="1" t="n">
        <v>44383</v>
      </c>
      <c r="C523" s="1" t="n">
        <v>45849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36545-2021</t>
        </is>
      </c>
      <c r="B524" s="1" t="n">
        <v>44391</v>
      </c>
      <c r="C524" s="1" t="n">
        <v>45849</v>
      </c>
      <c r="D524" t="inlineStr">
        <is>
          <t>ÖSTERGÖTLANDS LÄN</t>
        </is>
      </c>
      <c r="E524" t="inlineStr">
        <is>
          <t>FINSPÅNG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36726-2021</t>
        </is>
      </c>
      <c r="B525" s="1" t="n">
        <v>44392</v>
      </c>
      <c r="C525" s="1" t="n">
        <v>45849</v>
      </c>
      <c r="D525" t="inlineStr">
        <is>
          <t>ÖSTERGÖTLANDS LÄN</t>
        </is>
      </c>
      <c r="E525" t="inlineStr">
        <is>
          <t>FINSPÅNG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36727-2021</t>
        </is>
      </c>
      <c r="B526" s="1" t="n">
        <v>44392</v>
      </c>
      <c r="C526" s="1" t="n">
        <v>45849</v>
      </c>
      <c r="D526" t="inlineStr">
        <is>
          <t>ÖSTERGÖTLANDS LÄN</t>
        </is>
      </c>
      <c r="E526" t="inlineStr">
        <is>
          <t>FINSPÅNG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37154-2021</t>
        </is>
      </c>
      <c r="B527" s="1" t="n">
        <v>44396</v>
      </c>
      <c r="C527" s="1" t="n">
        <v>45849</v>
      </c>
      <c r="D527" t="inlineStr">
        <is>
          <t>ÖSTERGÖTLANDS LÄN</t>
        </is>
      </c>
      <c r="E527" t="inlineStr">
        <is>
          <t>FINSPÅNG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38057-2021</t>
        </is>
      </c>
      <c r="B528" s="1" t="n">
        <v>44404</v>
      </c>
      <c r="C528" s="1" t="n">
        <v>45849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38060-2021</t>
        </is>
      </c>
      <c r="B529" s="1" t="n">
        <v>44404</v>
      </c>
      <c r="C529" s="1" t="n">
        <v>45849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38062-2021</t>
        </is>
      </c>
      <c r="B530" s="1" t="n">
        <v>44404</v>
      </c>
      <c r="C530" s="1" t="n">
        <v>45849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38474-2021</t>
        </is>
      </c>
      <c r="B531" s="1" t="n">
        <v>44406</v>
      </c>
      <c r="C531" s="1" t="n">
        <v>45849</v>
      </c>
      <c r="D531" t="inlineStr">
        <is>
          <t>ÖSTERGÖTLANDS LÄN</t>
        </is>
      </c>
      <c r="E531" t="inlineStr">
        <is>
          <t>FINSPÅNG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39007-2021</t>
        </is>
      </c>
      <c r="B532" s="1" t="n">
        <v>44412</v>
      </c>
      <c r="C532" s="1" t="n">
        <v>45849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39043-2021</t>
        </is>
      </c>
      <c r="B533" s="1" t="n">
        <v>44412</v>
      </c>
      <c r="C533" s="1" t="n">
        <v>45849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40306-2021</t>
        </is>
      </c>
      <c r="B534" s="1" t="n">
        <v>44419</v>
      </c>
      <c r="C534" s="1" t="n">
        <v>45849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40544-2021</t>
        </is>
      </c>
      <c r="B535" s="1" t="n">
        <v>44420</v>
      </c>
      <c r="C535" s="1" t="n">
        <v>45849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40550-2021</t>
        </is>
      </c>
      <c r="B536" s="1" t="n">
        <v>44420</v>
      </c>
      <c r="C536" s="1" t="n">
        <v>45849</v>
      </c>
      <c r="D536" t="inlineStr">
        <is>
          <t>ÖSTERGÖTLANDS LÄN</t>
        </is>
      </c>
      <c r="E536" t="inlineStr">
        <is>
          <t>FINSPÅNG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41397-2021</t>
        </is>
      </c>
      <c r="B537" s="1" t="n">
        <v>44424</v>
      </c>
      <c r="C537" s="1" t="n">
        <v>45849</v>
      </c>
      <c r="D537" t="inlineStr">
        <is>
          <t>ÖSTERGÖTLANDS LÄN</t>
        </is>
      </c>
      <c r="E537" t="inlineStr">
        <is>
          <t>FINSPÅNG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41510-2021</t>
        </is>
      </c>
      <c r="B538" s="1" t="n">
        <v>44424</v>
      </c>
      <c r="C538" s="1" t="n">
        <v>45849</v>
      </c>
      <c r="D538" t="inlineStr">
        <is>
          <t>ÖSTERGÖTLANDS LÄN</t>
        </is>
      </c>
      <c r="E538" t="inlineStr">
        <is>
          <t>FINSPÅNG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41805-2021</t>
        </is>
      </c>
      <c r="B539" s="1" t="n">
        <v>44425</v>
      </c>
      <c r="C539" s="1" t="n">
        <v>45849</v>
      </c>
      <c r="D539" t="inlineStr">
        <is>
          <t>ÖSTERGÖTLANDS LÄN</t>
        </is>
      </c>
      <c r="E539" t="inlineStr">
        <is>
          <t>FINSPÅNG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41932-2021</t>
        </is>
      </c>
      <c r="B540" s="1" t="n">
        <v>44425</v>
      </c>
      <c r="C540" s="1" t="n">
        <v>45849</v>
      </c>
      <c r="D540" t="inlineStr">
        <is>
          <t>ÖSTERGÖTLANDS LÄN</t>
        </is>
      </c>
      <c r="E540" t="inlineStr">
        <is>
          <t>FINSPÅNG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41924-2021</t>
        </is>
      </c>
      <c r="B541" s="1" t="n">
        <v>44425</v>
      </c>
      <c r="C541" s="1" t="n">
        <v>45849</v>
      </c>
      <c r="D541" t="inlineStr">
        <is>
          <t>ÖSTERGÖTLANDS LÄN</t>
        </is>
      </c>
      <c r="E541" t="inlineStr">
        <is>
          <t>FINSPÅNG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42116-2021</t>
        </is>
      </c>
      <c r="B542" s="1" t="n">
        <v>44426</v>
      </c>
      <c r="C542" s="1" t="n">
        <v>45849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42515-2021</t>
        </is>
      </c>
      <c r="B543" s="1" t="n">
        <v>44427</v>
      </c>
      <c r="C543" s="1" t="n">
        <v>45849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42611-2021</t>
        </is>
      </c>
      <c r="B544" s="1" t="n">
        <v>44428</v>
      </c>
      <c r="C544" s="1" t="n">
        <v>45849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42682-2021</t>
        </is>
      </c>
      <c r="B545" s="1" t="n">
        <v>44428</v>
      </c>
      <c r="C545" s="1" t="n">
        <v>45849</v>
      </c>
      <c r="D545" t="inlineStr">
        <is>
          <t>ÖSTERGÖTLANDS LÄN</t>
        </is>
      </c>
      <c r="E545" t="inlineStr">
        <is>
          <t>FINSPÅNG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43164-2021</t>
        </is>
      </c>
      <c r="B546" s="1" t="n">
        <v>44431</v>
      </c>
      <c r="C546" s="1" t="n">
        <v>45849</v>
      </c>
      <c r="D546" t="inlineStr">
        <is>
          <t>ÖSTERGÖTLANDS LÄN</t>
        </is>
      </c>
      <c r="E546" t="inlineStr">
        <is>
          <t>FINSPÅNG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43165-2021</t>
        </is>
      </c>
      <c r="B547" s="1" t="n">
        <v>44431</v>
      </c>
      <c r="C547" s="1" t="n">
        <v>45849</v>
      </c>
      <c r="D547" t="inlineStr">
        <is>
          <t>ÖSTERGÖTLANDS LÄN</t>
        </is>
      </c>
      <c r="E547" t="inlineStr">
        <is>
          <t>FINSPÅNG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43166-2021</t>
        </is>
      </c>
      <c r="B548" s="1" t="n">
        <v>44431</v>
      </c>
      <c r="C548" s="1" t="n">
        <v>45849</v>
      </c>
      <c r="D548" t="inlineStr">
        <is>
          <t>ÖSTERGÖTLANDS LÄN</t>
        </is>
      </c>
      <c r="E548" t="inlineStr">
        <is>
          <t>FINSPÅNG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43167-2021</t>
        </is>
      </c>
      <c r="B549" s="1" t="n">
        <v>44431</v>
      </c>
      <c r="C549" s="1" t="n">
        <v>45849</v>
      </c>
      <c r="D549" t="inlineStr">
        <is>
          <t>ÖSTERGÖTLANDS LÄN</t>
        </is>
      </c>
      <c r="E549" t="inlineStr">
        <is>
          <t>FINSPÅNG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43744-2021</t>
        </is>
      </c>
      <c r="B550" s="1" t="n">
        <v>44433</v>
      </c>
      <c r="C550" s="1" t="n">
        <v>45849</v>
      </c>
      <c r="D550" t="inlineStr">
        <is>
          <t>ÖSTERGÖTLANDS LÄN</t>
        </is>
      </c>
      <c r="E550" t="inlineStr">
        <is>
          <t>FINSPÅNG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43858-2021</t>
        </is>
      </c>
      <c r="B551" s="1" t="n">
        <v>44434</v>
      </c>
      <c r="C551" s="1" t="n">
        <v>45849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Övriga Aktiebolag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43908-2021</t>
        </is>
      </c>
      <c r="B552" s="1" t="n">
        <v>44434</v>
      </c>
      <c r="C552" s="1" t="n">
        <v>45849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Kyrkan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44109-2021</t>
        </is>
      </c>
      <c r="B553" s="1" t="n">
        <v>44434</v>
      </c>
      <c r="C553" s="1" t="n">
        <v>45849</v>
      </c>
      <c r="D553" t="inlineStr">
        <is>
          <t>ÖSTERGÖTLANDS LÄN</t>
        </is>
      </c>
      <c r="E553" t="inlineStr">
        <is>
          <t>FINSPÅNG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44153-2021</t>
        </is>
      </c>
      <c r="B554" s="1" t="n">
        <v>44434</v>
      </c>
      <c r="C554" s="1" t="n">
        <v>45849</v>
      </c>
      <c r="D554" t="inlineStr">
        <is>
          <t>ÖSTERGÖTLANDS LÄN</t>
        </is>
      </c>
      <c r="E554" t="inlineStr">
        <is>
          <t>FINSPÅNG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44611-2021</t>
        </is>
      </c>
      <c r="B555" s="1" t="n">
        <v>44435</v>
      </c>
      <c r="C555" s="1" t="n">
        <v>45849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44663-2021</t>
        </is>
      </c>
      <c r="B556" s="1" t="n">
        <v>44438</v>
      </c>
      <c r="C556" s="1" t="n">
        <v>45849</v>
      </c>
      <c r="D556" t="inlineStr">
        <is>
          <t>ÖSTERGÖTLANDS LÄN</t>
        </is>
      </c>
      <c r="E556" t="inlineStr">
        <is>
          <t>FINSPÅNG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44665-2021</t>
        </is>
      </c>
      <c r="B557" s="1" t="n">
        <v>44438</v>
      </c>
      <c r="C557" s="1" t="n">
        <v>45849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44661-2021</t>
        </is>
      </c>
      <c r="B558" s="1" t="n">
        <v>44438</v>
      </c>
      <c r="C558" s="1" t="n">
        <v>45849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45099-2021</t>
        </is>
      </c>
      <c r="B559" s="1" t="n">
        <v>44438</v>
      </c>
      <c r="C559" s="1" t="n">
        <v>45849</v>
      </c>
      <c r="D559" t="inlineStr">
        <is>
          <t>ÖSTERGÖTLANDS LÄN</t>
        </is>
      </c>
      <c r="E559" t="inlineStr">
        <is>
          <t>FINSPÅNG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45761-2021</t>
        </is>
      </c>
      <c r="B560" s="1" t="n">
        <v>44441</v>
      </c>
      <c r="C560" s="1" t="n">
        <v>45849</v>
      </c>
      <c r="D560" t="inlineStr">
        <is>
          <t>ÖSTERGÖTLANDS LÄN</t>
        </is>
      </c>
      <c r="E560" t="inlineStr">
        <is>
          <t>FINSPÅNG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45945-2021</t>
        </is>
      </c>
      <c r="B561" s="1" t="n">
        <v>44441</v>
      </c>
      <c r="C561" s="1" t="n">
        <v>45849</v>
      </c>
      <c r="D561" t="inlineStr">
        <is>
          <t>ÖSTERGÖTLANDS LÄN</t>
        </is>
      </c>
      <c r="E561" t="inlineStr">
        <is>
          <t>FINSPÅNG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46405-2021</t>
        </is>
      </c>
      <c r="B562" s="1" t="n">
        <v>44444</v>
      </c>
      <c r="C562" s="1" t="n">
        <v>45849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47836-2021</t>
        </is>
      </c>
      <c r="B563" s="1" t="n">
        <v>44448</v>
      </c>
      <c r="C563" s="1" t="n">
        <v>45849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49612-2021</t>
        </is>
      </c>
      <c r="B564" s="1" t="n">
        <v>44455</v>
      </c>
      <c r="C564" s="1" t="n">
        <v>45849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49600-2021</t>
        </is>
      </c>
      <c r="B565" s="1" t="n">
        <v>44455</v>
      </c>
      <c r="C565" s="1" t="n">
        <v>45849</v>
      </c>
      <c r="D565" t="inlineStr">
        <is>
          <t>ÖSTERGÖTLANDS LÄN</t>
        </is>
      </c>
      <c r="E565" t="inlineStr">
        <is>
          <t>FINSPÅNG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49831-2021</t>
        </is>
      </c>
      <c r="B566" s="1" t="n">
        <v>44455</v>
      </c>
      <c r="C566" s="1" t="n">
        <v>45849</v>
      </c>
      <c r="D566" t="inlineStr">
        <is>
          <t>ÖSTERGÖTLANDS LÄN</t>
        </is>
      </c>
      <c r="E566" t="inlineStr">
        <is>
          <t>FINSPÅNG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49958-2021</t>
        </is>
      </c>
      <c r="B567" s="1" t="n">
        <v>44456</v>
      </c>
      <c r="C567" s="1" t="n">
        <v>45849</v>
      </c>
      <c r="D567" t="inlineStr">
        <is>
          <t>ÖSTERGÖTLANDS LÄN</t>
        </is>
      </c>
      <c r="E567" t="inlineStr">
        <is>
          <t>FINSPÅNG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51035-2021</t>
        </is>
      </c>
      <c r="B568" s="1" t="n">
        <v>44461</v>
      </c>
      <c r="C568" s="1" t="n">
        <v>45849</v>
      </c>
      <c r="D568" t="inlineStr">
        <is>
          <t>ÖSTERGÖTLANDS LÄN</t>
        </is>
      </c>
      <c r="E568" t="inlineStr">
        <is>
          <t>FINSPÅNG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51034-2021</t>
        </is>
      </c>
      <c r="B569" s="1" t="n">
        <v>44461</v>
      </c>
      <c r="C569" s="1" t="n">
        <v>45849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51633-2021</t>
        </is>
      </c>
      <c r="B570" s="1" t="n">
        <v>44462</v>
      </c>
      <c r="C570" s="1" t="n">
        <v>45849</v>
      </c>
      <c r="D570" t="inlineStr">
        <is>
          <t>ÖSTERGÖTLANDS LÄN</t>
        </is>
      </c>
      <c r="E570" t="inlineStr">
        <is>
          <t>FINSPÅNG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51448-2021</t>
        </is>
      </c>
      <c r="B571" s="1" t="n">
        <v>44462</v>
      </c>
      <c r="C571" s="1" t="n">
        <v>45849</v>
      </c>
      <c r="D571" t="inlineStr">
        <is>
          <t>ÖSTERGÖTLANDS LÄN</t>
        </is>
      </c>
      <c r="E571" t="inlineStr">
        <is>
          <t>FINSPÅNG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51613-2021</t>
        </is>
      </c>
      <c r="B572" s="1" t="n">
        <v>44462</v>
      </c>
      <c r="C572" s="1" t="n">
        <v>45849</v>
      </c>
      <c r="D572" t="inlineStr">
        <is>
          <t>ÖSTERGÖTLANDS LÄN</t>
        </is>
      </c>
      <c r="E572" t="inlineStr">
        <is>
          <t>FINSPÅNG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51814-2021</t>
        </is>
      </c>
      <c r="B573" s="1" t="n">
        <v>44462</v>
      </c>
      <c r="C573" s="1" t="n">
        <v>45849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51808-2021</t>
        </is>
      </c>
      <c r="B574" s="1" t="n">
        <v>44462</v>
      </c>
      <c r="C574" s="1" t="n">
        <v>45849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51982-2021</t>
        </is>
      </c>
      <c r="B575" s="1" t="n">
        <v>44463</v>
      </c>
      <c r="C575" s="1" t="n">
        <v>45849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51989-2021</t>
        </is>
      </c>
      <c r="B576" s="1" t="n">
        <v>44463</v>
      </c>
      <c r="C576" s="1" t="n">
        <v>45849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53120-2021</t>
        </is>
      </c>
      <c r="B577" s="1" t="n">
        <v>44468</v>
      </c>
      <c r="C577" s="1" t="n">
        <v>45849</v>
      </c>
      <c r="D577" t="inlineStr">
        <is>
          <t>ÖSTERGÖTLANDS LÄN</t>
        </is>
      </c>
      <c r="E577" t="inlineStr">
        <is>
          <t>FINSPÅNG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53123-2021</t>
        </is>
      </c>
      <c r="B578" s="1" t="n">
        <v>44468</v>
      </c>
      <c r="C578" s="1" t="n">
        <v>45849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53475-2021</t>
        </is>
      </c>
      <c r="B579" s="1" t="n">
        <v>44468</v>
      </c>
      <c r="C579" s="1" t="n">
        <v>45849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Övriga Aktiebolag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53741-2021</t>
        </is>
      </c>
      <c r="B580" s="1" t="n">
        <v>44469</v>
      </c>
      <c r="C580" s="1" t="n">
        <v>45849</v>
      </c>
      <c r="D580" t="inlineStr">
        <is>
          <t>ÖSTERGÖTLANDS LÄN</t>
        </is>
      </c>
      <c r="E580" t="inlineStr">
        <is>
          <t>FINSPÅNG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53545-2021</t>
        </is>
      </c>
      <c r="B581" s="1" t="n">
        <v>44469</v>
      </c>
      <c r="C581" s="1" t="n">
        <v>45849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53746-2021</t>
        </is>
      </c>
      <c r="B582" s="1" t="n">
        <v>44469</v>
      </c>
      <c r="C582" s="1" t="n">
        <v>45849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54609-2021</t>
        </is>
      </c>
      <c r="B583" s="1" t="n">
        <v>44473</v>
      </c>
      <c r="C583" s="1" t="n">
        <v>45849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55574-2021</t>
        </is>
      </c>
      <c r="B584" s="1" t="n">
        <v>44475</v>
      </c>
      <c r="C584" s="1" t="n">
        <v>45849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55620-2021</t>
        </is>
      </c>
      <c r="B585" s="1" t="n">
        <v>44476</v>
      </c>
      <c r="C585" s="1" t="n">
        <v>45849</v>
      </c>
      <c r="D585" t="inlineStr">
        <is>
          <t>ÖSTERGÖTLANDS LÄN</t>
        </is>
      </c>
      <c r="E585" t="inlineStr">
        <is>
          <t>FINSPÅNG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55612-2021</t>
        </is>
      </c>
      <c r="B586" s="1" t="n">
        <v>44476</v>
      </c>
      <c r="C586" s="1" t="n">
        <v>45849</v>
      </c>
      <c r="D586" t="inlineStr">
        <is>
          <t>ÖSTERGÖTLANDS LÄN</t>
        </is>
      </c>
      <c r="E586" t="inlineStr">
        <is>
          <t>FINSPÅNG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55815-2021</t>
        </is>
      </c>
      <c r="B587" s="1" t="n">
        <v>44476</v>
      </c>
      <c r="C587" s="1" t="n">
        <v>45849</v>
      </c>
      <c r="D587" t="inlineStr">
        <is>
          <t>ÖSTERGÖTLANDS LÄN</t>
        </is>
      </c>
      <c r="E587" t="inlineStr">
        <is>
          <t>FINSPÅNG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55731-2021</t>
        </is>
      </c>
      <c r="B588" s="1" t="n">
        <v>44476</v>
      </c>
      <c r="C588" s="1" t="n">
        <v>45849</v>
      </c>
      <c r="D588" t="inlineStr">
        <is>
          <t>ÖSTERGÖTLANDS LÄN</t>
        </is>
      </c>
      <c r="E588" t="inlineStr">
        <is>
          <t>FINSPÅNG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55744-2021</t>
        </is>
      </c>
      <c r="B589" s="1" t="n">
        <v>44476</v>
      </c>
      <c r="C589" s="1" t="n">
        <v>45849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55812-2021</t>
        </is>
      </c>
      <c r="B590" s="1" t="n">
        <v>44476</v>
      </c>
      <c r="C590" s="1" t="n">
        <v>45849</v>
      </c>
      <c r="D590" t="inlineStr">
        <is>
          <t>ÖSTERGÖTLANDS LÄN</t>
        </is>
      </c>
      <c r="E590" t="inlineStr">
        <is>
          <t>FINSPÅNG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56603-2021</t>
        </is>
      </c>
      <c r="B591" s="1" t="n">
        <v>44480</v>
      </c>
      <c r="C591" s="1" t="n">
        <v>45849</v>
      </c>
      <c r="D591" t="inlineStr">
        <is>
          <t>ÖSTERGÖTLANDS LÄN</t>
        </is>
      </c>
      <c r="E591" t="inlineStr">
        <is>
          <t>FINSPÅNG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56727-2021</t>
        </is>
      </c>
      <c r="B592" s="1" t="n">
        <v>44481</v>
      </c>
      <c r="C592" s="1" t="n">
        <v>45849</v>
      </c>
      <c r="D592" t="inlineStr">
        <is>
          <t>ÖSTERGÖTLANDS LÄN</t>
        </is>
      </c>
      <c r="E592" t="inlineStr">
        <is>
          <t>FINSPÅNG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56883-2021</t>
        </is>
      </c>
      <c r="B593" s="1" t="n">
        <v>44481</v>
      </c>
      <c r="C593" s="1" t="n">
        <v>45849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56969-2021</t>
        </is>
      </c>
      <c r="B594" s="1" t="n">
        <v>44482</v>
      </c>
      <c r="C594" s="1" t="n">
        <v>45849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57009-2021</t>
        </is>
      </c>
      <c r="B595" s="1" t="n">
        <v>44482</v>
      </c>
      <c r="C595" s="1" t="n">
        <v>45849</v>
      </c>
      <c r="D595" t="inlineStr">
        <is>
          <t>ÖSTERGÖTLANDS LÄN</t>
        </is>
      </c>
      <c r="E595" t="inlineStr">
        <is>
          <t>FINSPÅNG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57008-2021</t>
        </is>
      </c>
      <c r="B596" s="1" t="n">
        <v>44482</v>
      </c>
      <c r="C596" s="1" t="n">
        <v>45849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57148-2021</t>
        </is>
      </c>
      <c r="B597" s="1" t="n">
        <v>44482</v>
      </c>
      <c r="C597" s="1" t="n">
        <v>45849</v>
      </c>
      <c r="D597" t="inlineStr">
        <is>
          <t>ÖSTERGÖTLANDS LÄN</t>
        </is>
      </c>
      <c r="E597" t="inlineStr">
        <is>
          <t>FINSPÅNG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HYPERLINK("https://klasma.github.io/Logging_0562/knärot/A 57148-2021 karta knärot.png", "A 57148-2021")</f>
        <v/>
      </c>
      <c r="V597">
        <f>HYPERLINK("https://klasma.github.io/Logging_0562/klagomål/A 57148-2021 FSC-klagomål.docx", "A 57148-2021")</f>
        <v/>
      </c>
      <c r="W597">
        <f>HYPERLINK("https://klasma.github.io/Logging_0562/klagomålsmail/A 57148-2021 FSC-klagomål mail.docx", "A 57148-2021")</f>
        <v/>
      </c>
      <c r="X597">
        <f>HYPERLINK("https://klasma.github.io/Logging_0562/tillsyn/A 57148-2021 tillsynsbegäran.docx", "A 57148-2021")</f>
        <v/>
      </c>
      <c r="Y597">
        <f>HYPERLINK("https://klasma.github.io/Logging_0562/tillsynsmail/A 57148-2021 tillsynsbegäran mail.docx", "A 57148-2021")</f>
        <v/>
      </c>
    </row>
    <row r="598" ht="15" customHeight="1">
      <c r="A598" t="inlineStr">
        <is>
          <t>A 57144-2021</t>
        </is>
      </c>
      <c r="B598" s="1" t="n">
        <v>44482</v>
      </c>
      <c r="C598" s="1" t="n">
        <v>45849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58851-2021</t>
        </is>
      </c>
      <c r="B599" s="1" t="n">
        <v>44489</v>
      </c>
      <c r="C599" s="1" t="n">
        <v>45849</v>
      </c>
      <c r="D599" t="inlineStr">
        <is>
          <t>ÖSTERGÖTLANDS LÄN</t>
        </is>
      </c>
      <c r="E599" t="inlineStr">
        <is>
          <t>FINSPÅNG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58991-2021</t>
        </is>
      </c>
      <c r="B600" s="1" t="n">
        <v>44490</v>
      </c>
      <c r="C600" s="1" t="n">
        <v>45849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59468-2021</t>
        </is>
      </c>
      <c r="B601" s="1" t="n">
        <v>44491</v>
      </c>
      <c r="C601" s="1" t="n">
        <v>45849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59811-2021</t>
        </is>
      </c>
      <c r="B602" s="1" t="n">
        <v>44494</v>
      </c>
      <c r="C602" s="1" t="n">
        <v>45849</v>
      </c>
      <c r="D602" t="inlineStr">
        <is>
          <t>ÖSTERGÖTLANDS LÄN</t>
        </is>
      </c>
      <c r="E602" t="inlineStr">
        <is>
          <t>FINSPÅNG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59894-2021</t>
        </is>
      </c>
      <c r="B603" s="1" t="n">
        <v>44494</v>
      </c>
      <c r="C603" s="1" t="n">
        <v>45849</v>
      </c>
      <c r="D603" t="inlineStr">
        <is>
          <t>ÖSTERGÖTLANDS LÄN</t>
        </is>
      </c>
      <c r="E603" t="inlineStr">
        <is>
          <t>FINSPÅNG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61695-2021</t>
        </is>
      </c>
      <c r="B604" s="1" t="n">
        <v>44501</v>
      </c>
      <c r="C604" s="1" t="n">
        <v>45849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62196-2021</t>
        </is>
      </c>
      <c r="B605" s="1" t="n">
        <v>44502</v>
      </c>
      <c r="C605" s="1" t="n">
        <v>45849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Övriga Aktiebolag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62445-2021</t>
        </is>
      </c>
      <c r="B606" s="1" t="n">
        <v>44503</v>
      </c>
      <c r="C606" s="1" t="n">
        <v>45849</v>
      </c>
      <c r="D606" t="inlineStr">
        <is>
          <t>ÖSTERGÖTLANDS LÄN</t>
        </is>
      </c>
      <c r="E606" t="inlineStr">
        <is>
          <t>FINSPÅNG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62421-2021</t>
        </is>
      </c>
      <c r="B607" s="1" t="n">
        <v>44503</v>
      </c>
      <c r="C607" s="1" t="n">
        <v>45849</v>
      </c>
      <c r="D607" t="inlineStr">
        <is>
          <t>ÖSTERGÖTLANDS LÄN</t>
        </is>
      </c>
      <c r="E607" t="inlineStr">
        <is>
          <t>FINSPÅNG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62597-2021</t>
        </is>
      </c>
      <c r="B608" s="1" t="n">
        <v>44503</v>
      </c>
      <c r="C608" s="1" t="n">
        <v>45849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62736-2021</t>
        </is>
      </c>
      <c r="B609" s="1" t="n">
        <v>44504</v>
      </c>
      <c r="C609" s="1" t="n">
        <v>45849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63321-2021</t>
        </is>
      </c>
      <c r="B610" s="1" t="n">
        <v>44508</v>
      </c>
      <c r="C610" s="1" t="n">
        <v>45849</v>
      </c>
      <c r="D610" t="inlineStr">
        <is>
          <t>ÖSTERGÖTLANDS LÄN</t>
        </is>
      </c>
      <c r="E610" t="inlineStr">
        <is>
          <t>FINSPÅNG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66014-2021</t>
        </is>
      </c>
      <c r="B611" s="1" t="n">
        <v>44517</v>
      </c>
      <c r="C611" s="1" t="n">
        <v>45849</v>
      </c>
      <c r="D611" t="inlineStr">
        <is>
          <t>ÖSTERGÖTLANDS LÄN</t>
        </is>
      </c>
      <c r="E611" t="inlineStr">
        <is>
          <t>FINSPÅNG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67767-2021</t>
        </is>
      </c>
      <c r="B612" s="1" t="n">
        <v>44525</v>
      </c>
      <c r="C612" s="1" t="n">
        <v>45849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68009-2021</t>
        </is>
      </c>
      <c r="B613" s="1" t="n">
        <v>44525</v>
      </c>
      <c r="C613" s="1" t="n">
        <v>45849</v>
      </c>
      <c r="D613" t="inlineStr">
        <is>
          <t>ÖSTERGÖTLANDS LÄN</t>
        </is>
      </c>
      <c r="E613" t="inlineStr">
        <is>
          <t>FINSPÅNG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68122-2021</t>
        </is>
      </c>
      <c r="B614" s="1" t="n">
        <v>44526</v>
      </c>
      <c r="C614" s="1" t="n">
        <v>45849</v>
      </c>
      <c r="D614" t="inlineStr">
        <is>
          <t>ÖSTERGÖTLANDS LÄN</t>
        </is>
      </c>
      <c r="E614" t="inlineStr">
        <is>
          <t>FINSPÅNG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69717-2021</t>
        </is>
      </c>
      <c r="B615" s="1" t="n">
        <v>44532</v>
      </c>
      <c r="C615" s="1" t="n">
        <v>45849</v>
      </c>
      <c r="D615" t="inlineStr">
        <is>
          <t>ÖSTERGÖTLANDS LÄN</t>
        </is>
      </c>
      <c r="E615" t="inlineStr">
        <is>
          <t>FINSPÅNG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69775-2021</t>
        </is>
      </c>
      <c r="B616" s="1" t="n">
        <v>44532</v>
      </c>
      <c r="C616" s="1" t="n">
        <v>45849</v>
      </c>
      <c r="D616" t="inlineStr">
        <is>
          <t>ÖSTERGÖTLANDS LÄN</t>
        </is>
      </c>
      <c r="E616" t="inlineStr">
        <is>
          <t>FINSPÅNG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70105-2021</t>
        </is>
      </c>
      <c r="B617" s="1" t="n">
        <v>44533</v>
      </c>
      <c r="C617" s="1" t="n">
        <v>45849</v>
      </c>
      <c r="D617" t="inlineStr">
        <is>
          <t>ÖSTERGÖTLANDS LÄN</t>
        </is>
      </c>
      <c r="E617" t="inlineStr">
        <is>
          <t>FINSPÅNG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69994-2021</t>
        </is>
      </c>
      <c r="B618" s="1" t="n">
        <v>44533</v>
      </c>
      <c r="C618" s="1" t="n">
        <v>45849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69989-2021</t>
        </is>
      </c>
      <c r="B619" s="1" t="n">
        <v>44533</v>
      </c>
      <c r="C619" s="1" t="n">
        <v>45849</v>
      </c>
      <c r="D619" t="inlineStr">
        <is>
          <t>ÖSTERGÖTLANDS LÄN</t>
        </is>
      </c>
      <c r="E619" t="inlineStr">
        <is>
          <t>FINSPÅNG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70407-2021</t>
        </is>
      </c>
      <c r="B620" s="1" t="n">
        <v>44536</v>
      </c>
      <c r="C620" s="1" t="n">
        <v>45849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70505-2021</t>
        </is>
      </c>
      <c r="B621" s="1" t="n">
        <v>44536</v>
      </c>
      <c r="C621" s="1" t="n">
        <v>45849</v>
      </c>
      <c r="D621" t="inlineStr">
        <is>
          <t>ÖSTERGÖTLANDS LÄN</t>
        </is>
      </c>
      <c r="E621" t="inlineStr">
        <is>
          <t>FINSPÅNG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71053-2021</t>
        </is>
      </c>
      <c r="B622" s="1" t="n">
        <v>44538</v>
      </c>
      <c r="C622" s="1" t="n">
        <v>45849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71597-2021</t>
        </is>
      </c>
      <c r="B623" s="1" t="n">
        <v>44541</v>
      </c>
      <c r="C623" s="1" t="n">
        <v>45849</v>
      </c>
      <c r="D623" t="inlineStr">
        <is>
          <t>ÖSTERGÖTLANDS LÄN</t>
        </is>
      </c>
      <c r="E623" t="inlineStr">
        <is>
          <t>FINSPÅNG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71601-2021</t>
        </is>
      </c>
      <c r="B624" s="1" t="n">
        <v>44541</v>
      </c>
      <c r="C624" s="1" t="n">
        <v>45849</v>
      </c>
      <c r="D624" t="inlineStr">
        <is>
          <t>ÖSTERGÖTLANDS LÄN</t>
        </is>
      </c>
      <c r="E624" t="inlineStr">
        <is>
          <t>FINSPÅNG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71602-2021</t>
        </is>
      </c>
      <c r="B625" s="1" t="n">
        <v>44541</v>
      </c>
      <c r="C625" s="1" t="n">
        <v>45849</v>
      </c>
      <c r="D625" t="inlineStr">
        <is>
          <t>ÖSTERGÖTLANDS LÄN</t>
        </is>
      </c>
      <c r="E625" t="inlineStr">
        <is>
          <t>FINSPÅNG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73260-2021</t>
        </is>
      </c>
      <c r="B626" s="1" t="n">
        <v>44550</v>
      </c>
      <c r="C626" s="1" t="n">
        <v>45849</v>
      </c>
      <c r="D626" t="inlineStr">
        <is>
          <t>ÖSTERGÖTLANDS LÄN</t>
        </is>
      </c>
      <c r="E626" t="inlineStr">
        <is>
          <t>FINSPÅNG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73659-2021</t>
        </is>
      </c>
      <c r="B627" s="1" t="n">
        <v>44551</v>
      </c>
      <c r="C627" s="1" t="n">
        <v>45849</v>
      </c>
      <c r="D627" t="inlineStr">
        <is>
          <t>ÖSTERGÖTLANDS LÄN</t>
        </is>
      </c>
      <c r="E627" t="inlineStr">
        <is>
          <t>FINSPÅNG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73657-2021</t>
        </is>
      </c>
      <c r="B628" s="1" t="n">
        <v>44551</v>
      </c>
      <c r="C628" s="1" t="n">
        <v>45849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73655-2021</t>
        </is>
      </c>
      <c r="B629" s="1" t="n">
        <v>44551</v>
      </c>
      <c r="C629" s="1" t="n">
        <v>45849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73831-2021</t>
        </is>
      </c>
      <c r="B630" s="1" t="n">
        <v>44552</v>
      </c>
      <c r="C630" s="1" t="n">
        <v>45849</v>
      </c>
      <c r="D630" t="inlineStr">
        <is>
          <t>ÖSTERGÖTLANDS LÄN</t>
        </is>
      </c>
      <c r="E630" t="inlineStr">
        <is>
          <t>FINSPÅNG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73914-2021</t>
        </is>
      </c>
      <c r="B631" s="1" t="n">
        <v>44553</v>
      </c>
      <c r="C631" s="1" t="n">
        <v>45849</v>
      </c>
      <c r="D631" t="inlineStr">
        <is>
          <t>ÖSTERGÖTLANDS LÄN</t>
        </is>
      </c>
      <c r="E631" t="inlineStr">
        <is>
          <t>FINSPÅNG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83-2022</t>
        </is>
      </c>
      <c r="B632" s="1" t="n">
        <v>44564</v>
      </c>
      <c r="C632" s="1" t="n">
        <v>45849</v>
      </c>
      <c r="D632" t="inlineStr">
        <is>
          <t>ÖSTERGÖTLANDS LÄN</t>
        </is>
      </c>
      <c r="E632" t="inlineStr">
        <is>
          <t>FINSPÅNG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189-2022</t>
        </is>
      </c>
      <c r="B633" s="1" t="n">
        <v>44564</v>
      </c>
      <c r="C633" s="1" t="n">
        <v>45849</v>
      </c>
      <c r="D633" t="inlineStr">
        <is>
          <t>ÖSTERGÖTLANDS LÄN</t>
        </is>
      </c>
      <c r="E633" t="inlineStr">
        <is>
          <t>FINSPÅNG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199-2022</t>
        </is>
      </c>
      <c r="B634" s="1" t="n">
        <v>44564</v>
      </c>
      <c r="C634" s="1" t="n">
        <v>45849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64-2022</t>
        </is>
      </c>
      <c r="B635" s="1" t="n">
        <v>44564</v>
      </c>
      <c r="C635" s="1" t="n">
        <v>45849</v>
      </c>
      <c r="D635" t="inlineStr">
        <is>
          <t>ÖSTERGÖTLANDS LÄN</t>
        </is>
      </c>
      <c r="E635" t="inlineStr">
        <is>
          <t>FINSPÅNG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673-2022</t>
        </is>
      </c>
      <c r="B636" s="1" t="n">
        <v>44568</v>
      </c>
      <c r="C636" s="1" t="n">
        <v>45849</v>
      </c>
      <c r="D636" t="inlineStr">
        <is>
          <t>ÖSTERGÖTLANDS LÄN</t>
        </is>
      </c>
      <c r="E636" t="inlineStr">
        <is>
          <t>FINSPÅNG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1461-2022</t>
        </is>
      </c>
      <c r="B637" s="1" t="n">
        <v>44573</v>
      </c>
      <c r="C637" s="1" t="n">
        <v>45849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1591-2022</t>
        </is>
      </c>
      <c r="B638" s="1" t="n">
        <v>44573</v>
      </c>
      <c r="C638" s="1" t="n">
        <v>45849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1722-2022</t>
        </is>
      </c>
      <c r="B639" s="1" t="n">
        <v>44574</v>
      </c>
      <c r="C639" s="1" t="n">
        <v>45849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1730-2022</t>
        </is>
      </c>
      <c r="B640" s="1" t="n">
        <v>44574</v>
      </c>
      <c r="C640" s="1" t="n">
        <v>45849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1832-2022</t>
        </is>
      </c>
      <c r="B641" s="1" t="n">
        <v>44574</v>
      </c>
      <c r="C641" s="1" t="n">
        <v>45849</v>
      </c>
      <c r="D641" t="inlineStr">
        <is>
          <t>ÖSTERGÖTLANDS LÄN</t>
        </is>
      </c>
      <c r="E641" t="inlineStr">
        <is>
          <t>FINSPÅNG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1851-2022</t>
        </is>
      </c>
      <c r="B642" s="1" t="n">
        <v>44574</v>
      </c>
      <c r="C642" s="1" t="n">
        <v>45849</v>
      </c>
      <c r="D642" t="inlineStr">
        <is>
          <t>ÖSTERGÖTLANDS LÄN</t>
        </is>
      </c>
      <c r="E642" t="inlineStr">
        <is>
          <t>FINSPÅNG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2263-2022</t>
        </is>
      </c>
      <c r="B643" s="1" t="n">
        <v>44578</v>
      </c>
      <c r="C643" s="1" t="n">
        <v>45849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2805-2022</t>
        </is>
      </c>
      <c r="B644" s="1" t="n">
        <v>44581</v>
      </c>
      <c r="C644" s="1" t="n">
        <v>45849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2999-2022</t>
        </is>
      </c>
      <c r="B645" s="1" t="n">
        <v>44581</v>
      </c>
      <c r="C645" s="1" t="n">
        <v>45849</v>
      </c>
      <c r="D645" t="inlineStr">
        <is>
          <t>ÖSTERGÖTLANDS LÄN</t>
        </is>
      </c>
      <c r="E645" t="inlineStr">
        <is>
          <t>FINSPÅNG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3013-2022</t>
        </is>
      </c>
      <c r="B646" s="1" t="n">
        <v>44581</v>
      </c>
      <c r="C646" s="1" t="n">
        <v>45849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3109-2022</t>
        </is>
      </c>
      <c r="B647" s="1" t="n">
        <v>44582</v>
      </c>
      <c r="C647" s="1" t="n">
        <v>45849</v>
      </c>
      <c r="D647" t="inlineStr">
        <is>
          <t>ÖSTERGÖTLANDS LÄN</t>
        </is>
      </c>
      <c r="E647" t="inlineStr">
        <is>
          <t>FINSPÅNG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3845-2022</t>
        </is>
      </c>
      <c r="B648" s="1" t="n">
        <v>44587</v>
      </c>
      <c r="C648" s="1" t="n">
        <v>45849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4116-2022</t>
        </is>
      </c>
      <c r="B649" s="1" t="n">
        <v>44588</v>
      </c>
      <c r="C649" s="1" t="n">
        <v>45849</v>
      </c>
      <c r="D649" t="inlineStr">
        <is>
          <t>ÖSTERGÖTLANDS LÄN</t>
        </is>
      </c>
      <c r="E649" t="inlineStr">
        <is>
          <t>FINSPÅNG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4213-2022</t>
        </is>
      </c>
      <c r="B650" s="1" t="n">
        <v>44588</v>
      </c>
      <c r="C650" s="1" t="n">
        <v>45849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4275-2022</t>
        </is>
      </c>
      <c r="B651" s="1" t="n">
        <v>44588</v>
      </c>
      <c r="C651" s="1" t="n">
        <v>45849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4351-2022</t>
        </is>
      </c>
      <c r="B652" s="1" t="n">
        <v>44589</v>
      </c>
      <c r="C652" s="1" t="n">
        <v>45849</v>
      </c>
      <c r="D652" t="inlineStr">
        <is>
          <t>ÖSTERGÖTLANDS LÄN</t>
        </is>
      </c>
      <c r="E652" t="inlineStr">
        <is>
          <t>FINSPÅNG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5438-2022</t>
        </is>
      </c>
      <c r="B653" s="1" t="n">
        <v>44595</v>
      </c>
      <c r="C653" s="1" t="n">
        <v>45849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5431-2022</t>
        </is>
      </c>
      <c r="B654" s="1" t="n">
        <v>44595</v>
      </c>
      <c r="C654" s="1" t="n">
        <v>45849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5617-2022</t>
        </is>
      </c>
      <c r="B655" s="1" t="n">
        <v>44595</v>
      </c>
      <c r="C655" s="1" t="n">
        <v>45849</v>
      </c>
      <c r="D655" t="inlineStr">
        <is>
          <t>ÖSTERGÖTLANDS LÄN</t>
        </is>
      </c>
      <c r="E655" t="inlineStr">
        <is>
          <t>FINSPÅNG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5595-2022</t>
        </is>
      </c>
      <c r="B656" s="1" t="n">
        <v>44595</v>
      </c>
      <c r="C656" s="1" t="n">
        <v>45849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5615-2022</t>
        </is>
      </c>
      <c r="B657" s="1" t="n">
        <v>44595</v>
      </c>
      <c r="C657" s="1" t="n">
        <v>45849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5616-2022</t>
        </is>
      </c>
      <c r="B658" s="1" t="n">
        <v>44595</v>
      </c>
      <c r="C658" s="1" t="n">
        <v>45849</v>
      </c>
      <c r="D658" t="inlineStr">
        <is>
          <t>ÖSTERGÖTLANDS LÄN</t>
        </is>
      </c>
      <c r="E658" t="inlineStr">
        <is>
          <t>FINSPÅNG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5622-2022</t>
        </is>
      </c>
      <c r="B659" s="1" t="n">
        <v>44595</v>
      </c>
      <c r="C659" s="1" t="n">
        <v>45849</v>
      </c>
      <c r="D659" t="inlineStr">
        <is>
          <t>ÖSTERGÖTLANDS LÄN</t>
        </is>
      </c>
      <c r="E659" t="inlineStr">
        <is>
          <t>FINSPÅNG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5674-2022</t>
        </is>
      </c>
      <c r="B660" s="1" t="n">
        <v>44595</v>
      </c>
      <c r="C660" s="1" t="n">
        <v>45849</v>
      </c>
      <c r="D660" t="inlineStr">
        <is>
          <t>ÖSTERGÖTLANDS LÄN</t>
        </is>
      </c>
      <c r="E660" t="inlineStr">
        <is>
          <t>FINSPÅNG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6038-2022</t>
        </is>
      </c>
      <c r="B661" s="1" t="n">
        <v>44599</v>
      </c>
      <c r="C661" s="1" t="n">
        <v>45849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6402-2022</t>
        </is>
      </c>
      <c r="B662" s="1" t="n">
        <v>44600</v>
      </c>
      <c r="C662" s="1" t="n">
        <v>45849</v>
      </c>
      <c r="D662" t="inlineStr">
        <is>
          <t>ÖSTERGÖTLANDS LÄN</t>
        </is>
      </c>
      <c r="E662" t="inlineStr">
        <is>
          <t>FINSPÅNG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6410-2022</t>
        </is>
      </c>
      <c r="B663" s="1" t="n">
        <v>44600</v>
      </c>
      <c r="C663" s="1" t="n">
        <v>45849</v>
      </c>
      <c r="D663" t="inlineStr">
        <is>
          <t>ÖSTERGÖTLANDS LÄN</t>
        </is>
      </c>
      <c r="E663" t="inlineStr">
        <is>
          <t>FINSPÅNG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6491-2022</t>
        </is>
      </c>
      <c r="B664" s="1" t="n">
        <v>44601</v>
      </c>
      <c r="C664" s="1" t="n">
        <v>45849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6519-2022</t>
        </is>
      </c>
      <c r="B665" s="1" t="n">
        <v>44601</v>
      </c>
      <c r="C665" s="1" t="n">
        <v>45849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6493-2022</t>
        </is>
      </c>
      <c r="B666" s="1" t="n">
        <v>44601</v>
      </c>
      <c r="C666" s="1" t="n">
        <v>45849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6503-2022</t>
        </is>
      </c>
      <c r="B667" s="1" t="n">
        <v>44601</v>
      </c>
      <c r="C667" s="1" t="n">
        <v>45849</v>
      </c>
      <c r="D667" t="inlineStr">
        <is>
          <t>ÖSTERGÖTLANDS LÄN</t>
        </is>
      </c>
      <c r="E667" t="inlineStr">
        <is>
          <t>FINSPÅNG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6495-2022</t>
        </is>
      </c>
      <c r="B668" s="1" t="n">
        <v>44601</v>
      </c>
      <c r="C668" s="1" t="n">
        <v>45849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Naturvårdsverket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7198-2022</t>
        </is>
      </c>
      <c r="B669" s="1" t="n">
        <v>44606</v>
      </c>
      <c r="C669" s="1" t="n">
        <v>45849</v>
      </c>
      <c r="D669" t="inlineStr">
        <is>
          <t>ÖSTERGÖTLANDS LÄN</t>
        </is>
      </c>
      <c r="E669" t="inlineStr">
        <is>
          <t>FINSPÅNG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7445-2022</t>
        </is>
      </c>
      <c r="B670" s="1" t="n">
        <v>44607</v>
      </c>
      <c r="C670" s="1" t="n">
        <v>45849</v>
      </c>
      <c r="D670" t="inlineStr">
        <is>
          <t>ÖSTERGÖTLANDS LÄN</t>
        </is>
      </c>
      <c r="E670" t="inlineStr">
        <is>
          <t>FINSPÅNG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8604-2022</t>
        </is>
      </c>
      <c r="B671" s="1" t="n">
        <v>44613</v>
      </c>
      <c r="C671" s="1" t="n">
        <v>45849</v>
      </c>
      <c r="D671" t="inlineStr">
        <is>
          <t>ÖSTERGÖTLANDS LÄN</t>
        </is>
      </c>
      <c r="E671" t="inlineStr">
        <is>
          <t>FINSPÅNG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8615-2022</t>
        </is>
      </c>
      <c r="B672" s="1" t="n">
        <v>44613</v>
      </c>
      <c r="C672" s="1" t="n">
        <v>45849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8528-2022</t>
        </is>
      </c>
      <c r="B673" s="1" t="n">
        <v>44613</v>
      </c>
      <c r="C673" s="1" t="n">
        <v>45849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8937-2022</t>
        </is>
      </c>
      <c r="B674" s="1" t="n">
        <v>44614</v>
      </c>
      <c r="C674" s="1" t="n">
        <v>45849</v>
      </c>
      <c r="D674" t="inlineStr">
        <is>
          <t>ÖSTERGÖTLANDS LÄN</t>
        </is>
      </c>
      <c r="E674" t="inlineStr">
        <is>
          <t>FINSPÅNG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9339-2022</t>
        </is>
      </c>
      <c r="B675" s="1" t="n">
        <v>44616</v>
      </c>
      <c r="C675" s="1" t="n">
        <v>45849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9456-2022</t>
        </is>
      </c>
      <c r="B676" s="1" t="n">
        <v>44616</v>
      </c>
      <c r="C676" s="1" t="n">
        <v>45849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9554-2022</t>
        </is>
      </c>
      <c r="B677" s="1" t="n">
        <v>44617</v>
      </c>
      <c r="C677" s="1" t="n">
        <v>45849</v>
      </c>
      <c r="D677" t="inlineStr">
        <is>
          <t>ÖSTERGÖTLANDS LÄN</t>
        </is>
      </c>
      <c r="E677" t="inlineStr">
        <is>
          <t>FINSPÅNG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10206-2022</t>
        </is>
      </c>
      <c r="B678" s="1" t="n">
        <v>44622</v>
      </c>
      <c r="C678" s="1" t="n">
        <v>45849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10215-2022</t>
        </is>
      </c>
      <c r="B679" s="1" t="n">
        <v>44622</v>
      </c>
      <c r="C679" s="1" t="n">
        <v>45849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10887-2022</t>
        </is>
      </c>
      <c r="B680" s="1" t="n">
        <v>44627</v>
      </c>
      <c r="C680" s="1" t="n">
        <v>45849</v>
      </c>
      <c r="D680" t="inlineStr">
        <is>
          <t>ÖSTERGÖTLANDS LÄN</t>
        </is>
      </c>
      <c r="E680" t="inlineStr">
        <is>
          <t>FINSPÅNG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10885-2022</t>
        </is>
      </c>
      <c r="B681" s="1" t="n">
        <v>44627</v>
      </c>
      <c r="C681" s="1" t="n">
        <v>45849</v>
      </c>
      <c r="D681" t="inlineStr">
        <is>
          <t>ÖSTERGÖTLANDS LÄN</t>
        </is>
      </c>
      <c r="E681" t="inlineStr">
        <is>
          <t>FINSPÅNG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11450-2022</t>
        </is>
      </c>
      <c r="B682" s="1" t="n">
        <v>44630</v>
      </c>
      <c r="C682" s="1" t="n">
        <v>45849</v>
      </c>
      <c r="D682" t="inlineStr">
        <is>
          <t>ÖSTERGÖTLANDS LÄN</t>
        </is>
      </c>
      <c r="E682" t="inlineStr">
        <is>
          <t>FINSPÅNG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11992-2022</t>
        </is>
      </c>
      <c r="B683" s="1" t="n">
        <v>44635</v>
      </c>
      <c r="C683" s="1" t="n">
        <v>45849</v>
      </c>
      <c r="D683" t="inlineStr">
        <is>
          <t>ÖSTERGÖTLANDS LÄN</t>
        </is>
      </c>
      <c r="E683" t="inlineStr">
        <is>
          <t>FINSPÅNG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12216-2022</t>
        </is>
      </c>
      <c r="B684" s="1" t="n">
        <v>44637</v>
      </c>
      <c r="C684" s="1" t="n">
        <v>45849</v>
      </c>
      <c r="D684" t="inlineStr">
        <is>
          <t>ÖSTERGÖTLANDS LÄN</t>
        </is>
      </c>
      <c r="E684" t="inlineStr">
        <is>
          <t>FINSPÅNG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12814-2022</t>
        </is>
      </c>
      <c r="B685" s="1" t="n">
        <v>44642</v>
      </c>
      <c r="C685" s="1" t="n">
        <v>45849</v>
      </c>
      <c r="D685" t="inlineStr">
        <is>
          <t>ÖSTERGÖTLANDS LÄN</t>
        </is>
      </c>
      <c r="E685" t="inlineStr">
        <is>
          <t>FINSPÅNG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12898-2022</t>
        </is>
      </c>
      <c r="B686" s="1" t="n">
        <v>44642</v>
      </c>
      <c r="C686" s="1" t="n">
        <v>45849</v>
      </c>
      <c r="D686" t="inlineStr">
        <is>
          <t>ÖSTERGÖTLANDS LÄN</t>
        </is>
      </c>
      <c r="E686" t="inlineStr">
        <is>
          <t>FINSPÅNG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13267-2022</t>
        </is>
      </c>
      <c r="B687" s="1" t="n">
        <v>44644</v>
      </c>
      <c r="C687" s="1" t="n">
        <v>45849</v>
      </c>
      <c r="D687" t="inlineStr">
        <is>
          <t>ÖSTERGÖTLANDS LÄN</t>
        </is>
      </c>
      <c r="E687" t="inlineStr">
        <is>
          <t>FINSPÅNG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14454-2022</t>
        </is>
      </c>
      <c r="B688" s="1" t="n">
        <v>44653</v>
      </c>
      <c r="C688" s="1" t="n">
        <v>45849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14820-2022</t>
        </is>
      </c>
      <c r="B689" s="1" t="n">
        <v>44656</v>
      </c>
      <c r="C689" s="1" t="n">
        <v>45849</v>
      </c>
      <c r="D689" t="inlineStr">
        <is>
          <t>ÖSTERGÖTLANDS LÄN</t>
        </is>
      </c>
      <c r="E689" t="inlineStr">
        <is>
          <t>FINSPÅNG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14866-2022</t>
        </is>
      </c>
      <c r="B690" s="1" t="n">
        <v>44656</v>
      </c>
      <c r="C690" s="1" t="n">
        <v>45849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15355-2022</t>
        </is>
      </c>
      <c r="B691" s="1" t="n">
        <v>44659</v>
      </c>
      <c r="C691" s="1" t="n">
        <v>45849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15363-2022</t>
        </is>
      </c>
      <c r="B692" s="1" t="n">
        <v>44659</v>
      </c>
      <c r="C692" s="1" t="n">
        <v>45849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15356-2022</t>
        </is>
      </c>
      <c r="B693" s="1" t="n">
        <v>44659</v>
      </c>
      <c r="C693" s="1" t="n">
        <v>45849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15358-2022</t>
        </is>
      </c>
      <c r="B694" s="1" t="n">
        <v>44659</v>
      </c>
      <c r="C694" s="1" t="n">
        <v>45849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15353-2022</t>
        </is>
      </c>
      <c r="B695" s="1" t="n">
        <v>44659</v>
      </c>
      <c r="C695" s="1" t="n">
        <v>45849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15473-2022</t>
        </is>
      </c>
      <c r="B696" s="1" t="n">
        <v>44662</v>
      </c>
      <c r="C696" s="1" t="n">
        <v>45849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15824-2022</t>
        </is>
      </c>
      <c r="B697" s="1" t="n">
        <v>44664</v>
      </c>
      <c r="C697" s="1" t="n">
        <v>45849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16106-2022</t>
        </is>
      </c>
      <c r="B698" s="1" t="n">
        <v>44665</v>
      </c>
      <c r="C698" s="1" t="n">
        <v>45849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16172-2022</t>
        </is>
      </c>
      <c r="B699" s="1" t="n">
        <v>44668</v>
      </c>
      <c r="C699" s="1" t="n">
        <v>45849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16679-2022</t>
        </is>
      </c>
      <c r="B700" s="1" t="n">
        <v>44673</v>
      </c>
      <c r="C700" s="1" t="n">
        <v>45849</v>
      </c>
      <c r="D700" t="inlineStr">
        <is>
          <t>ÖSTERGÖTLANDS LÄN</t>
        </is>
      </c>
      <c r="E700" t="inlineStr">
        <is>
          <t>FINSPÅNG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16680-2022</t>
        </is>
      </c>
      <c r="B701" s="1" t="n">
        <v>44673</v>
      </c>
      <c r="C701" s="1" t="n">
        <v>45849</v>
      </c>
      <c r="D701" t="inlineStr">
        <is>
          <t>ÖSTERGÖTLANDS LÄN</t>
        </is>
      </c>
      <c r="E701" t="inlineStr">
        <is>
          <t>FINSPÅNG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16868-2022</t>
        </is>
      </c>
      <c r="B702" s="1" t="n">
        <v>44675</v>
      </c>
      <c r="C702" s="1" t="n">
        <v>45849</v>
      </c>
      <c r="D702" t="inlineStr">
        <is>
          <t>ÖSTERGÖTLANDS LÄN</t>
        </is>
      </c>
      <c r="E702" t="inlineStr">
        <is>
          <t>FINSPÅNG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16869-2022</t>
        </is>
      </c>
      <c r="B703" s="1" t="n">
        <v>44675</v>
      </c>
      <c r="C703" s="1" t="n">
        <v>45849</v>
      </c>
      <c r="D703" t="inlineStr">
        <is>
          <t>ÖSTERGÖTLANDS LÄN</t>
        </is>
      </c>
      <c r="E703" t="inlineStr">
        <is>
          <t>FINSPÅNG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16872-2022</t>
        </is>
      </c>
      <c r="B704" s="1" t="n">
        <v>44675</v>
      </c>
      <c r="C704" s="1" t="n">
        <v>45849</v>
      </c>
      <c r="D704" t="inlineStr">
        <is>
          <t>ÖSTERGÖTLANDS LÄN</t>
        </is>
      </c>
      <c r="E704" t="inlineStr">
        <is>
          <t>FINSPÅNG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16901-2022</t>
        </is>
      </c>
      <c r="B705" s="1" t="n">
        <v>44676</v>
      </c>
      <c r="C705" s="1" t="n">
        <v>45849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17104-2022</t>
        </is>
      </c>
      <c r="B706" s="1" t="n">
        <v>44677</v>
      </c>
      <c r="C706" s="1" t="n">
        <v>45849</v>
      </c>
      <c r="D706" t="inlineStr">
        <is>
          <t>ÖSTERGÖTLANDS LÄN</t>
        </is>
      </c>
      <c r="E706" t="inlineStr">
        <is>
          <t>FINSPÅNG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17321-2022</t>
        </is>
      </c>
      <c r="B707" s="1" t="n">
        <v>44678</v>
      </c>
      <c r="C707" s="1" t="n">
        <v>45849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17413-2022</t>
        </is>
      </c>
      <c r="B708" s="1" t="n">
        <v>44678</v>
      </c>
      <c r="C708" s="1" t="n">
        <v>45849</v>
      </c>
      <c r="D708" t="inlineStr">
        <is>
          <t>ÖSTERGÖTLANDS LÄN</t>
        </is>
      </c>
      <c r="E708" t="inlineStr">
        <is>
          <t>FINSPÅNG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17412-2022</t>
        </is>
      </c>
      <c r="B709" s="1" t="n">
        <v>44678</v>
      </c>
      <c r="C709" s="1" t="n">
        <v>45849</v>
      </c>
      <c r="D709" t="inlineStr">
        <is>
          <t>ÖSTERGÖTLANDS LÄN</t>
        </is>
      </c>
      <c r="E709" t="inlineStr">
        <is>
          <t>FINSPÅNG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17557-2022</t>
        </is>
      </c>
      <c r="B710" s="1" t="n">
        <v>44679</v>
      </c>
      <c r="C710" s="1" t="n">
        <v>45849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Övriga Aktiebolag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17708-2022</t>
        </is>
      </c>
      <c r="B711" s="1" t="n">
        <v>44680</v>
      </c>
      <c r="C711" s="1" t="n">
        <v>45849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45849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45849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45849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45849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45849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45849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45849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45849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45849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45849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45849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45849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45849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45849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45849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45849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45849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45849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45849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45849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45849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45849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45849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45849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45849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45849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45849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45849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45849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45849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45849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45849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45849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45849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45849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45849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45849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45849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45849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45849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45849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45849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45849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45849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45849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45849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45849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45849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45849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45849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45849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45849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45849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45849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45849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45849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45849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45849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45849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45849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45849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45849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45849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45849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45849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45849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45849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45849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45849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45849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45849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45849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45849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45849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45849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45849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45849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45849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45849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45849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45849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45849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45849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45849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45849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45849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45849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45849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45849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45849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45849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45849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45849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45849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45849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45849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45849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45849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45849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45849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45849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45849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45849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45849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45849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45849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45849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45849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45849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45849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45849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45849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45849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45849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45849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45849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45849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45849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45849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45849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45849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45849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45849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45849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45849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45849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45849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45849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45849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45849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45849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45849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45849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45849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45849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45849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45849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45849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45849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45849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45849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45849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45849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45849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45849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45849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45849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45849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45849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45849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45849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45849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45849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45849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45849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45849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45849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45849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45849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45849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45849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45849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45849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45849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45849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45849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45849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45849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45849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45849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45849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45849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45849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45849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45849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45849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45849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45849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45849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45849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45849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45849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45849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45849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45849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45849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45849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45849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45849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45849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45849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45849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45849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45849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45849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45849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45849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45849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45849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45849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45849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45849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45849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45849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45849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45849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45849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45849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45849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45849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45849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45849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45849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45849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45849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45849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45849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45849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45849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45849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45849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45849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45849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45849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45849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45849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45849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45849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45849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45849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45849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45849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45849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45849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45849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45849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45849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45849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45849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45849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45849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45849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45849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45849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45849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45849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45849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45849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45849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45849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45849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45849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45849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45849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45849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45849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45849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45849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45849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45849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45849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45849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45849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45849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45849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45849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45849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45849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45849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45849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45849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45849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45849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45849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45849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45849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45849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45849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45849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45849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45849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45849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45849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45849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45849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45849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45849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45849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45849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45849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45849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45849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45849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45849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45849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45849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45849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45849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45849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45849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45849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45849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45849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45849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45849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45849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45849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45849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45849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45849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45849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45849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45849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45849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45849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45849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45849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45849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45849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45849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45849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45849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45849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45849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45849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45849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45849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45849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45849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45849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45849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45849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45849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45849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45849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45849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45849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45849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45849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45849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45849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45849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45849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45849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45849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45849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45849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45849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45849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45849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45849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45849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45849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45849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45849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45849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45849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45849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45849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45849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45849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45849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45849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45849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45849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45849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45849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45849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45849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45849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45849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45849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45849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45849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45849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45849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45849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45849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45849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45849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45849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45849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45849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45849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45849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45849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45849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45849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45849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45849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45849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45849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45849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45849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45849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45849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45849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45849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45849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45849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45849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45849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45849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45849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45849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45849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45849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45849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45849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45849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45849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45849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45849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45849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45849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45849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45849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45849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45849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45849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45849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45849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45849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45849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45849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45849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45849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45849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45849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45849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45849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45849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45849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45849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45849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45849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45849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45849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45849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45849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45849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45849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45849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45849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45849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45849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45849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45849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45849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45849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45849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45849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45849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45849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45849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45849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45849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45849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45849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45849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45849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45849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45849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45849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45849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45849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45849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45849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45849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45849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45849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45849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45849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45849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45849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45849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45849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45849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45849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45849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45849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45849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45849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45849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45849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45849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45849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45849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45849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45849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45849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45849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45849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45849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45849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45849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45849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45849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45849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45849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45849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45849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45849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45849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45849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45849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45849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45849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45849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45849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45849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45849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45849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45849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45849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45849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45849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45849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45849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45849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45849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45849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45849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45849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45849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45849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45849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45849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45849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45849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45849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45849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45849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45849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45849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45849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45849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45849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45849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45849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45849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45849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45849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45849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45849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45849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45849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45849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45849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45849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45849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45849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45849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45849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45849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45849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45849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45849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45849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45849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45849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45849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45849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45849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45849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45849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45849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45849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45849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45849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45849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45849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45849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45849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45849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45849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45849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45849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45849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45849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45849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45849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45849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45849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45849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45849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45849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45849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45849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45849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45849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45849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45849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45849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45849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45849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45849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45849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45849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45849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45849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45849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45849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45849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45849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45849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45849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45849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45849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45849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45849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45849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45849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45849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45849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45849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45849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45849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45849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45849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45849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45849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45849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45849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45849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45849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45849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45849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45849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45849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45849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45849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45849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45849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45849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45849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45849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45849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45849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45849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45849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45849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45849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45849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45849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45849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45849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45849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45849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45849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45849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45849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45849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45849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45849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45849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45849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45849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45849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45849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45849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45849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45849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45849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45849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45849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45849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45849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45849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45849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45849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45849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45849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45849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45849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45849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45849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45849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45849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45849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45849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45849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45849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45849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45849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45849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45849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45849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45849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45849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45849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45849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45849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45849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45849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45849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45849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45849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45849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45849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45849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45849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45849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45849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45849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45849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45849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45849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45849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45849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45849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45849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45849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45849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45849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45849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45849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45849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45849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45849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45849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45849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45849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45849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45849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45849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45849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45849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45849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45849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45849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45849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45849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45849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45849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45849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45849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45849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45849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45849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45849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45849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45849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45849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45849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45849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45849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45849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45849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45849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45849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45849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45849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45849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45849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45849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45849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45849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45849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45849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45849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45849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45849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45849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45849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45849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45849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45849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45849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45849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45849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45849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45849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45849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45849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45849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45849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45849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45849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45849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45849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45849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45849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45849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45849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45849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45849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45849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45849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45849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45849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45849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45849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45849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45849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45849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45849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45849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45849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45849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45849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45849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45849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45849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45849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45849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45849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45849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45849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45849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45849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45849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45849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45849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45849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45849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45849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45849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45849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45849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45849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45849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45849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45849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45849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45849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45849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45849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45849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45849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45849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45849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45849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45849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45849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45849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45849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45849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45849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45849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45849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45849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45849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45849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45849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45849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45849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45849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45849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45849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45849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45849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45849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45849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45849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45849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45849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45849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45849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45849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45849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45849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45849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45849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45849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45849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45849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45849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45849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45849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45849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45849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45849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45849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45849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45849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45849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45849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45849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45849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45849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45849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45849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45849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45849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45849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45849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45849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45849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45849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45849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45849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45849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45849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45849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45849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45849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45849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45849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45849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45849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45849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45849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45849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45849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45849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45849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45849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45849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45849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45849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45849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45849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45849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45849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45849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45849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45849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45849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45849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45849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45849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45849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45849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45849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45849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45849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45849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45849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45849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45849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45849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45849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45849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45849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45849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45849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45849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45849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45849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45849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45849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45849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45849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45849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45849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45849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45849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45849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45849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45849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45849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45849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45849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45849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45849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45849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45849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45849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45849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45849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45849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45849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45849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45849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45849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45849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45849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45849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45849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45849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45849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45849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45849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45849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45849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45849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45849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45849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45849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45849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45849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45849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45849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45849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45849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45849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45849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45849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45849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45849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45849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45849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45849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45849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45849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45849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45849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45849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45849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45849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45849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45849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45849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45849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45849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45849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45849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45849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45849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45849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45849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45849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45849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45849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45849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45849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45849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45849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45849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45849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45849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45849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45849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45849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45849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45849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45849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45849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45849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45849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45849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45849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45849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45849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45849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45849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45849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45849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45849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45849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45849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45849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45849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45849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45849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45849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45849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45849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45849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45849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45849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45849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45849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45849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45849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45849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45849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45849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45849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45849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45849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45849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45849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45849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45849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45849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45849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45849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45849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45849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45849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45849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45849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45849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45849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45849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45849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45849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45849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45849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45849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45849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45849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45849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45849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45849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45849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45849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45849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45849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45849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45849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45849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45849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45849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45849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28428-2025</t>
        </is>
      </c>
      <c r="B1809" s="1" t="n">
        <v>45819</v>
      </c>
      <c r="C1809" s="1" t="n">
        <v>45849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45849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45849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28905-2025</t>
        </is>
      </c>
      <c r="B1812" s="1" t="n">
        <v>45820</v>
      </c>
      <c r="C1812" s="1" t="n">
        <v>45849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28880-2025</t>
        </is>
      </c>
      <c r="B1813" s="1" t="n">
        <v>45820</v>
      </c>
      <c r="C1813" s="1" t="n">
        <v>45849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28792-2025</t>
        </is>
      </c>
      <c r="B1814" s="1" t="n">
        <v>45820</v>
      </c>
      <c r="C1814" s="1" t="n">
        <v>45849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28913-2025</t>
        </is>
      </c>
      <c r="B1815" s="1" t="n">
        <v>45820</v>
      </c>
      <c r="C1815" s="1" t="n">
        <v>45849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45849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45849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45849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45849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45849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45849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31043-2025</t>
        </is>
      </c>
      <c r="B1822" s="1" t="n">
        <v>45831</v>
      </c>
      <c r="C1822" s="1" t="n">
        <v>45849</v>
      </c>
      <c r="D1822" t="inlineStr">
        <is>
          <t>ÖSTERGÖTLANDS LÄN</t>
        </is>
      </c>
      <c r="E1822" t="inlineStr">
        <is>
          <t>FINSPÅNG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31055-2025</t>
        </is>
      </c>
      <c r="B1823" s="1" t="n">
        <v>45831</v>
      </c>
      <c r="C1823" s="1" t="n">
        <v>45849</v>
      </c>
      <c r="D1823" t="inlineStr">
        <is>
          <t>ÖSTERGÖTLANDS LÄN</t>
        </is>
      </c>
      <c r="E1823" t="inlineStr">
        <is>
          <t>FINSPÅNG</t>
        </is>
      </c>
      <c r="G1823" t="n">
        <v>10.9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30647-2025</t>
        </is>
      </c>
      <c r="B1824" s="1" t="n">
        <v>45831</v>
      </c>
      <c r="C1824" s="1" t="n">
        <v>45849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31053-2025</t>
        </is>
      </c>
      <c r="B1825" s="1" t="n">
        <v>45831</v>
      </c>
      <c r="C1825" s="1" t="n">
        <v>45849</v>
      </c>
      <c r="D1825" t="inlineStr">
        <is>
          <t>ÖSTERGÖTLANDS LÄN</t>
        </is>
      </c>
      <c r="E1825" t="inlineStr">
        <is>
          <t>FINSPÅNG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45849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45849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45849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32740-2025</t>
        </is>
      </c>
      <c r="B1829" s="1" t="n">
        <v>45839</v>
      </c>
      <c r="C1829" s="1" t="n">
        <v>45849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33004-2025</t>
        </is>
      </c>
      <c r="B1830" s="1" t="n">
        <v>45840</v>
      </c>
      <c r="C1830" s="1" t="n">
        <v>45849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33159-2025</t>
        </is>
      </c>
      <c r="B1831" s="1" t="n">
        <v>45840</v>
      </c>
      <c r="C1831" s="1" t="n">
        <v>45849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33018-2025</t>
        </is>
      </c>
      <c r="B1832" s="1" t="n">
        <v>45840</v>
      </c>
      <c r="C1832" s="1" t="n">
        <v>45849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34220-2025</t>
        </is>
      </c>
      <c r="B1833" s="1" t="n">
        <v>45845</v>
      </c>
      <c r="C1833" s="1" t="n">
        <v>45849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Holmen skog AB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34119-2025</t>
        </is>
      </c>
      <c r="B1834" s="1" t="n">
        <v>45845</v>
      </c>
      <c r="C1834" s="1" t="n">
        <v>45849</v>
      </c>
      <c r="D1834" t="inlineStr">
        <is>
          <t>ÖSTERGÖTLANDS LÄN</t>
        </is>
      </c>
      <c r="E1834" t="inlineStr">
        <is>
          <t>FINSPÅNG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34172-2025</t>
        </is>
      </c>
      <c r="B1835" s="1" t="n">
        <v>45845</v>
      </c>
      <c r="C1835" s="1" t="n">
        <v>45849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34417-2025</t>
        </is>
      </c>
      <c r="B1836" s="1" t="n">
        <v>45846</v>
      </c>
      <c r="C1836" s="1" t="n">
        <v>45849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34310-2025</t>
        </is>
      </c>
      <c r="B1837" s="1" t="n">
        <v>45846</v>
      </c>
      <c r="C1837" s="1" t="n">
        <v>45849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Holmen skog AB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>
      <c r="A1838" t="inlineStr">
        <is>
          <t>A 34309-2025</t>
        </is>
      </c>
      <c r="B1838" s="1" t="n">
        <v>45846</v>
      </c>
      <c r="C1838" s="1" t="n">
        <v>45849</v>
      </c>
      <c r="D1838" t="inlineStr">
        <is>
          <t>ÖSTERGÖTLANDS LÄN</t>
        </is>
      </c>
      <c r="E1838" t="inlineStr">
        <is>
          <t>FINSPÅNG</t>
        </is>
      </c>
      <c r="F1838" t="inlineStr">
        <is>
          <t>Holmen skog AB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2025-07-11T19:49:15Z</dcterms:created>
  <dcterms:modified xmlns:dcterms="http://purl.org/dc/terms/" xmlns:xsi="http://www.w3.org/2001/XMLSchema-instance" xsi:type="dcterms:W3CDTF">2025-07-11T19:49:16Z</dcterms:modified>
</cp:coreProperties>
</file>