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46297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46297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46297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46297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46297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46297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46297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46297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46297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46297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46297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46297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46297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46297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46297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46297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46297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46297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46297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46297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46297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46297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46297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46297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46297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46297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46297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46297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46297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46297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46297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46297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46297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46297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46297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46297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46297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46297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46297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21566-2024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45441</v>
      </c>
      <c r="E41" s="1" t="n">
        <v>46297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5.8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Tallticka
Blompraktbagge</t>
        </is>
      </c>
      <c r="W41">
        <f>HYPERLINK("https://klasma.github.io/Logging_0562/artfynd/A 21566-2024 artfynd.xlsx", "A 21566-2024")</f>
        <v/>
      </c>
      <c r="X41">
        <f>HYPERLINK("https://klasma.github.io/Logging_0562/kartor/A 21566-2024 karta.png", "A 21566-2024")</f>
        <v/>
      </c>
      <c r="Y41">
        <f>HYPERLINK("https://klasma.github.io/Logging_0562/kartor_geotiff/A 21566-2024 georefererad karta.tif", "A 21566-2024")</f>
        <v/>
      </c>
      <c r="AA41">
        <f>HYPERLINK("https://klasma.github.io/Logging_0562/klagomål/A 21566-2024 FSC-klagomål.docx", "A 21566-2024")</f>
        <v/>
      </c>
      <c r="AB41">
        <f>HYPERLINK("https://klasma.github.io/Logging_0562/klagomålsmail/A 21566-2024 FSC-klagomål mail.docx", "A 21566-2024")</f>
        <v/>
      </c>
      <c r="AC41">
        <f>HYPERLINK("https://klasma.github.io/Logging_0562/tillsyn/A 21566-2024 tillsynsbegäran.docx", "A 21566-2024")</f>
        <v/>
      </c>
      <c r="AD41">
        <f>HYPERLINK("https://klasma.github.io/Logging_0562/tillsynsmail/A 21566-2024 tillsynsbegäran mail.docx", "A 21566-2024")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46297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46297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46297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46297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46297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46297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46297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46297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46297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46297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46297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46297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46297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42366-2025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46297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Vit vedfingersvamp</t>
        </is>
      </c>
      <c r="W55">
        <f>HYPERLINK("https://klasma.github.io/Logging_0562/artfynd/A 42366-2025 artfynd.xlsx", "A 42366-2025")</f>
        <v/>
      </c>
      <c r="X55">
        <f>HYPERLINK("https://klasma.github.io/Logging_0562/kartor/A 42366-2025 karta.png", "A 42366-2025")</f>
        <v/>
      </c>
      <c r="Y55">
        <f>HYPERLINK("https://klasma.github.io/Logging_0562/kartor_geotiff/A 42366-2025 georefererad karta.tif", "A 42366-2025")</f>
        <v/>
      </c>
      <c r="AA55">
        <f>HYPERLINK("https://klasma.github.io/Logging_0562/klagomål/A 42366-2025 FSC-klagomål.docx", "A 42366-2025")</f>
        <v/>
      </c>
      <c r="AB55">
        <f>HYPERLINK("https://klasma.github.io/Logging_0562/klagomålsmail/A 42366-2025 FSC-klagomål mail.docx", "A 42366-2025")</f>
        <v/>
      </c>
      <c r="AC55">
        <f>HYPERLINK("https://klasma.github.io/Logging_0562/tillsyn/A 42366-2025 tillsynsbegäran.docx", "A 42366-2025")</f>
        <v/>
      </c>
      <c r="AD55">
        <f>HYPERLINK("https://klasma.github.io/Logging_0562/tillsynsmail/A 42366-2025 tillsynsbegäran mail.docx", "A 42366-2025")</f>
        <v/>
      </c>
    </row>
    <row r="56" ht="15" customHeight="1">
      <c r="A56" t="inlineStr">
        <is>
          <t>A 7265-2026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46058</v>
      </c>
      <c r="E56" s="1" t="n">
        <v>46297</v>
      </c>
      <c r="F56" t="inlineStr">
        <is>
          <t>ÖSTERGÖTLANDS LÄN</t>
        </is>
      </c>
      <c r="G56" t="inlineStr">
        <is>
          <t>FINSPÅNG</t>
        </is>
      </c>
      <c r="H56" t="inlineStr">
        <is>
          <t>Övriga Aktiebolag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Havsörn</t>
        </is>
      </c>
      <c r="W56">
        <f>HYPERLINK("https://klasma.github.io/Logging_0562/artfynd/A 7265-2026 artfynd.xlsx", "A 7265-2026")</f>
        <v/>
      </c>
      <c r="X56">
        <f>HYPERLINK("https://klasma.github.io/Logging_0562/kartor/A 7265-2026 karta.png", "A 7265-2026")</f>
        <v/>
      </c>
      <c r="Y56">
        <f>HYPERLINK("https://klasma.github.io/Logging_0562/kartor_geotiff/A 7265-2026 georefererad karta.tif", "A 7265-2026")</f>
        <v/>
      </c>
      <c r="AA56">
        <f>HYPERLINK("https://klasma.github.io/Logging_0562/klagomål/A 7265-2026 FSC-klagomål.docx", "A 7265-2026")</f>
        <v/>
      </c>
      <c r="AB56">
        <f>HYPERLINK("https://klasma.github.io/Logging_0562/klagomålsmail/A 7265-2026 FSC-klagomål mail.docx", "A 7265-2026")</f>
        <v/>
      </c>
      <c r="AC56">
        <f>HYPERLINK("https://klasma.github.io/Logging_0562/tillsyn/A 7265-2026 tillsynsbegäran.docx", "A 7265-2026")</f>
        <v/>
      </c>
      <c r="AD56">
        <f>HYPERLINK("https://klasma.github.io/Logging_0562/tillsynsmail/A 7265-2026 tillsynsbegäran mail.docx", "A 7265-2026")</f>
        <v/>
      </c>
      <c r="AE56">
        <f>HYPERLINK("https://klasma.github.io/Logging_0562/fåglar/A 7265-2026 prioriterade fågelarter.docx", "A 7265-2026")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46297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61104-2022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44915</v>
      </c>
      <c r="E58" s="1" t="n">
        <v>46297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Tallticka</t>
        </is>
      </c>
      <c r="W58">
        <f>HYPERLINK("https://klasma.github.io/Logging_0562/artfynd/A 61104-2022 artfynd.xlsx", "A 61104-2022")</f>
        <v/>
      </c>
      <c r="X58">
        <f>HYPERLINK("https://klasma.github.io/Logging_0562/kartor/A 61104-2022 karta.png", "A 61104-2022")</f>
        <v/>
      </c>
      <c r="Y58">
        <f>HYPERLINK("https://klasma.github.io/Logging_0562/kartor_geotiff/A 61104-2022 georefererad karta.tif", "A 61104-2022")</f>
        <v/>
      </c>
      <c r="AA58">
        <f>HYPERLINK("https://klasma.github.io/Logging_0562/klagomål/A 61104-2022 FSC-klagomål.docx", "A 61104-2022")</f>
        <v/>
      </c>
      <c r="AB58">
        <f>HYPERLINK("https://klasma.github.io/Logging_0562/klagomålsmail/A 61104-2022 FSC-klagomål mail.docx", "A 61104-2022")</f>
        <v/>
      </c>
      <c r="AC58">
        <f>HYPERLINK("https://klasma.github.io/Logging_0562/tillsyn/A 61104-2022 tillsynsbegäran.docx", "A 61104-2022")</f>
        <v/>
      </c>
      <c r="AD58">
        <f>HYPERLINK("https://klasma.github.io/Logging_0562/tillsynsmail/A 61104-2022 tillsynsbegäran mail.docx", "A 61104-2022")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46297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46297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4644-2024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45328</v>
      </c>
      <c r="E61" s="1" t="n">
        <v>46297</v>
      </c>
      <c r="F61" t="inlineStr">
        <is>
          <t>ÖSTERGÖTLANDS LÄN</t>
        </is>
      </c>
      <c r="G61" t="inlineStr">
        <is>
          <t>FINSPÅNG</t>
        </is>
      </c>
      <c r="I61" t="n">
        <v>5.3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Kungsörn</t>
        </is>
      </c>
      <c r="W61">
        <f>HYPERLINK("https://klasma.github.io/Logging_0562/artfynd/A 4644-2024 artfynd.xlsx", "A 4644-2024")</f>
        <v/>
      </c>
      <c r="X61">
        <f>HYPERLINK("https://klasma.github.io/Logging_0562/kartor/A 4644-2024 karta.png", "A 4644-2024")</f>
        <v/>
      </c>
      <c r="Y61">
        <f>HYPERLINK("https://klasma.github.io/Logging_0562/kartor_geotiff/A 4644-2024 georefererad karta.tif", "A 4644-2024")</f>
        <v/>
      </c>
      <c r="AA61">
        <f>HYPERLINK("https://klasma.github.io/Logging_0562/klagomål/A 4644-2024 FSC-klagomål.docx", "A 4644-2024")</f>
        <v/>
      </c>
      <c r="AB61">
        <f>HYPERLINK("https://klasma.github.io/Logging_0562/klagomålsmail/A 4644-2024 FSC-klagomål mail.docx", "A 4644-2024")</f>
        <v/>
      </c>
      <c r="AC61">
        <f>HYPERLINK("https://klasma.github.io/Logging_0562/tillsyn/A 4644-2024 tillsynsbegäran.docx", "A 4644-2024")</f>
        <v/>
      </c>
      <c r="AD61">
        <f>HYPERLINK("https://klasma.github.io/Logging_0562/tillsynsmail/A 4644-2024 tillsynsbegäran mail.docx", "A 4644-2024")</f>
        <v/>
      </c>
      <c r="AE61">
        <f>HYPERLINK("https://klasma.github.io/Logging_0562/fåglar/A 4644-2024 prioriterade fågelarter.docx", "A 4644-2024")</f>
        <v/>
      </c>
    </row>
    <row r="62" ht="15" customHeight="1">
      <c r="A62" t="inlineStr">
        <is>
          <t>A 18915-2026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46297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HYPERLINK("https://klasma.github.io/Logging_0562/artfynd/A 18915-2026 artfynd.xlsx", "A 18915-2026")</f>
        <v/>
      </c>
      <c r="X62">
        <f>HYPERLINK("https://klasma.github.io/Logging_0562/kartor/A 18915-2026 karta.png", "A 18915-2026")</f>
        <v/>
      </c>
      <c r="Y62">
        <f>HYPERLINK("https://klasma.github.io/Logging_0562/kartor_geotiff/A 18915-2026 georefererad karta.tif", "A 18915-2026")</f>
        <v/>
      </c>
      <c r="AA62">
        <f>HYPERLINK("https://klasma.github.io/Logging_0562/klagomål/A 18915-2026 FSC-klagomål.docx", "A 18915-2026")</f>
        <v/>
      </c>
      <c r="AB62">
        <f>HYPERLINK("https://klasma.github.io/Logging_0562/klagomålsmail/A 18915-2026 FSC-klagomål mail.docx", "A 18915-2026")</f>
        <v/>
      </c>
      <c r="AC62">
        <f>HYPERLINK("https://klasma.github.io/Logging_0562/tillsyn/A 18915-2026 tillsynsbegäran.docx", "A 18915-2026")</f>
        <v/>
      </c>
      <c r="AD62">
        <f>HYPERLINK("https://klasma.github.io/Logging_0562/tillsynsmail/A 18915-2026 tillsynsbegäran mail.docx", "A 18915-2026")</f>
        <v/>
      </c>
      <c r="AE62">
        <f>HYPERLINK("https://klasma.github.io/Logging_0562/fåglar/A 18915-2026 prioriterade fågelarter.docx", "A 18915-2026")</f>
        <v/>
      </c>
    </row>
    <row r="63" ht="15" customHeight="1">
      <c r="A63" t="inlineStr">
        <is>
          <t>A 53673-2024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46297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HYPERLINK("https://klasma.github.io/Logging_0562/artfynd/A 53673-2024 artfynd.xlsx", "A 53673-2024")</f>
        <v/>
      </c>
      <c r="X63">
        <f>HYPERLINK("https://klasma.github.io/Logging_0562/kartor/A 53673-2024 karta.png", "A 53673-2024")</f>
        <v/>
      </c>
      <c r="Y63">
        <f>HYPERLINK("https://klasma.github.io/Logging_0562/kartor_geotiff/A 53673-2024 georefererad karta.tif", "A 53673-2024")</f>
        <v/>
      </c>
      <c r="Z63">
        <f>HYPERLINK("https://klasma.github.io/Logging_0562/knärot/A 53673-2024 karta knärot.png", "A 53673-2024")</f>
        <v/>
      </c>
      <c r="AA63">
        <f>HYPERLINK("https://klasma.github.io/Logging_0562/klagomål/A 53673-2024 FSC-klagomål.docx", "A 53673-2024")</f>
        <v/>
      </c>
      <c r="AB63">
        <f>HYPERLINK("https://klasma.github.io/Logging_0562/klagomålsmail/A 53673-2024 FSC-klagomål mail.docx", "A 53673-2024")</f>
        <v/>
      </c>
      <c r="AC63">
        <f>HYPERLINK("https://klasma.github.io/Logging_0562/tillsyn/A 53673-2024 tillsynsbegäran.docx", "A 53673-2024")</f>
        <v/>
      </c>
      <c r="AD63">
        <f>HYPERLINK("https://klasma.github.io/Logging_0562/tillsynsmail/A 53673-2024 tillsynsbegäran mail.docx", "A 53673-2024")</f>
        <v/>
      </c>
    </row>
    <row r="64" ht="15" customHeight="1">
      <c r="A64" t="inlineStr">
        <is>
          <t>A 3941-2026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46297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HYPERLINK("https://klasma.github.io/Logging_0562/artfynd/A 3941-2026 artfynd.xlsx", "A 3941-2026")</f>
        <v/>
      </c>
      <c r="X64">
        <f>HYPERLINK("https://klasma.github.io/Logging_0562/kartor/A 3941-2026 karta.png", "A 3941-2026")</f>
        <v/>
      </c>
      <c r="Y64">
        <f>HYPERLINK("https://klasma.github.io/Logging_0562/kartor_geotiff/A 3941-2026 georefererad karta.tif", "A 3941-2026")</f>
        <v/>
      </c>
      <c r="AA64">
        <f>HYPERLINK("https://klasma.github.io/Logging_0562/klagomål/A 3941-2026 FSC-klagomål.docx", "A 3941-2026")</f>
        <v/>
      </c>
      <c r="AB64">
        <f>HYPERLINK("https://klasma.github.io/Logging_0562/klagomålsmail/A 3941-2026 FSC-klagomål mail.docx", "A 3941-2026")</f>
        <v/>
      </c>
      <c r="AC64">
        <f>HYPERLINK("https://klasma.github.io/Logging_0562/tillsyn/A 3941-2026 tillsynsbegäran.docx", "A 3941-2026")</f>
        <v/>
      </c>
      <c r="AD64">
        <f>HYPERLINK("https://klasma.github.io/Logging_0562/tillsynsmail/A 3941-2026 tillsynsbegäran mail.docx", "A 3941-2026")</f>
        <v/>
      </c>
      <c r="AE64">
        <f>HYPERLINK("https://klasma.github.io/Logging_0562/fåglar/A 3941-2026 prioriterade fågelarter.docx", "A 3941-2026")</f>
        <v/>
      </c>
    </row>
    <row r="65" ht="15" customHeight="1">
      <c r="A65" t="inlineStr">
        <is>
          <t>A 22555-2024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46297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Hasselsnok</t>
        </is>
      </c>
      <c r="W65">
        <f>HYPERLINK("https://klasma.github.io/Logging_0562/artfynd/A 22555-2024 artfynd.xlsx", "A 22555-2024")</f>
        <v/>
      </c>
      <c r="X65">
        <f>HYPERLINK("https://klasma.github.io/Logging_0562/kartor/A 22555-2024 karta.png", "A 22555-2024")</f>
        <v/>
      </c>
      <c r="Y65">
        <f>HYPERLINK("https://klasma.github.io/Logging_0562/kartor_geotiff/A 22555-2024 georefererad karta.tif", "A 22555-2024")</f>
        <v/>
      </c>
      <c r="AA65">
        <f>HYPERLINK("https://klasma.github.io/Logging_0562/klagomål/A 22555-2024 FSC-klagomål.docx", "A 22555-2024")</f>
        <v/>
      </c>
      <c r="AB65">
        <f>HYPERLINK("https://klasma.github.io/Logging_0562/klagomålsmail/A 22555-2024 FSC-klagomål mail.docx", "A 22555-2024")</f>
        <v/>
      </c>
      <c r="AC65">
        <f>HYPERLINK("https://klasma.github.io/Logging_0562/tillsyn/A 22555-2024 tillsynsbegäran.docx", "A 22555-2024")</f>
        <v/>
      </c>
      <c r="AD65">
        <f>HYPERLINK("https://klasma.github.io/Logging_0562/tillsynsmail/A 22555-2024 tillsynsbegäran mail.docx", "A 22555-2024")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46297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46297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34310-2025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45846</v>
      </c>
      <c r="E68" s="1" t="n">
        <v>46297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Revlummer</t>
        </is>
      </c>
      <c r="W68">
        <f>HYPERLINK("https://klasma.github.io/Logging_0562/artfynd/A 34310-2025 artfynd.xlsx", "A 34310-2025")</f>
        <v/>
      </c>
      <c r="X68">
        <f>HYPERLINK("https://klasma.github.io/Logging_0562/kartor/A 34310-2025 karta.png", "A 34310-2025")</f>
        <v/>
      </c>
      <c r="Y68">
        <f>HYPERLINK("https://klasma.github.io/Logging_0562/kartor_geotiff/A 34310-2025 georefererad karta.tif", "A 34310-2025")</f>
        <v/>
      </c>
      <c r="AA68">
        <f>HYPERLINK("https://klasma.github.io/Logging_0562/klagomål/A 34310-2025 FSC-klagomål.docx", "A 34310-2025")</f>
        <v/>
      </c>
      <c r="AB68">
        <f>HYPERLINK("https://klasma.github.io/Logging_0562/klagomålsmail/A 34310-2025 FSC-klagomål mail.docx", "A 34310-2025")</f>
        <v/>
      </c>
      <c r="AC68">
        <f>HYPERLINK("https://klasma.github.io/Logging_0562/tillsyn/A 34310-2025 tillsynsbegäran.docx", "A 34310-2025")</f>
        <v/>
      </c>
      <c r="AD68">
        <f>HYPERLINK("https://klasma.github.io/Logging_0562/tillsynsmail/A 34310-2025 tillsynsbegäran mail.docx", "A 34310-2025")</f>
        <v/>
      </c>
    </row>
    <row r="69" ht="15" customHeight="1">
      <c r="A69" t="inlineStr">
        <is>
          <t>A 34220-2025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45845</v>
      </c>
      <c r="E69" s="1" t="n">
        <v>46297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0.6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Tibast</t>
        </is>
      </c>
      <c r="W69">
        <f>HYPERLINK("https://klasma.github.io/Logging_0562/artfynd/A 34220-2025 artfynd.xlsx", "A 34220-2025")</f>
        <v/>
      </c>
      <c r="X69">
        <f>HYPERLINK("https://klasma.github.io/Logging_0562/kartor/A 34220-2025 karta.png", "A 34220-2025")</f>
        <v/>
      </c>
      <c r="Y69">
        <f>HYPERLINK("https://klasma.github.io/Logging_0562/kartor_geotiff/A 34220-2025 georefererad karta.tif", "A 34220-2025")</f>
        <v/>
      </c>
      <c r="AA69">
        <f>HYPERLINK("https://klasma.github.io/Logging_0562/klagomål/A 34220-2025 FSC-klagomål.docx", "A 34220-2025")</f>
        <v/>
      </c>
      <c r="AB69">
        <f>HYPERLINK("https://klasma.github.io/Logging_0562/klagomålsmail/A 34220-2025 FSC-klagomål mail.docx", "A 34220-2025")</f>
        <v/>
      </c>
      <c r="AC69">
        <f>HYPERLINK("https://klasma.github.io/Logging_0562/tillsyn/A 34220-2025 tillsynsbegäran.docx", "A 34220-2025")</f>
        <v/>
      </c>
      <c r="AD69">
        <f>HYPERLINK("https://klasma.github.io/Logging_0562/tillsynsmail/A 34220-2025 tillsynsbegäran mail.docx", "A 34220-2025")</f>
        <v/>
      </c>
    </row>
    <row r="70" ht="15" customHeight="1">
      <c r="A70" t="inlineStr">
        <is>
          <t>A 22439-2023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45070</v>
      </c>
      <c r="E70" s="1" t="n">
        <v>46297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Hasselsnok</t>
        </is>
      </c>
      <c r="W70">
        <f>HYPERLINK("https://klasma.github.io/Logging_0562/artfynd/A 22439-2023 artfynd.xlsx", "A 22439-2023")</f>
        <v/>
      </c>
      <c r="X70">
        <f>HYPERLINK("https://klasma.github.io/Logging_0562/kartor/A 22439-2023 karta.png", "A 22439-2023")</f>
        <v/>
      </c>
      <c r="Y70">
        <f>HYPERLINK("https://klasma.github.io/Logging_0562/kartor_geotiff/A 22439-2023 georefererad karta.tif", "A 22439-2023")</f>
        <v/>
      </c>
      <c r="AA70">
        <f>HYPERLINK("https://klasma.github.io/Logging_0562/klagomål/A 22439-2023 FSC-klagomål.docx", "A 22439-2023")</f>
        <v/>
      </c>
      <c r="AB70">
        <f>HYPERLINK("https://klasma.github.io/Logging_0562/klagomålsmail/A 22439-2023 FSC-klagomål mail.docx", "A 22439-2023")</f>
        <v/>
      </c>
      <c r="AC70">
        <f>HYPERLINK("https://klasma.github.io/Logging_0562/tillsyn/A 22439-2023 tillsynsbegäran.docx", "A 22439-2023")</f>
        <v/>
      </c>
      <c r="AD70">
        <f>HYPERLINK("https://klasma.github.io/Logging_0562/tillsynsmail/A 22439-2023 tillsynsbegäran mail.docx", "A 22439-2023")</f>
        <v/>
      </c>
    </row>
    <row r="71" ht="15" customHeight="1">
      <c r="A71" t="inlineStr">
        <is>
          <t>A 37748-2025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45880</v>
      </c>
      <c r="E71" s="1" t="n">
        <v>46297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HYPERLINK("https://klasma.github.io/Logging_0562/artfynd/A 37748-2025 artfynd.xlsx", "A 37748-2025")</f>
        <v/>
      </c>
      <c r="X71">
        <f>HYPERLINK("https://klasma.github.io/Logging_0562/kartor/A 37748-2025 karta.png", "A 37748-2025")</f>
        <v/>
      </c>
      <c r="Y71">
        <f>HYPERLINK("https://klasma.github.io/Logging_0562/kartor_geotiff/A 37748-2025 georefererad karta.tif", "A 37748-2025")</f>
        <v/>
      </c>
      <c r="AA71">
        <f>HYPERLINK("https://klasma.github.io/Logging_0562/klagomål/A 37748-2025 FSC-klagomål.docx", "A 37748-2025")</f>
        <v/>
      </c>
      <c r="AB71">
        <f>HYPERLINK("https://klasma.github.io/Logging_0562/klagomålsmail/A 37748-2025 FSC-klagomål mail.docx", "A 37748-2025")</f>
        <v/>
      </c>
      <c r="AC71">
        <f>HYPERLINK("https://klasma.github.io/Logging_0562/tillsyn/A 37748-2025 tillsynsbegäran.docx", "A 37748-2025")</f>
        <v/>
      </c>
      <c r="AD71">
        <f>HYPERLINK("https://klasma.github.io/Logging_0562/tillsynsmail/A 37748-2025 tillsynsbegäran mail.docx", "A 37748-2025")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46297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Tjäder</t>
        </is>
      </c>
      <c r="W72">
        <f>HYPERLINK("https://klasma.github.io/Logging_0562/artfynd/A 6407-2023 artfynd.xlsx", "A 6407-2023")</f>
        <v/>
      </c>
      <c r="X72">
        <f>HYPERLINK("https://klasma.github.io/Logging_0562/kartor/A 6407-2023 karta.png", "A 6407-2023")</f>
        <v/>
      </c>
      <c r="Y72">
        <f>HYPERLINK("https://klasma.github.io/Logging_0562/kartor_geotiff/A 6407-2023 georefererad karta.tif", "A 6407-2023")</f>
        <v/>
      </c>
      <c r="AA72">
        <f>HYPERLINK("https://klasma.github.io/Logging_0562/klagomål/A 6407-2023 FSC-klagomål.docx", "A 6407-2023")</f>
        <v/>
      </c>
      <c r="AB72">
        <f>HYPERLINK("https://klasma.github.io/Logging_0562/klagomålsmail/A 6407-2023 FSC-klagomål mail.docx", "A 6407-2023")</f>
        <v/>
      </c>
      <c r="AC72">
        <f>HYPERLINK("https://klasma.github.io/Logging_0562/tillsyn/A 6407-2023 tillsynsbegäran.docx", "A 6407-2023")</f>
        <v/>
      </c>
      <c r="AD72">
        <f>HYPERLINK("https://klasma.github.io/Logging_0562/tillsynsmail/A 6407-2023 tillsynsbegäran mail.docx", "A 6407-2023")</f>
        <v/>
      </c>
      <c r="AE72">
        <f>HYPERLINK("https://klasma.github.io/Logging_0562/fåglar/A 6407-2023 prioriterade fågelarter.docx", "A 6407-2023")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46297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27456-2026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46189</v>
      </c>
      <c r="E74" s="1" t="n">
        <v>46297</v>
      </c>
      <c r="F74" t="inlineStr">
        <is>
          <t>ÖSTERGÖTLANDS LÄN</t>
        </is>
      </c>
      <c r="G74" t="inlineStr">
        <is>
          <t>FINSPÅNG</t>
        </is>
      </c>
      <c r="I74" t="n">
        <v>0.6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Tibast</t>
        </is>
      </c>
      <c r="W74">
        <f>HYPERLINK("https://klasma.github.io/Logging_0562/artfynd/A 27456-2026 artfynd.xlsx", "A 27456-2026")</f>
        <v/>
      </c>
      <c r="X74">
        <f>HYPERLINK("https://klasma.github.io/Logging_0562/kartor/A 27456-2026 karta.png", "A 27456-2026")</f>
        <v/>
      </c>
      <c r="Y74">
        <f>HYPERLINK("https://klasma.github.io/Logging_0562/kartor_geotiff/A 27456-2026 georefererad karta.tif", "A 27456-2026")</f>
        <v/>
      </c>
      <c r="AA74">
        <f>HYPERLINK("https://klasma.github.io/Logging_0562/klagomål/A 27456-2026 FSC-klagomål.docx", "A 27456-2026")</f>
        <v/>
      </c>
      <c r="AB74">
        <f>HYPERLINK("https://klasma.github.io/Logging_0562/klagomålsmail/A 27456-2026 FSC-klagomål mail.docx", "A 27456-2026")</f>
        <v/>
      </c>
      <c r="AC74">
        <f>HYPERLINK("https://klasma.github.io/Logging_0562/tillsyn/A 27456-2026 tillsynsbegäran.docx", "A 27456-2026")</f>
        <v/>
      </c>
      <c r="AD74">
        <f>HYPERLINK("https://klasma.github.io/Logging_0562/tillsynsmail/A 27456-2026 tillsynsbegäran mail.docx", "A 27456-2026")</f>
        <v/>
      </c>
    </row>
    <row r="75" ht="15" customHeight="1">
      <c r="A75" t="inlineStr">
        <is>
          <t>A 36128-2023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46297</v>
      </c>
      <c r="F75" t="inlineStr">
        <is>
          <t>ÖSTERGÖTLANDS LÄN</t>
        </is>
      </c>
      <c r="G75" t="inlineStr">
        <is>
          <t>FINSPÅNG</t>
        </is>
      </c>
      <c r="I75" t="n">
        <v>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Talltita</t>
        </is>
      </c>
      <c r="W75">
        <f>HYPERLINK("https://klasma.github.io/Logging_0562/artfynd/A 36128-2023 artfynd.xlsx", "A 36128-2023")</f>
        <v/>
      </c>
      <c r="X75">
        <f>HYPERLINK("https://klasma.github.io/Logging_0562/kartor/A 36128-2023 karta.png", "A 36128-2023")</f>
        <v/>
      </c>
      <c r="Y75">
        <f>HYPERLINK("https://klasma.github.io/Logging_0562/kartor_geotiff/A 36128-2023 georefererad karta.tif", "A 36128-2023")</f>
        <v/>
      </c>
      <c r="AA75">
        <f>HYPERLINK("https://klasma.github.io/Logging_0562/klagomål/A 36128-2023 FSC-klagomål.docx", "A 36128-2023")</f>
        <v/>
      </c>
      <c r="AB75">
        <f>HYPERLINK("https://klasma.github.io/Logging_0562/klagomålsmail/A 36128-2023 FSC-klagomål mail.docx", "A 36128-2023")</f>
        <v/>
      </c>
      <c r="AC75">
        <f>HYPERLINK("https://klasma.github.io/Logging_0562/tillsyn/A 36128-2023 tillsynsbegäran.docx", "A 36128-2023")</f>
        <v/>
      </c>
      <c r="AD75">
        <f>HYPERLINK("https://klasma.github.io/Logging_0562/tillsynsmail/A 36128-2023 tillsynsbegäran mail.docx", "A 36128-2023")</f>
        <v/>
      </c>
      <c r="AE75">
        <f>HYPERLINK("https://klasma.github.io/Logging_0562/fåglar/A 36128-2023 prioriterade fågelarter.docx", "A 36128-2023")</f>
        <v/>
      </c>
    </row>
    <row r="76" ht="15" customHeight="1">
      <c r="A76" t="inlineStr">
        <is>
          <t>A 53265-2023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45229</v>
      </c>
      <c r="E76" s="1" t="n">
        <v>46297</v>
      </c>
      <c r="F76" t="inlineStr">
        <is>
          <t>ÖSTERGÖTLANDS LÄN</t>
        </is>
      </c>
      <c r="G76" t="inlineStr">
        <is>
          <t>FINSPÅNG</t>
        </is>
      </c>
      <c r="H76" t="inlineStr">
        <is>
          <t>Holmen skog AB</t>
        </is>
      </c>
      <c r="I76" t="n">
        <v>1.6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HYPERLINK("https://klasma.github.io/Logging_0562/artfynd/A 53265-2023 artfynd.xlsx", "A 53265-2023")</f>
        <v/>
      </c>
      <c r="X76">
        <f>HYPERLINK("https://klasma.github.io/Logging_0562/kartor/A 53265-2023 karta.png", "A 53265-2023")</f>
        <v/>
      </c>
      <c r="Y76">
        <f>HYPERLINK("https://klasma.github.io/Logging_0562/kartor_geotiff/A 53265-2023 georefererad karta.tif", "A 53265-2023")</f>
        <v/>
      </c>
      <c r="AA76">
        <f>HYPERLINK("https://klasma.github.io/Logging_0562/klagomål/A 53265-2023 FSC-klagomål.docx", "A 53265-2023")</f>
        <v/>
      </c>
      <c r="AB76">
        <f>HYPERLINK("https://klasma.github.io/Logging_0562/klagomålsmail/A 53265-2023 FSC-klagomål mail.docx", "A 53265-2023")</f>
        <v/>
      </c>
      <c r="AC76">
        <f>HYPERLINK("https://klasma.github.io/Logging_0562/tillsyn/A 53265-2023 tillsynsbegäran.docx", "A 53265-2023")</f>
        <v/>
      </c>
      <c r="AD76">
        <f>HYPERLINK("https://klasma.github.io/Logging_0562/tillsynsmail/A 53265-2023 tillsynsbegäran mail.docx", "A 53265-2023")</f>
        <v/>
      </c>
    </row>
    <row r="77" ht="15" customHeight="1">
      <c r="A77" t="inlineStr">
        <is>
          <t>A 34885-2026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46258</v>
      </c>
      <c r="E77" s="1" t="n">
        <v>46297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4.2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Havsörn</t>
        </is>
      </c>
      <c r="W77">
        <f>HYPERLINK("https://klasma.github.io/Logging_0562/artfynd/A 34885-2026 artfynd.xlsx", "A 34885-2026")</f>
        <v/>
      </c>
      <c r="X77">
        <f>HYPERLINK("https://klasma.github.io/Logging_0562/kartor/A 34885-2026 karta.png", "A 34885-2026")</f>
        <v/>
      </c>
      <c r="Y77">
        <f>HYPERLINK("https://klasma.github.io/Logging_0562/kartor_geotiff/A 34885-2026 georefererad karta.tif", "A 34885-2026")</f>
        <v/>
      </c>
      <c r="AA77">
        <f>HYPERLINK("https://klasma.github.io/Logging_0562/klagomål/A 34885-2026 FSC-klagomål.docx", "A 34885-2026")</f>
        <v/>
      </c>
      <c r="AB77">
        <f>HYPERLINK("https://klasma.github.io/Logging_0562/klagomålsmail/A 34885-2026 FSC-klagomål mail.docx", "A 34885-2026")</f>
        <v/>
      </c>
      <c r="AC77">
        <f>HYPERLINK("https://klasma.github.io/Logging_0562/tillsyn/A 34885-2026 tillsynsbegäran.docx", "A 34885-2026")</f>
        <v/>
      </c>
      <c r="AD77">
        <f>HYPERLINK("https://klasma.github.io/Logging_0562/tillsynsmail/A 34885-2026 tillsynsbegäran mail.docx", "A 34885-2026")</f>
        <v/>
      </c>
      <c r="AE77">
        <f>HYPERLINK("https://klasma.github.io/Logging_0562/fåglar/A 34885-2026 prioriterade fågelarter.docx", "A 34885-2026")</f>
        <v/>
      </c>
    </row>
    <row r="78" ht="15" customHeight="1">
      <c r="A78" t="inlineStr">
        <is>
          <t>A 34886-2026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46258</v>
      </c>
      <c r="E78" s="1" t="n">
        <v>46297</v>
      </c>
      <c r="F78" t="inlineStr">
        <is>
          <t>ÖSTERGÖTLANDS LÄN</t>
        </is>
      </c>
      <c r="G78" t="inlineStr">
        <is>
          <t>FINSPÅNG</t>
        </is>
      </c>
      <c r="H78" t="inlineStr">
        <is>
          <t>Övriga Aktiebolag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Mattlummer</t>
        </is>
      </c>
      <c r="W78">
        <f>HYPERLINK("https://klasma.github.io/Logging_0562/artfynd/A 34886-2026 artfynd.xlsx", "A 34886-2026")</f>
        <v/>
      </c>
      <c r="X78">
        <f>HYPERLINK("https://klasma.github.io/Logging_0562/kartor/A 34886-2026 karta.png", "A 34886-2026")</f>
        <v/>
      </c>
      <c r="Y78">
        <f>HYPERLINK("https://klasma.github.io/Logging_0562/kartor_geotiff/A 34886-2026 georefererad karta.tif", "A 34886-2026")</f>
        <v/>
      </c>
      <c r="AA78">
        <f>HYPERLINK("https://klasma.github.io/Logging_0562/klagomål/A 34886-2026 FSC-klagomål.docx", "A 34886-2026")</f>
        <v/>
      </c>
      <c r="AB78">
        <f>HYPERLINK("https://klasma.github.io/Logging_0562/klagomålsmail/A 34886-2026 FSC-klagomål mail.docx", "A 34886-2026")</f>
        <v/>
      </c>
      <c r="AC78">
        <f>HYPERLINK("https://klasma.github.io/Logging_0562/tillsyn/A 34886-2026 tillsynsbegäran.docx", "A 34886-2026")</f>
        <v/>
      </c>
      <c r="AD78">
        <f>HYPERLINK("https://klasma.github.io/Logging_0562/tillsynsmail/A 34886-2026 tillsynsbegäran mail.docx", "A 34886-2026")</f>
        <v/>
      </c>
    </row>
    <row r="79" ht="15" customHeight="1">
      <c r="A79" t="inlineStr">
        <is>
          <t>A 1177-2024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45302</v>
      </c>
      <c r="E79" s="1" t="n">
        <v>46297</v>
      </c>
      <c r="F79" t="inlineStr">
        <is>
          <t>ÖSTERGÖTLANDS LÄN</t>
        </is>
      </c>
      <c r="G79" t="inlineStr">
        <is>
          <t>FINSPÅNG</t>
        </is>
      </c>
      <c r="I79" t="n">
        <v>6.7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2</v>
      </c>
      <c r="V79" s="2" t="inlineStr">
        <is>
          <t>Knärot</t>
        </is>
      </c>
      <c r="W79">
        <f>HYPERLINK("https://klasma.github.io/Logging_0562/artfynd/A 1177-2024 artfynd.xlsx", "A 1177-2024")</f>
        <v/>
      </c>
      <c r="X79">
        <f>HYPERLINK("https://klasma.github.io/Logging_0562/kartor/A 1177-2024 karta.png", "A 1177-2024")</f>
        <v/>
      </c>
      <c r="Y79">
        <f>HYPERLINK("https://klasma.github.io/Logging_0562/kartor_geotiff/A 1177-2024 georefererad karta.tif", "A 1177-2024")</f>
        <v/>
      </c>
      <c r="Z79">
        <f>HYPERLINK("https://klasma.github.io/Logging_0562/knärot/A 1177-2024 karta knärot.png", "A 1177-2024")</f>
        <v/>
      </c>
      <c r="AA79">
        <f>HYPERLINK("https://klasma.github.io/Logging_0562/klagomål/A 1177-2024 FSC-klagomål.docx", "A 1177-2024")</f>
        <v/>
      </c>
      <c r="AB79">
        <f>HYPERLINK("https://klasma.github.io/Logging_0562/klagomålsmail/A 1177-2024 FSC-klagomål mail.docx", "A 1177-2024")</f>
        <v/>
      </c>
      <c r="AC79">
        <f>HYPERLINK("https://klasma.github.io/Logging_0562/tillsyn/A 1177-2024 tillsynsbegäran.docx", "A 1177-2024")</f>
        <v/>
      </c>
      <c r="AD79">
        <f>HYPERLINK("https://klasma.github.io/Logging_0562/tillsynsmail/A 1177-2024 tillsynsbegäran mail.docx", "A 1177-2024")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46297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40385-2024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45555</v>
      </c>
      <c r="E81" s="1" t="n">
        <v>46297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HYPERLINK("https://klasma.github.io/Logging_0562/artfynd/A 40385-2024 artfynd.xlsx", "A 40385-2024")</f>
        <v/>
      </c>
      <c r="X81">
        <f>HYPERLINK("https://klasma.github.io/Logging_0562/kartor/A 40385-2024 karta.png", "A 40385-2024")</f>
        <v/>
      </c>
      <c r="Y81">
        <f>HYPERLINK("https://klasma.github.io/Logging_0562/kartor_geotiff/A 40385-2024 georefererad karta.tif", "A 40385-2024")</f>
        <v/>
      </c>
      <c r="AA81">
        <f>HYPERLINK("https://klasma.github.io/Logging_0562/klagomål/A 40385-2024 FSC-klagomål.docx", "A 40385-2024")</f>
        <v/>
      </c>
      <c r="AB81">
        <f>HYPERLINK("https://klasma.github.io/Logging_0562/klagomålsmail/A 40385-2024 FSC-klagomål mail.docx", "A 40385-2024")</f>
        <v/>
      </c>
      <c r="AC81">
        <f>HYPERLINK("https://klasma.github.io/Logging_0562/tillsyn/A 40385-2024 tillsynsbegäran.docx", "A 40385-2024")</f>
        <v/>
      </c>
      <c r="AD81">
        <f>HYPERLINK("https://klasma.github.io/Logging_0562/tillsynsmail/A 40385-2024 tillsynsbegäran mail.docx", "A 40385-2024")</f>
        <v/>
      </c>
      <c r="AE81">
        <f>HYPERLINK("https://klasma.github.io/Logging_0562/fåglar/A 40385-2024 prioriterade fågelarter.docx", "A 40385-2024")</f>
        <v/>
      </c>
    </row>
    <row r="82" ht="15" customHeight="1">
      <c r="A82" t="inlineStr">
        <is>
          <t>A 61695-2021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44501</v>
      </c>
      <c r="E82" s="1" t="n">
        <v>46297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Kornknutmossa</t>
        </is>
      </c>
      <c r="W82">
        <f>HYPERLINK("https://klasma.github.io/Logging_0562/artfynd/A 61695-2021 artfynd.xlsx", "A 61695-2021")</f>
        <v/>
      </c>
      <c r="X82">
        <f>HYPERLINK("https://klasma.github.io/Logging_0562/kartor/A 61695-2021 karta.png", "A 61695-2021")</f>
        <v/>
      </c>
      <c r="Y82">
        <f>HYPERLINK("https://klasma.github.io/Logging_0562/kartor_geotiff/A 61695-2021 georefererad karta.tif", "A 61695-2021")</f>
        <v/>
      </c>
      <c r="AA82">
        <f>HYPERLINK("https://klasma.github.io/Logging_0562/klagomål/A 61695-2021 FSC-klagomål.docx", "A 61695-2021")</f>
        <v/>
      </c>
      <c r="AB82">
        <f>HYPERLINK("https://klasma.github.io/Logging_0562/klagomålsmail/A 61695-2021 FSC-klagomål mail.docx", "A 61695-2021")</f>
        <v/>
      </c>
      <c r="AC82">
        <f>HYPERLINK("https://klasma.github.io/Logging_0562/tillsyn/A 61695-2021 tillsynsbegäran.docx", "A 61695-2021")</f>
        <v/>
      </c>
      <c r="AD82">
        <f>HYPERLINK("https://klasma.github.io/Logging_0562/tillsynsmail/A 61695-2021 tillsynsbegäran mail.docx", "A 61695-2021")</f>
        <v/>
      </c>
    </row>
    <row r="83" ht="15" customHeight="1">
      <c r="A83" t="inlineStr">
        <is>
          <t>A 663-2023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44930</v>
      </c>
      <c r="E83" s="1" t="n">
        <v>46297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663-2023 artfynd.xlsx", "A 663-2023")</f>
        <v/>
      </c>
      <c r="X83">
        <f>HYPERLINK("https://klasma.github.io/Logging_0562/kartor/A 663-2023 karta.png", "A 663-2023")</f>
        <v/>
      </c>
      <c r="Y83">
        <f>HYPERLINK("https://klasma.github.io/Logging_0562/kartor_geotiff/A 663-2023 georefererad karta.tif", "A 663-2023")</f>
        <v/>
      </c>
      <c r="AA83">
        <f>HYPERLINK("https://klasma.github.io/Logging_0562/klagomål/A 663-2023 FSC-klagomål.docx", "A 663-2023")</f>
        <v/>
      </c>
      <c r="AB83">
        <f>HYPERLINK("https://klasma.github.io/Logging_0562/klagomålsmail/A 663-2023 FSC-klagomål mail.docx", "A 663-2023")</f>
        <v/>
      </c>
      <c r="AC83">
        <f>HYPERLINK("https://klasma.github.io/Logging_0562/tillsyn/A 663-2023 tillsynsbegäran.docx", "A 663-2023")</f>
        <v/>
      </c>
      <c r="AD83">
        <f>HYPERLINK("https://klasma.github.io/Logging_0562/tillsynsmail/A 663-2023 tillsynsbegäran mail.docx", "A 663-2023")</f>
        <v/>
      </c>
    </row>
    <row r="84" ht="15" customHeight="1">
      <c r="A84" t="inlineStr">
        <is>
          <t>A 59061-2024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46297</v>
      </c>
      <c r="F84" t="inlineStr">
        <is>
          <t>ÖSTERGÖTLANDS LÄN</t>
        </is>
      </c>
      <c r="G84" t="inlineStr">
        <is>
          <t>FINSPÅNG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Ängsnycklar</t>
        </is>
      </c>
      <c r="W84">
        <f>HYPERLINK("https://klasma.github.io/Logging_0562/artfynd/A 59061-2024 artfynd.xlsx", "A 59061-2024")</f>
        <v/>
      </c>
      <c r="X84">
        <f>HYPERLINK("https://klasma.github.io/Logging_0562/kartor/A 59061-2024 karta.png", "A 59061-2024")</f>
        <v/>
      </c>
      <c r="Y84">
        <f>HYPERLINK("https://klasma.github.io/Logging_0562/kartor_geotiff/A 59061-2024 georefererad karta.tif", "A 59061-2024")</f>
        <v/>
      </c>
      <c r="AA84">
        <f>HYPERLINK("https://klasma.github.io/Logging_0562/klagomål/A 59061-2024 FSC-klagomål.docx", "A 59061-2024")</f>
        <v/>
      </c>
      <c r="AB84">
        <f>HYPERLINK("https://klasma.github.io/Logging_0562/klagomålsmail/A 59061-2024 FSC-klagomål mail.docx", "A 59061-2024")</f>
        <v/>
      </c>
      <c r="AC84">
        <f>HYPERLINK("https://klasma.github.io/Logging_0562/tillsyn/A 59061-2024 tillsynsbegäran.docx", "A 59061-2024")</f>
        <v/>
      </c>
      <c r="AD84">
        <f>HYPERLINK("https://klasma.github.io/Logging_0562/tillsynsmail/A 59061-2024 tillsynsbegäran mail.docx", "A 59061-2024")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46297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46297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46297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46297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46297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46297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46297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46297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46297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46297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46297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46297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46297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44824</v>
      </c>
      <c r="E98" s="1" t="n">
        <v>46297</v>
      </c>
      <c r="F98" t="inlineStr">
        <is>
          <t>ÖSTERGÖTLANDS LÄN</t>
        </is>
      </c>
      <c r="G98" t="inlineStr">
        <is>
          <t>FINSPÅNG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46297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46297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35714-2022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44799</v>
      </c>
      <c r="E101" s="1" t="n">
        <v>46297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44795</v>
      </c>
      <c r="E102" s="1" t="n">
        <v>46297</v>
      </c>
      <c r="F102" t="inlineStr">
        <is>
          <t>ÖSTERGÖTLANDS LÄN</t>
        </is>
      </c>
      <c r="G102" t="inlineStr">
        <is>
          <t>FINSPÅNG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46297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46297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46297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46297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44551</v>
      </c>
      <c r="E107" s="1" t="n">
        <v>46297</v>
      </c>
      <c r="F107" t="inlineStr">
        <is>
          <t>ÖSTERGÖTLANDS LÄN</t>
        </is>
      </c>
      <c r="G107" t="inlineStr">
        <is>
          <t>FINSPÅNG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68009-2021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44525</v>
      </c>
      <c r="E108" s="1" t="n">
        <v>46297</v>
      </c>
      <c r="F108" t="inlineStr">
        <is>
          <t>ÖSTERGÖTLANDS LÄN</t>
        </is>
      </c>
      <c r="G108" t="inlineStr">
        <is>
          <t>FINSPÅNG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46297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46297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44601</v>
      </c>
      <c r="E111" s="1" t="n">
        <v>46297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46297</v>
      </c>
      <c r="F112" t="inlineStr">
        <is>
          <t>ÖSTERGÖTLANDS LÄN</t>
        </is>
      </c>
      <c r="G112" t="inlineStr">
        <is>
          <t>FINSPÅNG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46297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1832-2022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44574</v>
      </c>
      <c r="E114" s="1" t="n">
        <v>46297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46297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46297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46297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46297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46297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46297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46297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46297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46297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46297</v>
      </c>
      <c r="F124" t="inlineStr">
        <is>
          <t>ÖSTERGÖTLANDS LÄN</t>
        </is>
      </c>
      <c r="G124" t="inlineStr">
        <is>
          <t>FINSPÅNG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44833</v>
      </c>
      <c r="E125" s="1" t="n">
        <v>46297</v>
      </c>
      <c r="F125" t="inlineStr">
        <is>
          <t>ÖSTERGÖTLANDS LÄN</t>
        </is>
      </c>
      <c r="G125" t="inlineStr">
        <is>
          <t>FINSPÅNG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46297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46297</v>
      </c>
      <c r="F127" t="inlineStr">
        <is>
          <t>ÖSTERGÖTLANDS LÄN</t>
        </is>
      </c>
      <c r="G127" t="inlineStr">
        <is>
          <t>FINSPÅNG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46297</v>
      </c>
      <c r="F128" t="inlineStr">
        <is>
          <t>ÖSTERGÖTLANDS LÄN</t>
        </is>
      </c>
      <c r="G128" t="inlineStr">
        <is>
          <t>FINSPÅNG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46297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46297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46297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46297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46297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46297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50077-2022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44860</v>
      </c>
      <c r="E135" s="1" t="n">
        <v>46297</v>
      </c>
      <c r="F135" t="inlineStr">
        <is>
          <t>ÖSTERGÖTLANDS LÄN</t>
        </is>
      </c>
      <c r="G135" t="inlineStr">
        <is>
          <t>FINSPÅNG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44855</v>
      </c>
      <c r="E136" s="1" t="n">
        <v>46297</v>
      </c>
      <c r="F136" t="inlineStr">
        <is>
          <t>ÖSTERGÖTLANDS LÄN</t>
        </is>
      </c>
      <c r="G136" t="inlineStr">
        <is>
          <t>FINSPÅNG</t>
        </is>
      </c>
      <c r="H136" t="inlineStr">
        <is>
          <t>Holmen skog AB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55355-2022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44887</v>
      </c>
      <c r="E137" s="1" t="n">
        <v>46297</v>
      </c>
      <c r="F137" t="inlineStr">
        <is>
          <t>ÖSTERGÖTLANDS LÄN</t>
        </is>
      </c>
      <c r="G137" t="inlineStr">
        <is>
          <t>FINSPÅNG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46297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46297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46297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46297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46297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46297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46297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5622-2022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44595</v>
      </c>
      <c r="E145" s="1" t="n">
        <v>46297</v>
      </c>
      <c r="F145" t="inlineStr">
        <is>
          <t>ÖSTERGÖTLANDS LÄN</t>
        </is>
      </c>
      <c r="G145" t="inlineStr">
        <is>
          <t>FINSPÅNG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46297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46297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46297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46297</v>
      </c>
      <c r="F149" t="inlineStr">
        <is>
          <t>ÖSTERGÖTLANDS LÄN</t>
        </is>
      </c>
      <c r="G149" t="inlineStr">
        <is>
          <t>FINSPÅNG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10885-2022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44627</v>
      </c>
      <c r="E150" s="1" t="n">
        <v>46297</v>
      </c>
      <c r="F150" t="inlineStr">
        <is>
          <t>ÖSTERGÖTLANDS LÄN</t>
        </is>
      </c>
      <c r="G150" t="inlineStr">
        <is>
          <t>FINSPÅNG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44587</v>
      </c>
      <c r="E151" s="1" t="n">
        <v>46297</v>
      </c>
      <c r="F151" t="inlineStr">
        <is>
          <t>ÖSTERGÖTLANDS LÄN</t>
        </is>
      </c>
      <c r="G151" t="inlineStr">
        <is>
          <t>FINSPÅNG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46297</v>
      </c>
      <c r="F152" t="inlineStr">
        <is>
          <t>ÖSTERGÖTLANDS LÄN</t>
        </is>
      </c>
      <c r="G152" t="inlineStr">
        <is>
          <t>FINSPÅNG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69717-2021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44532</v>
      </c>
      <c r="E153" s="1" t="n">
        <v>46297</v>
      </c>
      <c r="F153" t="inlineStr">
        <is>
          <t>ÖSTERGÖTLANDS LÄN</t>
        </is>
      </c>
      <c r="G153" t="inlineStr">
        <is>
          <t>FINSPÅNG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44879</v>
      </c>
      <c r="E154" s="1" t="n">
        <v>46297</v>
      </c>
      <c r="F154" t="inlineStr">
        <is>
          <t>ÖSTERGÖTLANDS LÄN</t>
        </is>
      </c>
      <c r="G154" t="inlineStr">
        <is>
          <t>FINSPÅNG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46297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44581</v>
      </c>
      <c r="E156" s="1" t="n">
        <v>46297</v>
      </c>
      <c r="F156" t="inlineStr">
        <is>
          <t>ÖSTERGÖTLANDS LÄN</t>
        </is>
      </c>
      <c r="G156" t="inlineStr">
        <is>
          <t>FINSPÅNG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44588</v>
      </c>
      <c r="E157" s="1" t="n">
        <v>46297</v>
      </c>
      <c r="F157" t="inlineStr">
        <is>
          <t>ÖSTERGÖTLANDS LÄN</t>
        </is>
      </c>
      <c r="G157" t="inlineStr">
        <is>
          <t>FINSPÅNG</t>
        </is>
      </c>
      <c r="H157" t="inlineStr">
        <is>
          <t>Övriga Aktiebolag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53028-2022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44875</v>
      </c>
      <c r="E158" s="1" t="n">
        <v>46297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46297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42515-2022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44831</v>
      </c>
      <c r="E160" s="1" t="n">
        <v>46297</v>
      </c>
      <c r="F160" t="inlineStr">
        <is>
          <t>ÖSTERGÖTLANDS LÄN</t>
        </is>
      </c>
      <c r="G160" t="inlineStr">
        <is>
          <t>FINSPÅNG</t>
        </is>
      </c>
      <c r="H160" t="inlineStr">
        <is>
          <t>Holmen skog AB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44819</v>
      </c>
      <c r="E161" s="1" t="n">
        <v>46297</v>
      </c>
      <c r="F161" t="inlineStr">
        <is>
          <t>ÖSTERGÖTLANDS LÄN</t>
        </is>
      </c>
      <c r="G161" t="inlineStr">
        <is>
          <t>FINSPÅNG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44581</v>
      </c>
      <c r="E162" s="1" t="n">
        <v>46297</v>
      </c>
      <c r="F162" t="inlineStr">
        <is>
          <t>ÖSTERGÖTLANDS LÄN</t>
        </is>
      </c>
      <c r="G162" t="inlineStr">
        <is>
          <t>FINSPÅNG</t>
        </is>
      </c>
      <c r="H162" t="inlineStr">
        <is>
          <t>Holmen skog AB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11450-2022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44630</v>
      </c>
      <c r="E163" s="1" t="n">
        <v>46297</v>
      </c>
      <c r="F163" t="inlineStr">
        <is>
          <t>ÖSTERGÖTLANDS LÄN</t>
        </is>
      </c>
      <c r="G163" t="inlineStr">
        <is>
          <t>FINSPÅNG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55744-2021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46297</v>
      </c>
      <c r="F164" t="inlineStr">
        <is>
          <t>ÖSTERGÖTLANDS LÄN</t>
        </is>
      </c>
      <c r="G164" t="inlineStr">
        <is>
          <t>FINSPÅNG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44804</v>
      </c>
      <c r="E165" s="1" t="n">
        <v>46297</v>
      </c>
      <c r="F165" t="inlineStr">
        <is>
          <t>ÖSTERGÖTLANDS LÄN</t>
        </is>
      </c>
      <c r="G165" t="inlineStr">
        <is>
          <t>FINSPÅNG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46297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44742</v>
      </c>
      <c r="E167" s="1" t="n">
        <v>46297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48684-2022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44859</v>
      </c>
      <c r="E168" s="1" t="n">
        <v>46297</v>
      </c>
      <c r="F168" t="inlineStr">
        <is>
          <t>ÖSTERGÖTLANDS LÄN</t>
        </is>
      </c>
      <c r="G168" t="inlineStr">
        <is>
          <t>FINSPÅNG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44476</v>
      </c>
      <c r="E169" s="1" t="n">
        <v>46297</v>
      </c>
      <c r="F169" t="inlineStr">
        <is>
          <t>ÖSTERGÖTLANDS LÄN</t>
        </is>
      </c>
      <c r="G169" t="inlineStr">
        <is>
          <t>FINSPÅNG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44600</v>
      </c>
      <c r="E170" s="1" t="n">
        <v>46297</v>
      </c>
      <c r="F170" t="inlineStr">
        <is>
          <t>ÖSTERGÖTLANDS LÄN</t>
        </is>
      </c>
      <c r="G170" t="inlineStr">
        <is>
          <t>FINSPÅNG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44481</v>
      </c>
      <c r="E171" s="1" t="n">
        <v>46297</v>
      </c>
      <c r="F171" t="inlineStr">
        <is>
          <t>ÖSTERGÖTLANDS LÄN</t>
        </is>
      </c>
      <c r="G171" t="inlineStr">
        <is>
          <t>FINSPÅNG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11992-2022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44635</v>
      </c>
      <c r="E172" s="1" t="n">
        <v>46297</v>
      </c>
      <c r="F172" t="inlineStr">
        <is>
          <t>ÖSTERGÖTLANDS LÄN</t>
        </is>
      </c>
      <c r="G172" t="inlineStr">
        <is>
          <t>FINSPÅNG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31811-2022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44776</v>
      </c>
      <c r="E173" s="1" t="n">
        <v>46297</v>
      </c>
      <c r="F173" t="inlineStr">
        <is>
          <t>ÖSTERGÖTLANDS LÄN</t>
        </is>
      </c>
      <c r="G173" t="inlineStr">
        <is>
          <t>FINSPÅNG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22412-2022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44713</v>
      </c>
      <c r="E174" s="1" t="n">
        <v>46297</v>
      </c>
      <c r="F174" t="inlineStr">
        <is>
          <t>ÖSTERGÖTLANDS LÄN</t>
        </is>
      </c>
      <c r="G174" t="inlineStr">
        <is>
          <t>FINSPÅNG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19890-2022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44697</v>
      </c>
      <c r="E175" s="1" t="n">
        <v>46297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56883-2021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44481</v>
      </c>
      <c r="E176" s="1" t="n">
        <v>46297</v>
      </c>
      <c r="F176" t="inlineStr">
        <is>
          <t>ÖSTERGÖTLANDS LÄN</t>
        </is>
      </c>
      <c r="G176" t="inlineStr">
        <is>
          <t>FINSPÅNG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69994-2021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44533</v>
      </c>
      <c r="E177" s="1" t="n">
        <v>46297</v>
      </c>
      <c r="F177" t="inlineStr">
        <is>
          <t>ÖSTERGÖTLANDS LÄN</t>
        </is>
      </c>
      <c r="G177" t="inlineStr">
        <is>
          <t>FINSPÅNG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46297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17413-2022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44678</v>
      </c>
      <c r="E179" s="1" t="n">
        <v>46297</v>
      </c>
      <c r="F179" t="inlineStr">
        <is>
          <t>ÖSTERGÖTLANDS LÄN</t>
        </is>
      </c>
      <c r="G179" t="inlineStr">
        <is>
          <t>FINSPÅNG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46297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44564</v>
      </c>
      <c r="E181" s="1" t="n">
        <v>46297</v>
      </c>
      <c r="F181" t="inlineStr">
        <is>
          <t>ÖSTERGÖTLANDS LÄN</t>
        </is>
      </c>
      <c r="G181" t="inlineStr">
        <is>
          <t>FINSPÅNG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46297</v>
      </c>
      <c r="F182" t="inlineStr">
        <is>
          <t>ÖSTERGÖTLANDS LÄN</t>
        </is>
      </c>
      <c r="G182" t="inlineStr">
        <is>
          <t>FINSPÅNG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54505-2024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45617</v>
      </c>
      <c r="E183" s="1" t="n">
        <v>46297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29630-2022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44754</v>
      </c>
      <c r="E184" s="1" t="n">
        <v>46297</v>
      </c>
      <c r="F184" t="inlineStr">
        <is>
          <t>ÖSTERGÖTLANDS LÄN</t>
        </is>
      </c>
      <c r="G184" t="inlineStr">
        <is>
          <t>FINSPÅNG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54916-2024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45618</v>
      </c>
      <c r="E185" s="1" t="n">
        <v>46297</v>
      </c>
      <c r="F185" t="inlineStr">
        <is>
          <t>ÖSTERGÖTLANDS LÄN</t>
        </is>
      </c>
      <c r="G185" t="inlineStr">
        <is>
          <t>FINSPÅNG</t>
        </is>
      </c>
      <c r="I185" t="n">
        <v>11.8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18439-2023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45042</v>
      </c>
      <c r="E186" s="1" t="n">
        <v>46297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45330</v>
      </c>
      <c r="E187" s="1" t="n">
        <v>46297</v>
      </c>
      <c r="F187" t="inlineStr">
        <is>
          <t>ÖSTERGÖTLANDS LÄN</t>
        </is>
      </c>
      <c r="G187" t="inlineStr">
        <is>
          <t>FINSPÅNG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44778</v>
      </c>
      <c r="E188" s="1" t="n">
        <v>46297</v>
      </c>
      <c r="F188" t="inlineStr">
        <is>
          <t>ÖSTERGÖTLANDS LÄN</t>
        </is>
      </c>
      <c r="G188" t="inlineStr">
        <is>
          <t>FINSPÅNG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36100-2022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44802</v>
      </c>
      <c r="E189" s="1" t="n">
        <v>46297</v>
      </c>
      <c r="F189" t="inlineStr">
        <is>
          <t>ÖSTERGÖTLANDS LÄN</t>
        </is>
      </c>
      <c r="G189" t="inlineStr">
        <is>
          <t>FINSPÅNG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43221-2022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44833</v>
      </c>
      <c r="E190" s="1" t="n">
        <v>46297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Övriga Aktiebolag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44659</v>
      </c>
      <c r="E191" s="1" t="n">
        <v>46297</v>
      </c>
      <c r="F191" t="inlineStr">
        <is>
          <t>ÖSTERGÖTLANDS LÄN</t>
        </is>
      </c>
      <c r="G191" t="inlineStr">
        <is>
          <t>FINSPÅNG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36406-2024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45535</v>
      </c>
      <c r="E192" s="1" t="n">
        <v>46297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Kommuner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31176-2022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44770</v>
      </c>
      <c r="E193" s="1" t="n">
        <v>46297</v>
      </c>
      <c r="F193" t="inlineStr">
        <is>
          <t>ÖSTERGÖTLANDS LÄN</t>
        </is>
      </c>
      <c r="G193" t="inlineStr">
        <is>
          <t>FINSPÅNG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45374</v>
      </c>
      <c r="E194" s="1" t="n">
        <v>46297</v>
      </c>
      <c r="F194" t="inlineStr">
        <is>
          <t>ÖSTERGÖTLANDS LÄN</t>
        </is>
      </c>
      <c r="G194" t="inlineStr">
        <is>
          <t>FINSPÅNG</t>
        </is>
      </c>
      <c r="H194" t="inlineStr">
        <is>
          <t>Kyrkan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59777-2023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45257</v>
      </c>
      <c r="E195" s="1" t="n">
        <v>46297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Holmen skog AB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59827-2023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46297</v>
      </c>
      <c r="F196" t="inlineStr">
        <is>
          <t>ÖSTERGÖTLANDS LÄN</t>
        </is>
      </c>
      <c r="G196" t="inlineStr">
        <is>
          <t>FINSPÅNG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9809-2024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45362</v>
      </c>
      <c r="E197" s="1" t="n">
        <v>46297</v>
      </c>
      <c r="F197" t="inlineStr">
        <is>
          <t>ÖSTERGÖTLANDS LÄN</t>
        </is>
      </c>
      <c r="G197" t="inlineStr">
        <is>
          <t>FINSPÅNG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46297</v>
      </c>
      <c r="F198" t="inlineStr">
        <is>
          <t>ÖSTERGÖTLANDS LÄN</t>
        </is>
      </c>
      <c r="G198" t="inlineStr">
        <is>
          <t>FINSPÅNG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46297</v>
      </c>
      <c r="F199" t="inlineStr">
        <is>
          <t>ÖSTERGÖTLANDS LÄN</t>
        </is>
      </c>
      <c r="G199" t="inlineStr">
        <is>
          <t>FINSPÅNG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46297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44844</v>
      </c>
      <c r="E201" s="1" t="n">
        <v>46297</v>
      </c>
      <c r="F201" t="inlineStr">
        <is>
          <t>ÖSTERGÖTLANDS LÄN</t>
        </is>
      </c>
      <c r="G201" t="inlineStr">
        <is>
          <t>FINSPÅNG</t>
        </is>
      </c>
      <c r="I201" t="n">
        <v>16.6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39358-2022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46297</v>
      </c>
      <c r="F202" t="inlineStr">
        <is>
          <t>ÖSTERGÖTLANDS LÄN</t>
        </is>
      </c>
      <c r="G202" t="inlineStr">
        <is>
          <t>FINSPÅNG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44806</v>
      </c>
      <c r="E203" s="1" t="n">
        <v>46297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9009-2024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45357</v>
      </c>
      <c r="E204" s="1" t="n">
        <v>46297</v>
      </c>
      <c r="F204" t="inlineStr">
        <is>
          <t>ÖSTERGÖTLANDS LÄN</t>
        </is>
      </c>
      <c r="G204" t="inlineStr">
        <is>
          <t>FINSPÅNG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44816</v>
      </c>
      <c r="E205" s="1" t="n">
        <v>46297</v>
      </c>
      <c r="F205" t="inlineStr">
        <is>
          <t>ÖSTERGÖTLANDS LÄN</t>
        </is>
      </c>
      <c r="G205" t="inlineStr">
        <is>
          <t>FINSPÅNG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45744</v>
      </c>
      <c r="E206" s="1" t="n">
        <v>46297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Naturvårdsverket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46297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Naturvårdsverket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56264-2022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44887</v>
      </c>
      <c r="E208" s="1" t="n">
        <v>46297</v>
      </c>
      <c r="F208" t="inlineStr">
        <is>
          <t>ÖSTERGÖTLANDS LÄN</t>
        </is>
      </c>
      <c r="G208" t="inlineStr">
        <is>
          <t>FINSPÅNG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58905-2023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46297</v>
      </c>
      <c r="F209" t="inlineStr">
        <is>
          <t>ÖSTERGÖTLANDS LÄN</t>
        </is>
      </c>
      <c r="G209" t="inlineStr">
        <is>
          <t>FINSPÅNG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46297</v>
      </c>
      <c r="F210" t="inlineStr">
        <is>
          <t>ÖSTERGÖTLANDS LÄN</t>
        </is>
      </c>
      <c r="G210" t="inlineStr">
        <is>
          <t>FINSPÅNG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45447</v>
      </c>
      <c r="E211" s="1" t="n">
        <v>46297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30921-2022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44767</v>
      </c>
      <c r="E212" s="1" t="n">
        <v>46297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21719-2024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45442</v>
      </c>
      <c r="E213" s="1" t="n">
        <v>46297</v>
      </c>
      <c r="F213" t="inlineStr">
        <is>
          <t>ÖSTERGÖTLANDS LÄN</t>
        </is>
      </c>
      <c r="G213" t="inlineStr">
        <is>
          <t>FINSPÅNG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10184-2023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44986</v>
      </c>
      <c r="E214" s="1" t="n">
        <v>46297</v>
      </c>
      <c r="F214" t="inlineStr">
        <is>
          <t>ÖSTERGÖTLANDS LÄN</t>
        </is>
      </c>
      <c r="G214" t="inlineStr">
        <is>
          <t>FINSPÅNG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60038-2023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46297</v>
      </c>
      <c r="F215" t="inlineStr">
        <is>
          <t>ÖSTERGÖTLANDS LÄN</t>
        </is>
      </c>
      <c r="G215" t="inlineStr">
        <is>
          <t>FINSPÅNG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44957</v>
      </c>
      <c r="E216" s="1" t="n">
        <v>46297</v>
      </c>
      <c r="F216" t="inlineStr">
        <is>
          <t>ÖSTERGÖTLANDS LÄN</t>
        </is>
      </c>
      <c r="G216" t="inlineStr">
        <is>
          <t>FINSPÅNG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46297</v>
      </c>
      <c r="F217" t="inlineStr">
        <is>
          <t>ÖSTERGÖTLANDS LÄN</t>
        </is>
      </c>
      <c r="G217" t="inlineStr">
        <is>
          <t>FINSPÅNG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46297</v>
      </c>
      <c r="F218" t="inlineStr">
        <is>
          <t>ÖSTERGÖTLANDS LÄN</t>
        </is>
      </c>
      <c r="G218" t="inlineStr">
        <is>
          <t>FINSPÅNG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58333-2023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45250</v>
      </c>
      <c r="E219" s="1" t="n">
        <v>46297</v>
      </c>
      <c r="F219" t="inlineStr">
        <is>
          <t>ÖSTERGÖTLANDS LÄN</t>
        </is>
      </c>
      <c r="G219" t="inlineStr">
        <is>
          <t>FINSPÅNG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4071-2024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45323</v>
      </c>
      <c r="E220" s="1" t="n">
        <v>46297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Holmen skog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56425-2022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44891</v>
      </c>
      <c r="E221" s="1" t="n">
        <v>46297</v>
      </c>
      <c r="F221" t="inlineStr">
        <is>
          <t>ÖSTERGÖTLANDS LÄN</t>
        </is>
      </c>
      <c r="G221" t="inlineStr">
        <is>
          <t>FINSPÅNG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35276-2025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45853</v>
      </c>
      <c r="E222" s="1" t="n">
        <v>46297</v>
      </c>
      <c r="F222" t="inlineStr">
        <is>
          <t>ÖSTERGÖTLANDS LÄN</t>
        </is>
      </c>
      <c r="G222" t="inlineStr">
        <is>
          <t>FINSPÅNG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46030</v>
      </c>
      <c r="E223" s="1" t="n">
        <v>46297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39467-2024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45551</v>
      </c>
      <c r="E224" s="1" t="n">
        <v>46297</v>
      </c>
      <c r="F224" t="inlineStr">
        <is>
          <t>ÖSTERGÖTLANDS LÄN</t>
        </is>
      </c>
      <c r="G224" t="inlineStr">
        <is>
          <t>FINSPÅNG</t>
        </is>
      </c>
      <c r="I224" t="n">
        <v>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46297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46297</v>
      </c>
      <c r="F226" t="inlineStr">
        <is>
          <t>ÖSTERGÖTLANDS LÄN</t>
        </is>
      </c>
      <c r="G226" t="inlineStr">
        <is>
          <t>FINSPÅNG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45095</v>
      </c>
      <c r="E227" s="1" t="n">
        <v>46297</v>
      </c>
      <c r="F227" t="inlineStr">
        <is>
          <t>ÖSTERGÖTLANDS LÄN</t>
        </is>
      </c>
      <c r="G227" t="inlineStr">
        <is>
          <t>FINSPÅNG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46297</v>
      </c>
      <c r="F228" t="inlineStr">
        <is>
          <t>ÖSTERGÖTLANDS LÄN</t>
        </is>
      </c>
      <c r="G228" t="inlineStr">
        <is>
          <t>FINSPÅNG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46297</v>
      </c>
      <c r="F229" t="inlineStr">
        <is>
          <t>ÖSTERGÖTLANDS LÄN</t>
        </is>
      </c>
      <c r="G229" t="inlineStr">
        <is>
          <t>FINSPÅNG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46031</v>
      </c>
      <c r="E230" s="1" t="n">
        <v>46297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Kyrkan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45796</v>
      </c>
      <c r="E231" s="1" t="n">
        <v>46297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Naturvårdsverket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46034</v>
      </c>
      <c r="E232" s="1" t="n">
        <v>46297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1583-2026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46034</v>
      </c>
      <c r="E233" s="1" t="n">
        <v>46297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46034</v>
      </c>
      <c r="E234" s="1" t="n">
        <v>46297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46297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45796</v>
      </c>
      <c r="E236" s="1" t="n">
        <v>46297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Naturvårdsverket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46036</v>
      </c>
      <c r="E237" s="1" t="n">
        <v>46297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46297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45293</v>
      </c>
      <c r="E239" s="1" t="n">
        <v>46297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39137-2025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45888</v>
      </c>
      <c r="E240" s="1" t="n">
        <v>46297</v>
      </c>
      <c r="F240" t="inlineStr">
        <is>
          <t>ÖSTERGÖTLANDS LÄN</t>
        </is>
      </c>
      <c r="G240" t="inlineStr">
        <is>
          <t>FINSPÅNG</t>
        </is>
      </c>
      <c r="H240" t="inlineStr">
        <is>
          <t>Holmen skog AB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50063-2022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44860</v>
      </c>
      <c r="E241" s="1" t="n">
        <v>46297</v>
      </c>
      <c r="F241" t="inlineStr">
        <is>
          <t>ÖSTERGÖTLANDS LÄN</t>
        </is>
      </c>
      <c r="G241" t="inlineStr">
        <is>
          <t>FINSPÅNG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45328</v>
      </c>
      <c r="E242" s="1" t="n">
        <v>46297</v>
      </c>
      <c r="F242" t="inlineStr">
        <is>
          <t>ÖSTERGÖTLANDS LÄN</t>
        </is>
      </c>
      <c r="G242" t="inlineStr">
        <is>
          <t>FINSPÅNG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55231-2024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45621</v>
      </c>
      <c r="E243" s="1" t="n">
        <v>46297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45467</v>
      </c>
      <c r="E244" s="1" t="n">
        <v>46297</v>
      </c>
      <c r="F244" t="inlineStr">
        <is>
          <t>ÖSTERGÖTLANDS LÄN</t>
        </is>
      </c>
      <c r="G244" t="inlineStr">
        <is>
          <t>FINSPÅNG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55812-2021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44476</v>
      </c>
      <c r="E245" s="1" t="n">
        <v>46297</v>
      </c>
      <c r="F245" t="inlineStr">
        <is>
          <t>ÖSTERGÖTLANDS LÄN</t>
        </is>
      </c>
      <c r="G245" t="inlineStr">
        <is>
          <t>FINSPÅNG</t>
        </is>
      </c>
      <c r="I245" t="n">
        <v>4.5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46040</v>
      </c>
      <c r="E246" s="1" t="n">
        <v>46297</v>
      </c>
      <c r="F246" t="inlineStr">
        <is>
          <t>ÖSTERGÖTLANDS LÄN</t>
        </is>
      </c>
      <c r="G246" t="inlineStr">
        <is>
          <t>FINSPÅNG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46040</v>
      </c>
      <c r="E247" s="1" t="n">
        <v>46297</v>
      </c>
      <c r="F247" t="inlineStr">
        <is>
          <t>ÖSTERGÖTLANDS LÄN</t>
        </is>
      </c>
      <c r="G247" t="inlineStr">
        <is>
          <t>FINSPÅNG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39826-2025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45891</v>
      </c>
      <c r="E248" s="1" t="n">
        <v>46297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45707</v>
      </c>
      <c r="E249" s="1" t="n">
        <v>46297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Allmännings- och besparingsskogar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40006-2025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45894</v>
      </c>
      <c r="E250" s="1" t="n">
        <v>46297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46297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46297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46048</v>
      </c>
      <c r="E253" s="1" t="n">
        <v>46297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40472-2025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45895</v>
      </c>
      <c r="E254" s="1" t="n">
        <v>46297</v>
      </c>
      <c r="F254" t="inlineStr">
        <is>
          <t>ÖSTERGÖTLANDS LÄN</t>
        </is>
      </c>
      <c r="G254" t="inlineStr">
        <is>
          <t>FINSPÅNG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4853-2026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46297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16.1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45316</v>
      </c>
      <c r="E256" s="1" t="n">
        <v>46297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Övriga Aktiebolag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46297</v>
      </c>
      <c r="F257" t="inlineStr">
        <is>
          <t>ÖSTERGÖTLANDS LÄN</t>
        </is>
      </c>
      <c r="G257" t="inlineStr">
        <is>
          <t>FINSPÅNG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46050</v>
      </c>
      <c r="E258" s="1" t="n">
        <v>46297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46297</v>
      </c>
      <c r="F259" t="inlineStr">
        <is>
          <t>ÖSTERGÖTLANDS LÄN</t>
        </is>
      </c>
      <c r="G259" t="inlineStr">
        <is>
          <t>FINSPÅNG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46050</v>
      </c>
      <c r="E260" s="1" t="n">
        <v>46297</v>
      </c>
      <c r="F260" t="inlineStr">
        <is>
          <t>ÖSTERGÖTLANDS LÄN</t>
        </is>
      </c>
      <c r="G260" t="inlineStr">
        <is>
          <t>FINSPÅNG</t>
        </is>
      </c>
      <c r="H260" t="inlineStr">
        <is>
          <t>Holmen skog AB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5172-2026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46297</v>
      </c>
      <c r="F261" t="inlineStr">
        <is>
          <t>ÖSTERGÖTLANDS LÄN</t>
        </is>
      </c>
      <c r="G261" t="inlineStr">
        <is>
          <t>FINSPÅNG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45428</v>
      </c>
      <c r="E262" s="1" t="n">
        <v>46297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19170-2024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45428</v>
      </c>
      <c r="E263" s="1" t="n">
        <v>46297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24310-2025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45797</v>
      </c>
      <c r="E264" s="1" t="n">
        <v>46297</v>
      </c>
      <c r="F264" t="inlineStr">
        <is>
          <t>ÖSTERGÖTLANDS LÄN</t>
        </is>
      </c>
      <c r="G264" t="inlineStr">
        <is>
          <t>FINSPÅNG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64408-2023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45280</v>
      </c>
      <c r="E265" s="1" t="n">
        <v>46297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Övriga Aktiebolag</t>
        </is>
      </c>
      <c r="I265" t="n">
        <v>13.6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45407-2022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44844</v>
      </c>
      <c r="E266" s="1" t="n">
        <v>46297</v>
      </c>
      <c r="F266" t="inlineStr">
        <is>
          <t>ÖSTERGÖTLANDS LÄN</t>
        </is>
      </c>
      <c r="G266" t="inlineStr">
        <is>
          <t>FINSPÅNG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45411-2022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44844</v>
      </c>
      <c r="E267" s="1" t="n">
        <v>46297</v>
      </c>
      <c r="F267" t="inlineStr">
        <is>
          <t>ÖSTERGÖTLANDS LÄN</t>
        </is>
      </c>
      <c r="G267" t="inlineStr">
        <is>
          <t>FINSPÅNG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50542-2022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44866</v>
      </c>
      <c r="E268" s="1" t="n">
        <v>46297</v>
      </c>
      <c r="F268" t="inlineStr">
        <is>
          <t>ÖSTERGÖTLANDS LÄN</t>
        </is>
      </c>
      <c r="G268" t="inlineStr">
        <is>
          <t>FINSPÅNG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44571-2022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46297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46052</v>
      </c>
      <c r="E270" s="1" t="n">
        <v>46297</v>
      </c>
      <c r="F270" t="inlineStr">
        <is>
          <t>ÖSTERGÖTLANDS LÄN</t>
        </is>
      </c>
      <c r="G270" t="inlineStr">
        <is>
          <t>FINSPÅNG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24328-2025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45797</v>
      </c>
      <c r="E271" s="1" t="n">
        <v>46297</v>
      </c>
      <c r="F271" t="inlineStr">
        <is>
          <t>ÖSTERGÖTLANDS LÄN</t>
        </is>
      </c>
      <c r="G271" t="inlineStr">
        <is>
          <t>FINSPÅNG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42045-2025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46297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46297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46297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42027-2025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45903</v>
      </c>
      <c r="E275" s="1" t="n">
        <v>46297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45607</v>
      </c>
      <c r="E276" s="1" t="n">
        <v>46297</v>
      </c>
      <c r="F276" t="inlineStr">
        <is>
          <t>ÖSTERGÖTLANDS LÄN</t>
        </is>
      </c>
      <c r="G276" t="inlineStr">
        <is>
          <t>FINSPÅNG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45797</v>
      </c>
      <c r="E277" s="1" t="n">
        <v>46297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45903</v>
      </c>
      <c r="E278" s="1" t="n">
        <v>46297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42255-2025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45904</v>
      </c>
      <c r="E279" s="1" t="n">
        <v>46297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14866-2022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44656</v>
      </c>
      <c r="E280" s="1" t="n">
        <v>46297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45702</v>
      </c>
      <c r="E281" s="1" t="n">
        <v>46297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Övriga Aktiebolag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45903</v>
      </c>
      <c r="E282" s="1" t="n">
        <v>46297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42817-2025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45908</v>
      </c>
      <c r="E283" s="1" t="n">
        <v>46297</v>
      </c>
      <c r="F283" t="inlineStr">
        <is>
          <t>ÖSTERGÖTLANDS LÄN</t>
        </is>
      </c>
      <c r="G283" t="inlineStr">
        <is>
          <t>FINSPÅNG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42373-2025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46297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46297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50341-2022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44865</v>
      </c>
      <c r="E286" s="1" t="n">
        <v>46297</v>
      </c>
      <c r="F286" t="inlineStr">
        <is>
          <t>ÖSTERGÖTLANDS LÄN</t>
        </is>
      </c>
      <c r="G286" t="inlineStr">
        <is>
          <t>FINSPÅNG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42368-2025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45905</v>
      </c>
      <c r="E287" s="1" t="n">
        <v>46297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46058</v>
      </c>
      <c r="E288" s="1" t="n">
        <v>46297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25306-2025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46297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Naturvårdsverket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7269-2026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46297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Övriga Aktiebolag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7193-2026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46058</v>
      </c>
      <c r="E291" s="1" t="n">
        <v>46297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56246-2022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44887</v>
      </c>
      <c r="E292" s="1" t="n">
        <v>46297</v>
      </c>
      <c r="F292" t="inlineStr">
        <is>
          <t>ÖSTERGÖTLANDS LÄN</t>
        </is>
      </c>
      <c r="G292" t="inlineStr">
        <is>
          <t>FINSPÅNG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56288-2022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44887</v>
      </c>
      <c r="E293" s="1" t="n">
        <v>46297</v>
      </c>
      <c r="F293" t="inlineStr">
        <is>
          <t>ÖSTERGÖTLANDS LÄN</t>
        </is>
      </c>
      <c r="G293" t="inlineStr">
        <is>
          <t>FINSPÅNG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45740</v>
      </c>
      <c r="E294" s="1" t="n">
        <v>46297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11.2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44637</v>
      </c>
      <c r="E295" s="1" t="n">
        <v>46297</v>
      </c>
      <c r="F295" t="inlineStr">
        <is>
          <t>ÖSTERGÖTLANDS LÄN</t>
        </is>
      </c>
      <c r="G295" t="inlineStr">
        <is>
          <t>FINSPÅNG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7559-2026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46060</v>
      </c>
      <c r="E296" s="1" t="n">
        <v>46297</v>
      </c>
      <c r="F296" t="inlineStr">
        <is>
          <t>ÖSTERGÖTLANDS LÄN</t>
        </is>
      </c>
      <c r="G296" t="inlineStr">
        <is>
          <t>FINSPÅNG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45800</v>
      </c>
      <c r="E297" s="1" t="n">
        <v>46297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Naturvårdsverket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7271-2026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46058</v>
      </c>
      <c r="E298" s="1" t="n">
        <v>46297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Övriga Aktiebolag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59971-2024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45642</v>
      </c>
      <c r="E299" s="1" t="n">
        <v>46297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8247-2026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46064</v>
      </c>
      <c r="E300" s="1" t="n">
        <v>46297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Sveaskog</t>
        </is>
      </c>
      <c r="I300" t="n">
        <v>6.9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8228-2026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46297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Sveaskog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8245-2026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46064</v>
      </c>
      <c r="E302" s="1" t="n">
        <v>46297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Sveaskog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8083-2026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46063</v>
      </c>
      <c r="E303" s="1" t="n">
        <v>46297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8270-2026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46064</v>
      </c>
      <c r="E304" s="1" t="n">
        <v>46297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8079-2026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46063</v>
      </c>
      <c r="E305" s="1" t="n">
        <v>46297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8238-2026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46064</v>
      </c>
      <c r="E306" s="1" t="n">
        <v>46297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Sveaskog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46297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Sveaskog</t>
        </is>
      </c>
      <c r="I307" t="n">
        <v>10.5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8529-2026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46065</v>
      </c>
      <c r="E308" s="1" t="n">
        <v>46297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25342-2025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45800</v>
      </c>
      <c r="E309" s="1" t="n">
        <v>46297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Naturvårdsverket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25319-2025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45800</v>
      </c>
      <c r="E310" s="1" t="n">
        <v>46297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Naturvårdsverket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46065</v>
      </c>
      <c r="E311" s="1" t="n">
        <v>46297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46297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9173-2026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46070</v>
      </c>
      <c r="E313" s="1" t="n">
        <v>46297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46070</v>
      </c>
      <c r="E314" s="1" t="n">
        <v>46297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55457-2024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45622</v>
      </c>
      <c r="E315" s="1" t="n">
        <v>46297</v>
      </c>
      <c r="F315" t="inlineStr">
        <is>
          <t>ÖSTERGÖTLANDS LÄN</t>
        </is>
      </c>
      <c r="G315" t="inlineStr">
        <is>
          <t>FINSPÅNG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46149-2025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46297</v>
      </c>
      <c r="F316" t="inlineStr">
        <is>
          <t>ÖSTERGÖTLANDS LÄN</t>
        </is>
      </c>
      <c r="G316" t="inlineStr">
        <is>
          <t>FINSPÅNG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6697-2023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44966</v>
      </c>
      <c r="E317" s="1" t="n">
        <v>46297</v>
      </c>
      <c r="F317" t="inlineStr">
        <is>
          <t>ÖSTERGÖTLANDS LÄN</t>
        </is>
      </c>
      <c r="G317" t="inlineStr">
        <is>
          <t>FINSPÅNG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6021-2023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44964</v>
      </c>
      <c r="E318" s="1" t="n">
        <v>46297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9934-2026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46073</v>
      </c>
      <c r="E319" s="1" t="n">
        <v>46297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14.5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10296-2026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46297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10313-2026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46076</v>
      </c>
      <c r="E321" s="1" t="n">
        <v>46297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57738-2022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44897</v>
      </c>
      <c r="E322" s="1" t="n">
        <v>46297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10872-2026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46078</v>
      </c>
      <c r="E323" s="1" t="n">
        <v>46297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46297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6735-2023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44966</v>
      </c>
      <c r="E325" s="1" t="n">
        <v>46297</v>
      </c>
      <c r="F325" t="inlineStr">
        <is>
          <t>ÖSTERGÖTLANDS LÄN</t>
        </is>
      </c>
      <c r="G325" t="inlineStr">
        <is>
          <t>FINSPÅNG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47567-2025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45931</v>
      </c>
      <c r="E326" s="1" t="n">
        <v>46297</v>
      </c>
      <c r="F326" t="inlineStr">
        <is>
          <t>ÖSTERGÖTLANDS LÄN</t>
        </is>
      </c>
      <c r="G326" t="inlineStr">
        <is>
          <t>FINSPÅNG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11251-2026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46080</v>
      </c>
      <c r="E327" s="1" t="n">
        <v>46297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40063-2024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46297</v>
      </c>
      <c r="F328" t="inlineStr">
        <is>
          <t>ÖSTERGÖTLANDS LÄN</t>
        </is>
      </c>
      <c r="G328" t="inlineStr">
        <is>
          <t>FINSPÅNG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59468-2021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44491</v>
      </c>
      <c r="E329" s="1" t="n">
        <v>46297</v>
      </c>
      <c r="F329" t="inlineStr">
        <is>
          <t>ÖSTERGÖTLANDS LÄN</t>
        </is>
      </c>
      <c r="G329" t="inlineStr">
        <is>
          <t>FINSPÅNG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11244-2026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46080</v>
      </c>
      <c r="E330" s="1" t="n">
        <v>46297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11211-2026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46080</v>
      </c>
      <c r="E331" s="1" t="n">
        <v>46297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48455-2025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45935</v>
      </c>
      <c r="E332" s="1" t="n">
        <v>46297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Övriga Aktiebolag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46297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44677</v>
      </c>
      <c r="E334" s="1" t="n">
        <v>46297</v>
      </c>
      <c r="F334" t="inlineStr">
        <is>
          <t>ÖSTERGÖTLANDS LÄN</t>
        </is>
      </c>
      <c r="G334" t="inlineStr">
        <is>
          <t>FINSPÅNG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46297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11814-2026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46297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11839-2026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46085</v>
      </c>
      <c r="E337" s="1" t="n">
        <v>46297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11813-2026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46297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34417-2025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45846</v>
      </c>
      <c r="E339" s="1" t="n">
        <v>46297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40296-2024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45554</v>
      </c>
      <c r="E340" s="1" t="n">
        <v>46297</v>
      </c>
      <c r="F340" t="inlineStr">
        <is>
          <t>ÖSTERGÖTLANDS LÄN</t>
        </is>
      </c>
      <c r="G340" t="inlineStr">
        <is>
          <t>FINSPÅNG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42785-2024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45566</v>
      </c>
      <c r="E341" s="1" t="n">
        <v>46297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50395-2025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45944</v>
      </c>
      <c r="E342" s="1" t="n">
        <v>46297</v>
      </c>
      <c r="F342" t="inlineStr">
        <is>
          <t>ÖSTERGÖTLANDS LÄN</t>
        </is>
      </c>
      <c r="G342" t="inlineStr">
        <is>
          <t>FINSPÅNG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40372-2024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45555</v>
      </c>
      <c r="E343" s="1" t="n">
        <v>46297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45678</v>
      </c>
      <c r="E344" s="1" t="n">
        <v>46297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19263-2024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45428</v>
      </c>
      <c r="E345" s="1" t="n">
        <v>46297</v>
      </c>
      <c r="F345" t="inlineStr">
        <is>
          <t>ÖSTERGÖTLANDS LÄN</t>
        </is>
      </c>
      <c r="G345" t="inlineStr">
        <is>
          <t>FINSPÅNG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53323-2023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45229</v>
      </c>
      <c r="E346" s="1" t="n">
        <v>46297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13365-2026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46094</v>
      </c>
      <c r="E347" s="1" t="n">
        <v>46297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13768-2026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46097</v>
      </c>
      <c r="E348" s="1" t="n">
        <v>46297</v>
      </c>
      <c r="F348" t="inlineStr">
        <is>
          <t>ÖSTERGÖTLANDS LÄN</t>
        </is>
      </c>
      <c r="G348" t="inlineStr">
        <is>
          <t>FINSPÅNG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14064-2026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46099</v>
      </c>
      <c r="E349" s="1" t="n">
        <v>46297</v>
      </c>
      <c r="F349" t="inlineStr">
        <is>
          <t>ÖSTERGÖTLANDS LÄN</t>
        </is>
      </c>
      <c r="G349" t="inlineStr">
        <is>
          <t>FINSPÅNG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51508-2025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45950</v>
      </c>
      <c r="E350" s="1" t="n">
        <v>46297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46297</v>
      </c>
      <c r="F351" t="inlineStr">
        <is>
          <t>ÖSTERGÖTLANDS LÄN</t>
        </is>
      </c>
      <c r="G351" t="inlineStr">
        <is>
          <t>FINSPÅNG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7022-2024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45343</v>
      </c>
      <c r="E352" s="1" t="n">
        <v>46297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21517-2024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45441</v>
      </c>
      <c r="E353" s="1" t="n">
        <v>46297</v>
      </c>
      <c r="F353" t="inlineStr">
        <is>
          <t>ÖSTERGÖTLANDS LÄN</t>
        </is>
      </c>
      <c r="G353" t="inlineStr">
        <is>
          <t>FINSPÅNG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21532-2024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45441</v>
      </c>
      <c r="E354" s="1" t="n">
        <v>46297</v>
      </c>
      <c r="F354" t="inlineStr">
        <is>
          <t>ÖSTERGÖTLANDS LÄN</t>
        </is>
      </c>
      <c r="G354" t="inlineStr">
        <is>
          <t>FINSPÅNG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46297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14131-2026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46297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Sveaskog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42202-2023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45179</v>
      </c>
      <c r="E357" s="1" t="n">
        <v>46297</v>
      </c>
      <c r="F357" t="inlineStr">
        <is>
          <t>ÖSTERGÖTLANDS LÄN</t>
        </is>
      </c>
      <c r="G357" t="inlineStr">
        <is>
          <t>FINSPÅNG</t>
        </is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42205-2023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45179</v>
      </c>
      <c r="E358" s="1" t="n">
        <v>46297</v>
      </c>
      <c r="F358" t="inlineStr">
        <is>
          <t>ÖSTERGÖTLANDS LÄN</t>
        </is>
      </c>
      <c r="G358" t="inlineStr">
        <is>
          <t>FINSPÅNG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46099</v>
      </c>
      <c r="E359" s="1" t="n">
        <v>46297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46297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Sveaskog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26087-2022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44734</v>
      </c>
      <c r="E361" s="1" t="n">
        <v>46297</v>
      </c>
      <c r="F361" t="inlineStr">
        <is>
          <t>ÖSTERGÖTLANDS LÄN</t>
        </is>
      </c>
      <c r="G361" t="inlineStr">
        <is>
          <t>FINSPÅNG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25420-2022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44732</v>
      </c>
      <c r="E362" s="1" t="n">
        <v>46297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27192-2025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45812</v>
      </c>
      <c r="E363" s="1" t="n">
        <v>46297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61998-2022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44918</v>
      </c>
      <c r="E364" s="1" t="n">
        <v>46297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52659-2025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45955</v>
      </c>
      <c r="E365" s="1" t="n">
        <v>46297</v>
      </c>
      <c r="F365" t="inlineStr">
        <is>
          <t>ÖSTERGÖTLANDS LÄN</t>
        </is>
      </c>
      <c r="G365" t="inlineStr">
        <is>
          <t>FINSPÅNG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7484-2025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45705</v>
      </c>
      <c r="E366" s="1" t="n">
        <v>46297</v>
      </c>
      <c r="F366" t="inlineStr">
        <is>
          <t>ÖSTERGÖTLANDS LÄN</t>
        </is>
      </c>
      <c r="G366" t="inlineStr">
        <is>
          <t>FINSPÅNG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27208-2025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45812</v>
      </c>
      <c r="E367" s="1" t="n">
        <v>46297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13671-2023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46297</v>
      </c>
      <c r="F368" t="inlineStr">
        <is>
          <t>ÖSTERGÖTLANDS LÄN</t>
        </is>
      </c>
      <c r="G368" t="inlineStr">
        <is>
          <t>FINSPÅNG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8937-2022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44614</v>
      </c>
      <c r="E369" s="1" t="n">
        <v>46297</v>
      </c>
      <c r="F369" t="inlineStr">
        <is>
          <t>ÖSTERGÖTLANDS LÄN</t>
        </is>
      </c>
      <c r="G369" t="inlineStr">
        <is>
          <t>FINSPÅNG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18657-2024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46297</v>
      </c>
      <c r="F370" t="inlineStr">
        <is>
          <t>ÖSTERGÖTLANDS LÄN</t>
        </is>
      </c>
      <c r="G370" t="inlineStr">
        <is>
          <t>FINSPÅNG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15490-2026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46106</v>
      </c>
      <c r="E371" s="1" t="n">
        <v>46297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17557-2022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44679</v>
      </c>
      <c r="E372" s="1" t="n">
        <v>46297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Övriga Aktiebolag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24192-2022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44725</v>
      </c>
      <c r="E373" s="1" t="n">
        <v>46297</v>
      </c>
      <c r="F373" t="inlineStr">
        <is>
          <t>ÖSTERGÖTLANDS LÄN</t>
        </is>
      </c>
      <c r="G373" t="inlineStr">
        <is>
          <t>FINSPÅNG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16355-2026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46297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13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14454-2022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44653</v>
      </c>
      <c r="E375" s="1" t="n">
        <v>46297</v>
      </c>
      <c r="F375" t="inlineStr">
        <is>
          <t>ÖSTERGÖTLANDS LÄN</t>
        </is>
      </c>
      <c r="G375" t="inlineStr">
        <is>
          <t>FINSPÅNG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29923-2023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45107</v>
      </c>
      <c r="E376" s="1" t="n">
        <v>46297</v>
      </c>
      <c r="F376" t="inlineStr">
        <is>
          <t>ÖSTERGÖTLANDS LÄN</t>
        </is>
      </c>
      <c r="G376" t="inlineStr">
        <is>
          <t>FINSPÅNG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17578-2024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45415</v>
      </c>
      <c r="E377" s="1" t="n">
        <v>46297</v>
      </c>
      <c r="F377" t="inlineStr">
        <is>
          <t>ÖSTERGÖTLANDS LÄN</t>
        </is>
      </c>
      <c r="G377" t="inlineStr">
        <is>
          <t>FINSPÅNG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16849-2026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46113</v>
      </c>
      <c r="E378" s="1" t="n">
        <v>46297</v>
      </c>
      <c r="F378" t="inlineStr">
        <is>
          <t>ÖSTERGÖTLANDS LÄN</t>
        </is>
      </c>
      <c r="G378" t="inlineStr">
        <is>
          <t>FINSPÅNG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22437-2023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45070</v>
      </c>
      <c r="E379" s="1" t="n">
        <v>46297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45639</v>
      </c>
      <c r="E380" s="1" t="n">
        <v>46297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16902-2026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46113</v>
      </c>
      <c r="E381" s="1" t="n">
        <v>46297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50356-2024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45600</v>
      </c>
      <c r="E382" s="1" t="n">
        <v>46297</v>
      </c>
      <c r="F382" t="inlineStr">
        <is>
          <t>ÖSTERGÖTLANDS LÄN</t>
        </is>
      </c>
      <c r="G382" t="inlineStr">
        <is>
          <t>FINSPÅNG</t>
        </is>
      </c>
      <c r="I382" t="n">
        <v>6.9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17068-2026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46114</v>
      </c>
      <c r="E383" s="1" t="n">
        <v>46297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17008-2026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46297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64103-2023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45279</v>
      </c>
      <c r="E385" s="1" t="n">
        <v>46297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18261-2024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45421</v>
      </c>
      <c r="E386" s="1" t="n">
        <v>46297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55292-2025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45969</v>
      </c>
      <c r="E387" s="1" t="n">
        <v>46297</v>
      </c>
      <c r="F387" t="inlineStr">
        <is>
          <t>ÖSTERGÖTLANDS LÄN</t>
        </is>
      </c>
      <c r="G387" t="inlineStr">
        <is>
          <t>FINSPÅNG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55431-2025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45971</v>
      </c>
      <c r="E388" s="1" t="n">
        <v>46297</v>
      </c>
      <c r="F388" t="inlineStr">
        <is>
          <t>ÖSTERGÖTLANDS LÄN</t>
        </is>
      </c>
      <c r="G388" t="inlineStr">
        <is>
          <t>FINSPÅNG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46114</v>
      </c>
      <c r="E389" s="1" t="n">
        <v>46297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7269-2024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45344</v>
      </c>
      <c r="E390" s="1" t="n">
        <v>46297</v>
      </c>
      <c r="F390" t="inlineStr">
        <is>
          <t>ÖSTERGÖTLANDS LÄN</t>
        </is>
      </c>
      <c r="G390" t="inlineStr">
        <is>
          <t>FINSPÅNG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59795-2023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45257</v>
      </c>
      <c r="E391" s="1" t="n">
        <v>46297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17545-2026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46120</v>
      </c>
      <c r="E392" s="1" t="n">
        <v>46297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17594-2026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46121</v>
      </c>
      <c r="E393" s="1" t="n">
        <v>46297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Sveaskog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18086-2026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46125</v>
      </c>
      <c r="E394" s="1" t="n">
        <v>46297</v>
      </c>
      <c r="F394" t="inlineStr">
        <is>
          <t>ÖSTERGÖTLANDS LÄN</t>
        </is>
      </c>
      <c r="G394" t="inlineStr">
        <is>
          <t>FINSPÅNG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45301</v>
      </c>
      <c r="E395" s="1" t="n">
        <v>46297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17769-2026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46122</v>
      </c>
      <c r="E396" s="1" t="n">
        <v>46297</v>
      </c>
      <c r="F396" t="inlineStr">
        <is>
          <t>ÖSTERGÖTLANDS LÄN</t>
        </is>
      </c>
      <c r="G396" t="inlineStr">
        <is>
          <t>FINSPÅNG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27892-2023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45095</v>
      </c>
      <c r="E397" s="1" t="n">
        <v>46297</v>
      </c>
      <c r="F397" t="inlineStr">
        <is>
          <t>ÖSTERGÖTLANDS LÄN</t>
        </is>
      </c>
      <c r="G397" t="inlineStr">
        <is>
          <t>FINSPÅNG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46297</v>
      </c>
      <c r="F398" t="inlineStr">
        <is>
          <t>ÖSTERGÖTLANDS LÄN</t>
        </is>
      </c>
      <c r="G398" t="inlineStr">
        <is>
          <t>FINSPÅNG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25184-2023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45086</v>
      </c>
      <c r="E399" s="1" t="n">
        <v>46297</v>
      </c>
      <c r="F399" t="inlineStr">
        <is>
          <t>ÖSTERGÖTLANDS LÄN</t>
        </is>
      </c>
      <c r="G399" t="inlineStr">
        <is>
          <t>FINSPÅNG</t>
        </is>
      </c>
      <c r="I399" t="n">
        <v>10.1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46129</v>
      </c>
      <c r="E400" s="1" t="n">
        <v>46297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22586-2023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45071</v>
      </c>
      <c r="E401" s="1" t="n">
        <v>46297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44903</v>
      </c>
      <c r="E402" s="1" t="n">
        <v>46297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39896-2023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45166</v>
      </c>
      <c r="E403" s="1" t="n">
        <v>46297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Övriga Aktiebolag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46128</v>
      </c>
      <c r="E404" s="1" t="n">
        <v>46297</v>
      </c>
      <c r="F404" t="inlineStr">
        <is>
          <t>ÖSTERGÖTLANDS LÄN</t>
        </is>
      </c>
      <c r="G404" t="inlineStr">
        <is>
          <t>FINSPÅNG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23249-2023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45075</v>
      </c>
      <c r="E405" s="1" t="n">
        <v>46297</v>
      </c>
      <c r="F405" t="inlineStr">
        <is>
          <t>ÖSTERGÖTLANDS LÄN</t>
        </is>
      </c>
      <c r="G405" t="inlineStr">
        <is>
          <t>FINSPÅNG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58188-2025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45983</v>
      </c>
      <c r="E406" s="1" t="n">
        <v>46297</v>
      </c>
      <c r="F406" t="inlineStr">
        <is>
          <t>ÖSTERGÖTLANDS LÄN</t>
        </is>
      </c>
      <c r="G406" t="inlineStr">
        <is>
          <t>FINSPÅNG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45983</v>
      </c>
      <c r="E407" s="1" t="n">
        <v>46297</v>
      </c>
      <c r="F407" t="inlineStr">
        <is>
          <t>ÖSTERGÖTLANDS LÄN</t>
        </is>
      </c>
      <c r="G407" t="inlineStr">
        <is>
          <t>FINSPÅNG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28428-2025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45819</v>
      </c>
      <c r="E408" s="1" t="n">
        <v>46297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58709-2025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46297</v>
      </c>
      <c r="F409" t="inlineStr">
        <is>
          <t>ÖSTERGÖTLANDS LÄN</t>
        </is>
      </c>
      <c r="G409" t="inlineStr">
        <is>
          <t>FINSPÅNG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58189-2025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45983</v>
      </c>
      <c r="E410" s="1" t="n">
        <v>46297</v>
      </c>
      <c r="F410" t="inlineStr">
        <is>
          <t>ÖSTERGÖTLANDS LÄN</t>
        </is>
      </c>
      <c r="G410" t="inlineStr">
        <is>
          <t>FINSPÅNG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58796-2025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45986</v>
      </c>
      <c r="E411" s="1" t="n">
        <v>46297</v>
      </c>
      <c r="F411" t="inlineStr">
        <is>
          <t>ÖSTERGÖTLANDS LÄN</t>
        </is>
      </c>
      <c r="G411" t="inlineStr">
        <is>
          <t>FINSPÅNG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46297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58698-2025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45985</v>
      </c>
      <c r="E413" s="1" t="n">
        <v>46297</v>
      </c>
      <c r="F413" t="inlineStr">
        <is>
          <t>ÖSTERGÖTLANDS LÄN</t>
        </is>
      </c>
      <c r="G413" t="inlineStr">
        <is>
          <t>FINSPÅNG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59672-2024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45639</v>
      </c>
      <c r="E414" s="1" t="n">
        <v>46297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25188-2023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45086</v>
      </c>
      <c r="E415" s="1" t="n">
        <v>46297</v>
      </c>
      <c r="F415" t="inlineStr">
        <is>
          <t>ÖSTERGÖTLANDS LÄN</t>
        </is>
      </c>
      <c r="G415" t="inlineStr">
        <is>
          <t>FINSPÅNG</t>
        </is>
      </c>
      <c r="I415" t="n">
        <v>5.8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7825-2025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45706</v>
      </c>
      <c r="E416" s="1" t="n">
        <v>46297</v>
      </c>
      <c r="F416" t="inlineStr">
        <is>
          <t>ÖSTERGÖTLANDS LÄN</t>
        </is>
      </c>
      <c r="G416" t="inlineStr">
        <is>
          <t>FINSPÅNG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735-2025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45665</v>
      </c>
      <c r="E417" s="1" t="n">
        <v>46297</v>
      </c>
      <c r="F417" t="inlineStr">
        <is>
          <t>ÖSTERGÖTLANDS LÄN</t>
        </is>
      </c>
      <c r="G417" t="inlineStr">
        <is>
          <t>FINSPÅNG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45692</v>
      </c>
      <c r="E418" s="1" t="n">
        <v>46297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Holmen skog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14241-2023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46297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Holmen skog AB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45740</v>
      </c>
      <c r="E420" s="1" t="n">
        <v>46297</v>
      </c>
      <c r="F420" t="inlineStr">
        <is>
          <t>ÖSTERGÖTLANDS LÄN</t>
        </is>
      </c>
      <c r="G420" t="inlineStr">
        <is>
          <t>FINSPÅNG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43950-2025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45915</v>
      </c>
      <c r="E421" s="1" t="n">
        <v>46297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32795-2024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45516</v>
      </c>
      <c r="E422" s="1" t="n">
        <v>46297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Kommuner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45706</v>
      </c>
      <c r="E423" s="1" t="n">
        <v>46297</v>
      </c>
      <c r="F423" t="inlineStr">
        <is>
          <t>ÖSTERGÖTLANDS LÄN</t>
        </is>
      </c>
      <c r="G423" t="inlineStr">
        <is>
          <t>FINSPÅNG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35278-2025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45853</v>
      </c>
      <c r="E424" s="1" t="n">
        <v>46297</v>
      </c>
      <c r="F424" t="inlineStr">
        <is>
          <t>ÖSTERGÖTLANDS LÄN</t>
        </is>
      </c>
      <c r="G424" t="inlineStr">
        <is>
          <t>FINSPÅNG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34941-2023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45142</v>
      </c>
      <c r="E425" s="1" t="n">
        <v>46297</v>
      </c>
      <c r="F425" t="inlineStr">
        <is>
          <t>ÖSTERGÖTLANDS LÄN</t>
        </is>
      </c>
      <c r="G425" t="inlineStr">
        <is>
          <t>FINSPÅNG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21722-2025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45783</v>
      </c>
      <c r="E426" s="1" t="n">
        <v>46297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45616</v>
      </c>
      <c r="E427" s="1" t="n">
        <v>46297</v>
      </c>
      <c r="F427" t="inlineStr">
        <is>
          <t>ÖSTERGÖTLANDS LÄN</t>
        </is>
      </c>
      <c r="G427" t="inlineStr">
        <is>
          <t>FINSPÅNG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53945-2024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45616</v>
      </c>
      <c r="E428" s="1" t="n">
        <v>46297</v>
      </c>
      <c r="F428" t="inlineStr">
        <is>
          <t>ÖSTERGÖTLANDS LÄN</t>
        </is>
      </c>
      <c r="G428" t="inlineStr">
        <is>
          <t>FINSPÅNG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19710-2026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46297</v>
      </c>
      <c r="F429" t="inlineStr">
        <is>
          <t>ÖSTERGÖTLANDS LÄN</t>
        </is>
      </c>
      <c r="G429" t="inlineStr">
        <is>
          <t>FINSPÅNG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48691-2024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45593</v>
      </c>
      <c r="E430" s="1" t="n">
        <v>46297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61447-2024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46297</v>
      </c>
      <c r="F431" t="inlineStr">
        <is>
          <t>ÖSTERGÖTLANDS LÄN</t>
        </is>
      </c>
      <c r="G431" t="inlineStr">
        <is>
          <t>FINSPÅNG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31323-2022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44774</v>
      </c>
      <c r="E432" s="1" t="n">
        <v>46297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27697-2023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45095</v>
      </c>
      <c r="E433" s="1" t="n">
        <v>46297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Övriga Aktiebolag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27699-2023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45095</v>
      </c>
      <c r="E434" s="1" t="n">
        <v>46297</v>
      </c>
      <c r="F434" t="inlineStr">
        <is>
          <t>ÖSTERGÖTLANDS LÄN</t>
        </is>
      </c>
      <c r="G434" t="inlineStr">
        <is>
          <t>FINSPÅNG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8403-2025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46297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29419-2025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45824</v>
      </c>
      <c r="E436" s="1" t="n">
        <v>46297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11867-2025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45728</v>
      </c>
      <c r="E437" s="1" t="n">
        <v>46297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10.1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29454-2025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46297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6635-2025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45700</v>
      </c>
      <c r="E439" s="1" t="n">
        <v>46297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29430-2025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46297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29441-2025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45824</v>
      </c>
      <c r="E441" s="1" t="n">
        <v>46297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61202-2025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46297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6.3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53675-2024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45615</v>
      </c>
      <c r="E443" s="1" t="n">
        <v>46297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7884-2023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44973</v>
      </c>
      <c r="E444" s="1" t="n">
        <v>46297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13084-2023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45002</v>
      </c>
      <c r="E445" s="1" t="n">
        <v>46297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35346-2024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45530</v>
      </c>
      <c r="E446" s="1" t="n">
        <v>46297</v>
      </c>
      <c r="F446" t="inlineStr">
        <is>
          <t>ÖSTERGÖTLANDS LÄN</t>
        </is>
      </c>
      <c r="G446" t="inlineStr">
        <is>
          <t>FINSPÅNG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46002</v>
      </c>
      <c r="E447" s="1" t="n">
        <v>46297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4.5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8924-2025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46297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61683-2025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46002</v>
      </c>
      <c r="E449" s="1" t="n">
        <v>46297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61605-2025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46297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15097-2025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45744</v>
      </c>
      <c r="E451" s="1" t="n">
        <v>46297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46297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62221-2025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46006</v>
      </c>
      <c r="E453" s="1" t="n">
        <v>46297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46006</v>
      </c>
      <c r="E454" s="1" t="n">
        <v>46297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35598-2023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45147</v>
      </c>
      <c r="E455" s="1" t="n">
        <v>46297</v>
      </c>
      <c r="F455" t="inlineStr">
        <is>
          <t>ÖSTERGÖTLANDS LÄN</t>
        </is>
      </c>
      <c r="G455" t="inlineStr">
        <is>
          <t>FINSPÅNG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46003</v>
      </c>
      <c r="E456" s="1" t="n">
        <v>46297</v>
      </c>
      <c r="F456" t="inlineStr">
        <is>
          <t>ÖSTERGÖTLANDS LÄN</t>
        </is>
      </c>
      <c r="G456" t="inlineStr">
        <is>
          <t>FINSPÅNG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32789-2024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45516</v>
      </c>
      <c r="E457" s="1" t="n">
        <v>46297</v>
      </c>
      <c r="F457" t="inlineStr">
        <is>
          <t>ÖSTERGÖTLANDS LÄN</t>
        </is>
      </c>
      <c r="G457" t="inlineStr">
        <is>
          <t>FINSPÅNG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30271-2022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44759</v>
      </c>
      <c r="E458" s="1" t="n">
        <v>46297</v>
      </c>
      <c r="F458" t="inlineStr">
        <is>
          <t>ÖSTERGÖTLANDS LÄN</t>
        </is>
      </c>
      <c r="G458" t="inlineStr">
        <is>
          <t>FINSPÅNG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45243-2022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44840</v>
      </c>
      <c r="E459" s="1" t="n">
        <v>46297</v>
      </c>
      <c r="F459" t="inlineStr">
        <is>
          <t>ÖSTERGÖTLANDS LÄN</t>
        </is>
      </c>
      <c r="G459" t="inlineStr">
        <is>
          <t>FINSPÅNG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46297</v>
      </c>
      <c r="F460" t="inlineStr">
        <is>
          <t>ÖSTERGÖTLANDS LÄN</t>
        </is>
      </c>
      <c r="G460" t="inlineStr">
        <is>
          <t>FINSPÅNG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5336-2025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46297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45688</v>
      </c>
      <c r="E462" s="1" t="n">
        <v>46297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55612-2021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44476</v>
      </c>
      <c r="E463" s="1" t="n">
        <v>46297</v>
      </c>
      <c r="F463" t="inlineStr">
        <is>
          <t>ÖSTERGÖTLANDS LÄN</t>
        </is>
      </c>
      <c r="G463" t="inlineStr">
        <is>
          <t>FINSPÅNG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54609-2021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44473</v>
      </c>
      <c r="E464" s="1" t="n">
        <v>46297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Sveaskog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40194-2022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44820</v>
      </c>
      <c r="E465" s="1" t="n">
        <v>46297</v>
      </c>
      <c r="F465" t="inlineStr">
        <is>
          <t>ÖSTERGÖTLANDS LÄN</t>
        </is>
      </c>
      <c r="G465" t="inlineStr">
        <is>
          <t>FINSPÅNG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41513-2024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45560</v>
      </c>
      <c r="E466" s="1" t="n">
        <v>46297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32246-2025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45835</v>
      </c>
      <c r="E467" s="1" t="n">
        <v>46297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10083-2025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46297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33159-2025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46297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18306-2023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45041</v>
      </c>
      <c r="E470" s="1" t="n">
        <v>46297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Naturvårdsverket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24513-2023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46297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45845</v>
      </c>
      <c r="E472" s="1" t="n">
        <v>46297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45688</v>
      </c>
      <c r="E473" s="1" t="n">
        <v>46297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20831-2025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45776</v>
      </c>
      <c r="E474" s="1" t="n">
        <v>46297</v>
      </c>
      <c r="F474" t="inlineStr">
        <is>
          <t>ÖSTERGÖTLANDS LÄN</t>
        </is>
      </c>
      <c r="G474" t="inlineStr">
        <is>
          <t>FINSPÅNG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35279-2025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45853</v>
      </c>
      <c r="E475" s="1" t="n">
        <v>46297</v>
      </c>
      <c r="F475" t="inlineStr">
        <is>
          <t>ÖSTERGÖTLANDS LÄN</t>
        </is>
      </c>
      <c r="G475" t="inlineStr">
        <is>
          <t>FINSPÅNG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43318-2022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44834</v>
      </c>
      <c r="E476" s="1" t="n">
        <v>46297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49677-2022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44862</v>
      </c>
      <c r="E477" s="1" t="n">
        <v>46297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9.6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35375-2025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45854</v>
      </c>
      <c r="E478" s="1" t="n">
        <v>46297</v>
      </c>
      <c r="F478" t="inlineStr">
        <is>
          <t>ÖSTERGÖTLANDS LÄN</t>
        </is>
      </c>
      <c r="G478" t="inlineStr">
        <is>
          <t>FINSPÅNG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7788-2023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44973</v>
      </c>
      <c r="E479" s="1" t="n">
        <v>46297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53821-2022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44880</v>
      </c>
      <c r="E480" s="1" t="n">
        <v>46297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45855</v>
      </c>
      <c r="E481" s="1" t="n">
        <v>46297</v>
      </c>
      <c r="F481" t="inlineStr">
        <is>
          <t>ÖSTERGÖTLANDS LÄN</t>
        </is>
      </c>
      <c r="G481" t="inlineStr">
        <is>
          <t>FINSPÅNG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45854</v>
      </c>
      <c r="E482" s="1" t="n">
        <v>46297</v>
      </c>
      <c r="F482" t="inlineStr">
        <is>
          <t>ÖSTERGÖTLANDS LÄN</t>
        </is>
      </c>
      <c r="G482" t="inlineStr">
        <is>
          <t>FINSPÅNG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33997-2024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45523</v>
      </c>
      <c r="E483" s="1" t="n">
        <v>46297</v>
      </c>
      <c r="F483" t="inlineStr">
        <is>
          <t>ÖSTERGÖTLANDS LÄN</t>
        </is>
      </c>
      <c r="G483" t="inlineStr">
        <is>
          <t>FINSPÅNG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45710</v>
      </c>
      <c r="E484" s="1" t="n">
        <v>46297</v>
      </c>
      <c r="F484" t="inlineStr">
        <is>
          <t>ÖSTERGÖTLANDS LÄN</t>
        </is>
      </c>
      <c r="G484" t="inlineStr">
        <is>
          <t>FINSPÅNG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45314-2023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45191</v>
      </c>
      <c r="E485" s="1" t="n">
        <v>46297</v>
      </c>
      <c r="F485" t="inlineStr">
        <is>
          <t>ÖSTERGÖTLANDS LÄN</t>
        </is>
      </c>
      <c r="G485" t="inlineStr">
        <is>
          <t>FINSPÅNG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31180-2025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45832</v>
      </c>
      <c r="E486" s="1" t="n">
        <v>46297</v>
      </c>
      <c r="F486" t="inlineStr">
        <is>
          <t>ÖSTERGÖTLANDS LÄN</t>
        </is>
      </c>
      <c r="G486" t="inlineStr">
        <is>
          <t>FINSPÅNG</t>
        </is>
      </c>
      <c r="I486" t="n">
        <v>8.300000000000001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31043-2025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45831</v>
      </c>
      <c r="E487" s="1" t="n">
        <v>46297</v>
      </c>
      <c r="F487" t="inlineStr">
        <is>
          <t>ÖSTERGÖTLANDS LÄN</t>
        </is>
      </c>
      <c r="G487" t="inlineStr">
        <is>
          <t>FINSPÅNG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36593-2025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45870</v>
      </c>
      <c r="E488" s="1" t="n">
        <v>46297</v>
      </c>
      <c r="F488" t="inlineStr">
        <is>
          <t>ÖSTERGÖTLANDS LÄN</t>
        </is>
      </c>
      <c r="G488" t="inlineStr">
        <is>
          <t>FINSPÅNG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28880-2025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45820</v>
      </c>
      <c r="E489" s="1" t="n">
        <v>46297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19529-2025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45770</v>
      </c>
      <c r="E490" s="1" t="n">
        <v>46297</v>
      </c>
      <c r="F490" t="inlineStr">
        <is>
          <t>ÖSTERGÖTLANDS LÄN</t>
        </is>
      </c>
      <c r="G490" t="inlineStr">
        <is>
          <t>FINSPÅNG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45236</v>
      </c>
      <c r="E491" s="1" t="n">
        <v>46297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54730-2023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45236</v>
      </c>
      <c r="E492" s="1" t="n">
        <v>46297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54923-2022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44886</v>
      </c>
      <c r="E493" s="1" t="n">
        <v>46297</v>
      </c>
      <c r="F493" t="inlineStr">
        <is>
          <t>ÖSTERGÖTLANDS LÄN</t>
        </is>
      </c>
      <c r="G493" t="inlineStr">
        <is>
          <t>FINSPÅNG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22354-2023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45070</v>
      </c>
      <c r="E494" s="1" t="n">
        <v>46297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42651-2024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45566</v>
      </c>
      <c r="E495" s="1" t="n">
        <v>46297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8535-2025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45709</v>
      </c>
      <c r="E496" s="1" t="n">
        <v>46297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45042</v>
      </c>
      <c r="E497" s="1" t="n">
        <v>46297</v>
      </c>
      <c r="F497" t="inlineStr">
        <is>
          <t>ÖSTERGÖTLANDS LÄN</t>
        </is>
      </c>
      <c r="G497" t="inlineStr">
        <is>
          <t>FINSPÅNG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11839-2025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45728</v>
      </c>
      <c r="E498" s="1" t="n">
        <v>46297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53246-2022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44876</v>
      </c>
      <c r="E499" s="1" t="n">
        <v>46297</v>
      </c>
      <c r="F499" t="inlineStr">
        <is>
          <t>ÖSTERGÖTLANDS LÄN</t>
        </is>
      </c>
      <c r="G499" t="inlineStr">
        <is>
          <t>FINSPÅNG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37742-2025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45880</v>
      </c>
      <c r="E500" s="1" t="n">
        <v>46297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0.2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12814-2022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44642</v>
      </c>
      <c r="E501" s="1" t="n">
        <v>46297</v>
      </c>
      <c r="F501" t="inlineStr">
        <is>
          <t>ÖSTERGÖTLANDS LÄN</t>
        </is>
      </c>
      <c r="G501" t="inlineStr">
        <is>
          <t>FINSPÅNG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37679-2025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45880</v>
      </c>
      <c r="E502" s="1" t="n">
        <v>46297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70505-2021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44536</v>
      </c>
      <c r="E503" s="1" t="n">
        <v>46297</v>
      </c>
      <c r="F503" t="inlineStr">
        <is>
          <t>ÖSTERGÖTLANDS LÄN</t>
        </is>
      </c>
      <c r="G503" t="inlineStr">
        <is>
          <t>FINSPÅNG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13375-2025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45735</v>
      </c>
      <c r="E504" s="1" t="n">
        <v>46297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55052-2023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45237</v>
      </c>
      <c r="E505" s="1" t="n">
        <v>46297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Kyrkan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8236-2026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46297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Sveaskog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23350-2023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45076</v>
      </c>
      <c r="E507" s="1" t="n">
        <v>46297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13378-2025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45735</v>
      </c>
      <c r="E508" s="1" t="n">
        <v>46297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20819-2026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46141</v>
      </c>
      <c r="E509" s="1" t="n">
        <v>46297</v>
      </c>
      <c r="F509" t="inlineStr">
        <is>
          <t>ÖSTERGÖTLANDS LÄN</t>
        </is>
      </c>
      <c r="G509" t="inlineStr">
        <is>
          <t>FINSPÅNG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44944</v>
      </c>
      <c r="E510" s="1" t="n">
        <v>46297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45881</v>
      </c>
      <c r="E511" s="1" t="n">
        <v>46297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Naturvårdsverket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5595-2022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44595</v>
      </c>
      <c r="E512" s="1" t="n">
        <v>46297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Övriga Aktiebolag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54404-2023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45233</v>
      </c>
      <c r="E513" s="1" t="n">
        <v>46297</v>
      </c>
      <c r="F513" t="inlineStr">
        <is>
          <t>ÖSTERGÖTLANDS LÄN</t>
        </is>
      </c>
      <c r="G513" t="inlineStr">
        <is>
          <t>FINSPÅNG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38231-2025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45883</v>
      </c>
      <c r="E514" s="1" t="n">
        <v>46297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73260-2021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44550</v>
      </c>
      <c r="E515" s="1" t="n">
        <v>46297</v>
      </c>
      <c r="F515" t="inlineStr">
        <is>
          <t>ÖSTERGÖTLANDS LÄN</t>
        </is>
      </c>
      <c r="G515" t="inlineStr">
        <is>
          <t>FINSPÅNG</t>
        </is>
      </c>
      <c r="I515" t="n">
        <v>10.3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63321-2021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44508</v>
      </c>
      <c r="E516" s="1" t="n">
        <v>46297</v>
      </c>
      <c r="F516" t="inlineStr">
        <is>
          <t>ÖSTERGÖTLANDS LÄN</t>
        </is>
      </c>
      <c r="G516" t="inlineStr">
        <is>
          <t>FINSPÅNG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44564</v>
      </c>
      <c r="E517" s="1" t="n">
        <v>46297</v>
      </c>
      <c r="F517" t="inlineStr">
        <is>
          <t>ÖSTERGÖTLANDS LÄN</t>
        </is>
      </c>
      <c r="G517" t="inlineStr">
        <is>
          <t>FINSPÅNG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42782-2024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45566</v>
      </c>
      <c r="E518" s="1" t="n">
        <v>46297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45095</v>
      </c>
      <c r="E519" s="1" t="n">
        <v>46297</v>
      </c>
      <c r="F519" t="inlineStr">
        <is>
          <t>ÖSTERGÖTLANDS LÄN</t>
        </is>
      </c>
      <c r="G519" t="inlineStr">
        <is>
          <t>FINSPÅNG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45082</v>
      </c>
      <c r="E520" s="1" t="n">
        <v>46297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24510-2023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45082</v>
      </c>
      <c r="E521" s="1" t="n">
        <v>46297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14560-2023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45013</v>
      </c>
      <c r="E522" s="1" t="n">
        <v>46297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25121-2023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45086</v>
      </c>
      <c r="E523" s="1" t="n">
        <v>46297</v>
      </c>
      <c r="F523" t="inlineStr">
        <is>
          <t>ÖSTERGÖTLANDS LÄN</t>
        </is>
      </c>
      <c r="G523" t="inlineStr">
        <is>
          <t>FINSPÅNG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4351-2022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44589</v>
      </c>
      <c r="E524" s="1" t="n">
        <v>46297</v>
      </c>
      <c r="F524" t="inlineStr">
        <is>
          <t>ÖSTERGÖTLANDS LÄN</t>
        </is>
      </c>
      <c r="G524" t="inlineStr">
        <is>
          <t>FINSPÅNG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16229-2024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45407</v>
      </c>
      <c r="E525" s="1" t="n">
        <v>46297</v>
      </c>
      <c r="F525" t="inlineStr">
        <is>
          <t>ÖSTERGÖTLANDS LÄN</t>
        </is>
      </c>
      <c r="G525" t="inlineStr">
        <is>
          <t>FINSPÅNG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58142-2022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44900</v>
      </c>
      <c r="E526" s="1" t="n">
        <v>46297</v>
      </c>
      <c r="F526" t="inlineStr">
        <is>
          <t>ÖSTERGÖTLANDS LÄN</t>
        </is>
      </c>
      <c r="G526" t="inlineStr">
        <is>
          <t>FINSPÅNG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9003-2024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45357</v>
      </c>
      <c r="E527" s="1" t="n">
        <v>46297</v>
      </c>
      <c r="F527" t="inlineStr">
        <is>
          <t>ÖSTERGÖTLANDS LÄN</t>
        </is>
      </c>
      <c r="G527" t="inlineStr">
        <is>
          <t>FINSPÅNG</t>
        </is>
      </c>
      <c r="I527" t="n">
        <v>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56309-2022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44887</v>
      </c>
      <c r="E528" s="1" t="n">
        <v>46297</v>
      </c>
      <c r="F528" t="inlineStr">
        <is>
          <t>ÖSTERGÖTLANDS LÄN</t>
        </is>
      </c>
      <c r="G528" t="inlineStr">
        <is>
          <t>FINSPÅNG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60547-2023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45259</v>
      </c>
      <c r="E529" s="1" t="n">
        <v>46297</v>
      </c>
      <c r="F529" t="inlineStr">
        <is>
          <t>ÖSTERGÖTLANDS LÄN</t>
        </is>
      </c>
      <c r="G529" t="inlineStr">
        <is>
          <t>FINSPÅNG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57678-2025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45980</v>
      </c>
      <c r="E530" s="1" t="n">
        <v>46297</v>
      </c>
      <c r="F530" t="inlineStr">
        <is>
          <t>ÖSTERGÖTLANDS LÄN</t>
        </is>
      </c>
      <c r="G530" t="inlineStr">
        <is>
          <t>FINSPÅNG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43534-2023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45184</v>
      </c>
      <c r="E531" s="1" t="n">
        <v>46297</v>
      </c>
      <c r="F531" t="inlineStr">
        <is>
          <t>ÖSTERGÖTLANDS LÄN</t>
        </is>
      </c>
      <c r="G531" t="inlineStr">
        <is>
          <t>FINSPÅNG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63585-2023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45275</v>
      </c>
      <c r="E532" s="1" t="n">
        <v>46297</v>
      </c>
      <c r="F532" t="inlineStr">
        <is>
          <t>ÖSTERGÖTLANDS LÄN</t>
        </is>
      </c>
      <c r="G532" t="inlineStr">
        <is>
          <t>FINSPÅNG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25678-2024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45463</v>
      </c>
      <c r="E533" s="1" t="n">
        <v>46297</v>
      </c>
      <c r="F533" t="inlineStr">
        <is>
          <t>ÖSTERGÖTLANDS LÄN</t>
        </is>
      </c>
      <c r="G533" t="inlineStr">
        <is>
          <t>FINSPÅNG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11950-2023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44995</v>
      </c>
      <c r="E534" s="1" t="n">
        <v>46297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45677</v>
      </c>
      <c r="E535" s="1" t="n">
        <v>46297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28556-2023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46297</v>
      </c>
      <c r="F536" t="inlineStr">
        <is>
          <t>ÖSTERGÖTLANDS LÄN</t>
        </is>
      </c>
      <c r="G536" t="inlineStr">
        <is>
          <t>FINSPÅNG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46297</v>
      </c>
      <c r="F537" t="inlineStr">
        <is>
          <t>ÖSTERGÖTLANDS LÄN</t>
        </is>
      </c>
      <c r="G537" t="inlineStr">
        <is>
          <t>FINSPÅNG</t>
        </is>
      </c>
      <c r="I537" t="n">
        <v>5.4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34119-2025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45845</v>
      </c>
      <c r="E538" s="1" t="n">
        <v>46297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11540-2023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44993</v>
      </c>
      <c r="E539" s="1" t="n">
        <v>46297</v>
      </c>
      <c r="F539" t="inlineStr">
        <is>
          <t>ÖSTERGÖTLANDS LÄN</t>
        </is>
      </c>
      <c r="G539" t="inlineStr">
        <is>
          <t>FINSPÅNG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6527-2023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44966</v>
      </c>
      <c r="E540" s="1" t="n">
        <v>46297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45293</v>
      </c>
      <c r="E541" s="1" t="n">
        <v>46297</v>
      </c>
      <c r="F541" t="inlineStr">
        <is>
          <t>ÖSTERGÖTLANDS LÄN</t>
        </is>
      </c>
      <c r="G541" t="inlineStr">
        <is>
          <t>FINSPÅNG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13821-2024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45391</v>
      </c>
      <c r="E542" s="1" t="n">
        <v>46297</v>
      </c>
      <c r="F542" t="inlineStr">
        <is>
          <t>ÖSTERGÖTLANDS LÄN</t>
        </is>
      </c>
      <c r="G542" t="inlineStr">
        <is>
          <t>FINSPÅNG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45250</v>
      </c>
      <c r="E543" s="1" t="n">
        <v>46297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22938-2026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46160</v>
      </c>
      <c r="E544" s="1" t="n">
        <v>46297</v>
      </c>
      <c r="F544" t="inlineStr">
        <is>
          <t>ÖSTERGÖTLANDS LÄN</t>
        </is>
      </c>
      <c r="G544" t="inlineStr">
        <is>
          <t>FINSPÅNG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10485-2026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46077</v>
      </c>
      <c r="E545" s="1" t="n">
        <v>46297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Kyrkan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44949</v>
      </c>
      <c r="E546" s="1" t="n">
        <v>46297</v>
      </c>
      <c r="F546" t="inlineStr">
        <is>
          <t>ÖSTERGÖTLANDS LÄN</t>
        </is>
      </c>
      <c r="G546" t="inlineStr">
        <is>
          <t>FINSPÅNG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7743-2023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44973</v>
      </c>
      <c r="E547" s="1" t="n">
        <v>46297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62158-2022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44922</v>
      </c>
      <c r="E548" s="1" t="n">
        <v>46297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28732-2023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45103</v>
      </c>
      <c r="E549" s="1" t="n">
        <v>46297</v>
      </c>
      <c r="F549" t="inlineStr">
        <is>
          <t>ÖSTERGÖTLANDS LÄN</t>
        </is>
      </c>
      <c r="G549" t="inlineStr">
        <is>
          <t>FINSPÅNG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6575-2024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45341</v>
      </c>
      <c r="E550" s="1" t="n">
        <v>46297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Övriga Aktiebolag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45293</v>
      </c>
      <c r="E551" s="1" t="n">
        <v>46297</v>
      </c>
      <c r="F551" t="inlineStr">
        <is>
          <t>ÖSTERGÖTLANDS LÄN</t>
        </is>
      </c>
      <c r="G551" t="inlineStr">
        <is>
          <t>FINSPÅNG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13826-2024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45391</v>
      </c>
      <c r="E552" s="1" t="n">
        <v>46297</v>
      </c>
      <c r="F552" t="inlineStr">
        <is>
          <t>ÖSTERGÖTLANDS LÄN</t>
        </is>
      </c>
      <c r="G552" t="inlineStr">
        <is>
          <t>FINSPÅNG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17321-2022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44678</v>
      </c>
      <c r="E553" s="1" t="n">
        <v>46297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13229-2023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45002</v>
      </c>
      <c r="E554" s="1" t="n">
        <v>46297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Kyrkan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23821-2023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45078</v>
      </c>
      <c r="E555" s="1" t="n">
        <v>46297</v>
      </c>
      <c r="F555" t="inlineStr">
        <is>
          <t>ÖSTERGÖTLANDS LÄN</t>
        </is>
      </c>
      <c r="G555" t="inlineStr">
        <is>
          <t>FINSPÅNG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11541-2023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44993</v>
      </c>
      <c r="E556" s="1" t="n">
        <v>46297</v>
      </c>
      <c r="F556" t="inlineStr">
        <is>
          <t>ÖSTERGÖTLANDS LÄN</t>
        </is>
      </c>
      <c r="G556" t="inlineStr">
        <is>
          <t>FINSPÅNG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33804-2023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45133</v>
      </c>
      <c r="E557" s="1" t="n">
        <v>46297</v>
      </c>
      <c r="F557" t="inlineStr">
        <is>
          <t>ÖSTERGÖTLANDS LÄN</t>
        </is>
      </c>
      <c r="G557" t="inlineStr">
        <is>
          <t>FINSPÅNG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73655-2021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44551</v>
      </c>
      <c r="E558" s="1" t="n">
        <v>46297</v>
      </c>
      <c r="F558" t="inlineStr">
        <is>
          <t>ÖSTERGÖTLANDS LÄN</t>
        </is>
      </c>
      <c r="G558" t="inlineStr">
        <is>
          <t>FINSPÅNG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22603-2024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45447</v>
      </c>
      <c r="E559" s="1" t="n">
        <v>46297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46297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Kyrkan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1628-2023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44937</v>
      </c>
      <c r="E561" s="1" t="n">
        <v>46297</v>
      </c>
      <c r="F561" t="inlineStr">
        <is>
          <t>ÖSTERGÖTLANDS LÄN</t>
        </is>
      </c>
      <c r="G561" t="inlineStr">
        <is>
          <t>FINSPÅNG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2744-2024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45314</v>
      </c>
      <c r="E562" s="1" t="n">
        <v>46297</v>
      </c>
      <c r="F562" t="inlineStr">
        <is>
          <t>ÖSTERGÖTLANDS LÄN</t>
        </is>
      </c>
      <c r="G562" t="inlineStr">
        <is>
          <t>FINSPÅNG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44981</v>
      </c>
      <c r="E563" s="1" t="n">
        <v>46297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18295-2023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45041</v>
      </c>
      <c r="E564" s="1" t="n">
        <v>46297</v>
      </c>
      <c r="F564" t="inlineStr">
        <is>
          <t>ÖSTERGÖTLANDS LÄN</t>
        </is>
      </c>
      <c r="G564" t="inlineStr">
        <is>
          <t>FINSPÅNG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21655-2023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45063</v>
      </c>
      <c r="E565" s="1" t="n">
        <v>46297</v>
      </c>
      <c r="F565" t="inlineStr">
        <is>
          <t>ÖSTERGÖTLANDS LÄN</t>
        </is>
      </c>
      <c r="G565" t="inlineStr">
        <is>
          <t>FINSPÅNG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31025-2023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45113</v>
      </c>
      <c r="E566" s="1" t="n">
        <v>46297</v>
      </c>
      <c r="F566" t="inlineStr">
        <is>
          <t>ÖSTERGÖTLANDS LÄN</t>
        </is>
      </c>
      <c r="G566" t="inlineStr">
        <is>
          <t>FINSPÅNG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50670-2024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45601</v>
      </c>
      <c r="E567" s="1" t="n">
        <v>46297</v>
      </c>
      <c r="F567" t="inlineStr">
        <is>
          <t>ÖSTERGÖTLANDS LÄN</t>
        </is>
      </c>
      <c r="G567" t="inlineStr">
        <is>
          <t>FINSPÅNG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25844-2026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46176</v>
      </c>
      <c r="E568" s="1" t="n">
        <v>46297</v>
      </c>
      <c r="F568" t="inlineStr">
        <is>
          <t>ÖSTERGÖTLANDS LÄN</t>
        </is>
      </c>
      <c r="G568" t="inlineStr">
        <is>
          <t>FINSPÅNG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46176</v>
      </c>
      <c r="E569" s="1" t="n">
        <v>46297</v>
      </c>
      <c r="F569" t="inlineStr">
        <is>
          <t>ÖSTERGÖTLANDS LÄN</t>
        </is>
      </c>
      <c r="G569" t="inlineStr">
        <is>
          <t>FINSPÅNG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17994-2023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45040</v>
      </c>
      <c r="E570" s="1" t="n">
        <v>46297</v>
      </c>
      <c r="F570" t="inlineStr">
        <is>
          <t>ÖSTERGÖTLANDS LÄN</t>
        </is>
      </c>
      <c r="G570" t="inlineStr">
        <is>
          <t>FINSPÅNG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15614-2023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45020</v>
      </c>
      <c r="E571" s="1" t="n">
        <v>46297</v>
      </c>
      <c r="F571" t="inlineStr">
        <is>
          <t>ÖSTERGÖTLANDS LÄN</t>
        </is>
      </c>
      <c r="G571" t="inlineStr">
        <is>
          <t>FINSPÅNG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48652-2024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45593</v>
      </c>
      <c r="E572" s="1" t="n">
        <v>46297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Övriga Aktiebolag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25860-2026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46176</v>
      </c>
      <c r="E573" s="1" t="n">
        <v>46297</v>
      </c>
      <c r="F573" t="inlineStr">
        <is>
          <t>ÖSTERGÖTLANDS LÄN</t>
        </is>
      </c>
      <c r="G573" t="inlineStr">
        <is>
          <t>FINSPÅNG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24833-2026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46174</v>
      </c>
      <c r="E574" s="1" t="n">
        <v>46297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5.5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24835-2026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46174</v>
      </c>
      <c r="E575" s="1" t="n">
        <v>46297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21907-2023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45068</v>
      </c>
      <c r="E576" s="1" t="n">
        <v>46297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25629-2026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46297</v>
      </c>
      <c r="F577" t="inlineStr">
        <is>
          <t>ÖSTERGÖTLANDS LÄN</t>
        </is>
      </c>
      <c r="G577" t="inlineStr">
        <is>
          <t>FINSPÅNG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36192-2023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45149</v>
      </c>
      <c r="E578" s="1" t="n">
        <v>46297</v>
      </c>
      <c r="F578" t="inlineStr">
        <is>
          <t>ÖSTERGÖTLANDS LÄN</t>
        </is>
      </c>
      <c r="G578" t="inlineStr">
        <is>
          <t>FINSPÅNG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54581-2024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45617</v>
      </c>
      <c r="E579" s="1" t="n">
        <v>46297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1131-2024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45302</v>
      </c>
      <c r="E580" s="1" t="n">
        <v>46297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46297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10206-2022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44622</v>
      </c>
      <c r="E582" s="1" t="n">
        <v>46297</v>
      </c>
      <c r="F582" t="inlineStr">
        <is>
          <t>ÖSTERGÖTLANDS LÄN</t>
        </is>
      </c>
      <c r="G582" t="inlineStr">
        <is>
          <t>FINSPÅNG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199-2022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44564</v>
      </c>
      <c r="E583" s="1" t="n">
        <v>46297</v>
      </c>
      <c r="F583" t="inlineStr">
        <is>
          <t>ÖSTERGÖTLANDS LÄN</t>
        </is>
      </c>
      <c r="G583" t="inlineStr">
        <is>
          <t>FINSPÅNG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44958</v>
      </c>
      <c r="E584" s="1" t="n">
        <v>46297</v>
      </c>
      <c r="F584" t="inlineStr">
        <is>
          <t>ÖSTERGÖTLANDS LÄN</t>
        </is>
      </c>
      <c r="G584" t="inlineStr">
        <is>
          <t>FINSPÅNG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27698-2023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45095</v>
      </c>
      <c r="E585" s="1" t="n">
        <v>46297</v>
      </c>
      <c r="F585" t="inlineStr">
        <is>
          <t>ÖSTERGÖTLANDS LÄN</t>
        </is>
      </c>
      <c r="G585" t="inlineStr">
        <is>
          <t>FINSPÅNG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65742-2021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44516</v>
      </c>
      <c r="E586" s="1" t="n">
        <v>46297</v>
      </c>
      <c r="F586" t="inlineStr">
        <is>
          <t>ÖSTERGÖTLANDS LÄN</t>
        </is>
      </c>
      <c r="G586" t="inlineStr">
        <is>
          <t>FINSPÅNG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18134-2023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45040</v>
      </c>
      <c r="E587" s="1" t="n">
        <v>46297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Holmen skog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53670-2024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45615</v>
      </c>
      <c r="E588" s="1" t="n">
        <v>46297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52561-2024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45609</v>
      </c>
      <c r="E589" s="1" t="n">
        <v>46297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40065-2024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45554</v>
      </c>
      <c r="E590" s="1" t="n">
        <v>46297</v>
      </c>
      <c r="F590" t="inlineStr">
        <is>
          <t>ÖSTERGÖTLANDS LÄN</t>
        </is>
      </c>
      <c r="G590" t="inlineStr">
        <is>
          <t>FINSPÅNG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25759-2026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46178</v>
      </c>
      <c r="E591" s="1" t="n">
        <v>46297</v>
      </c>
      <c r="F591" t="inlineStr">
        <is>
          <t>ÖSTERGÖTLANDS LÄN</t>
        </is>
      </c>
      <c r="G591" t="inlineStr">
        <is>
          <t>FINSPÅNG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46178</v>
      </c>
      <c r="E592" s="1" t="n">
        <v>46297</v>
      </c>
      <c r="F592" t="inlineStr">
        <is>
          <t>ÖSTERGÖTLANDS LÄN</t>
        </is>
      </c>
      <c r="G592" t="inlineStr">
        <is>
          <t>FINSPÅNG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25760-2026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46297</v>
      </c>
      <c r="F593" t="inlineStr">
        <is>
          <t>ÖSTERGÖTLANDS LÄN</t>
        </is>
      </c>
      <c r="G593" t="inlineStr">
        <is>
          <t>FINSPÅNG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39415-2024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45551</v>
      </c>
      <c r="E594" s="1" t="n">
        <v>46297</v>
      </c>
      <c r="F594" t="inlineStr">
        <is>
          <t>ÖSTERGÖTLANDS LÄN</t>
        </is>
      </c>
      <c r="G594" t="inlineStr">
        <is>
          <t>FINSPÅNG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10215-2022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44622</v>
      </c>
      <c r="E595" s="1" t="n">
        <v>46297</v>
      </c>
      <c r="F595" t="inlineStr">
        <is>
          <t>ÖSTERGÖTLANDS LÄN</t>
        </is>
      </c>
      <c r="G595" t="inlineStr">
        <is>
          <t>FINSPÅNG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27018-2026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46185</v>
      </c>
      <c r="E596" s="1" t="n">
        <v>46297</v>
      </c>
      <c r="F596" t="inlineStr">
        <is>
          <t>ÖSTERGÖTLANDS LÄN</t>
        </is>
      </c>
      <c r="G596" t="inlineStr">
        <is>
          <t>FINSPÅNG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23724-2023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45077</v>
      </c>
      <c r="E597" s="1" t="n">
        <v>46297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26905-2026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46185</v>
      </c>
      <c r="E598" s="1" t="n">
        <v>46297</v>
      </c>
      <c r="F598" t="inlineStr">
        <is>
          <t>ÖSTERGÖTLANDS LÄN</t>
        </is>
      </c>
      <c r="G598" t="inlineStr">
        <is>
          <t>FINSPÅNG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48466-2023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45206</v>
      </c>
      <c r="E599" s="1" t="n">
        <v>46297</v>
      </c>
      <c r="F599" t="inlineStr">
        <is>
          <t>ÖSTERGÖTLANDS LÄN</t>
        </is>
      </c>
      <c r="G599" t="inlineStr">
        <is>
          <t>FINSPÅNG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24806-2023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45084</v>
      </c>
      <c r="E600" s="1" t="n">
        <v>46297</v>
      </c>
      <c r="F600" t="inlineStr">
        <is>
          <t>ÖSTERGÖTLANDS LÄN</t>
        </is>
      </c>
      <c r="G600" t="inlineStr">
        <is>
          <t>FINSPÅNG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24012-2024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45456</v>
      </c>
      <c r="E601" s="1" t="n">
        <v>46297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41328-2023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45174</v>
      </c>
      <c r="E602" s="1" t="n">
        <v>46297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Kyrkan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61114-2024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45645</v>
      </c>
      <c r="E603" s="1" t="n">
        <v>46297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27369-2026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46188</v>
      </c>
      <c r="E604" s="1" t="n">
        <v>46297</v>
      </c>
      <c r="F604" t="inlineStr">
        <is>
          <t>ÖSTERGÖTLANDS LÄN</t>
        </is>
      </c>
      <c r="G604" t="inlineStr">
        <is>
          <t>FINSPÅNG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34758-2022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44795</v>
      </c>
      <c r="E605" s="1" t="n">
        <v>46297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Övriga Aktiebolag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9635-2025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45715</v>
      </c>
      <c r="E606" s="1" t="n">
        <v>46297</v>
      </c>
      <c r="F606" t="inlineStr">
        <is>
          <t>ÖSTERGÖTLANDS LÄN</t>
        </is>
      </c>
      <c r="G606" t="inlineStr">
        <is>
          <t>FINSPÅNG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11730-2022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44634</v>
      </c>
      <c r="E607" s="1" t="n">
        <v>46297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18349-2025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46297</v>
      </c>
      <c r="F608" t="inlineStr">
        <is>
          <t>ÖSTERGÖTLANDS LÄN</t>
        </is>
      </c>
      <c r="G608" t="inlineStr">
        <is>
          <t>FINSPÅNG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28386-2026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46196</v>
      </c>
      <c r="E609" s="1" t="n">
        <v>46297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Kommuner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34309-2025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45846</v>
      </c>
      <c r="E610" s="1" t="n">
        <v>46297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29018-2026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46199</v>
      </c>
      <c r="E611" s="1" t="n">
        <v>46297</v>
      </c>
      <c r="F611" t="inlineStr">
        <is>
          <t>ÖSTERGÖTLANDS LÄN</t>
        </is>
      </c>
      <c r="G611" t="inlineStr">
        <is>
          <t>FINSPÅNG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35570-2023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45147</v>
      </c>
      <c r="E612" s="1" t="n">
        <v>46297</v>
      </c>
      <c r="F612" t="inlineStr">
        <is>
          <t>ÖSTERGÖTLANDS LÄN</t>
        </is>
      </c>
      <c r="G612" t="inlineStr">
        <is>
          <t>FINSPÅNG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29482-2026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46297</v>
      </c>
      <c r="F613" t="inlineStr">
        <is>
          <t>ÖSTERGÖTLANDS LÄN</t>
        </is>
      </c>
      <c r="G613" t="inlineStr">
        <is>
          <t>FINSPÅNG</t>
        </is>
      </c>
      <c r="I613" t="n">
        <v>13.3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48790-2023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45209</v>
      </c>
      <c r="E614" s="1" t="n">
        <v>46297</v>
      </c>
      <c r="F614" t="inlineStr">
        <is>
          <t>ÖSTERGÖTLANDS LÄN</t>
        </is>
      </c>
      <c r="G614" t="inlineStr">
        <is>
          <t>FINSPÅNG</t>
        </is>
      </c>
      <c r="I614" t="n">
        <v>14.6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48793-2023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45209</v>
      </c>
      <c r="E615" s="1" t="n">
        <v>46297</v>
      </c>
      <c r="F615" t="inlineStr">
        <is>
          <t>ÖSTERGÖTLANDS LÄN</t>
        </is>
      </c>
      <c r="G615" t="inlineStr">
        <is>
          <t>FINSPÅNG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56420-2023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45243</v>
      </c>
      <c r="E616" s="1" t="n">
        <v>46297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29731-2026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46204</v>
      </c>
      <c r="E617" s="1" t="n">
        <v>46297</v>
      </c>
      <c r="F617" t="inlineStr">
        <is>
          <t>ÖSTERGÖTLANDS LÄN</t>
        </is>
      </c>
      <c r="G617" t="inlineStr">
        <is>
          <t>FINSPÅNG</t>
        </is>
      </c>
      <c r="I617" t="n">
        <v>18.6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45660</v>
      </c>
      <c r="E618" s="1" t="n">
        <v>46297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Övriga Aktiebolag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28722-2023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45103</v>
      </c>
      <c r="E619" s="1" t="n">
        <v>46297</v>
      </c>
      <c r="F619" t="inlineStr">
        <is>
          <t>ÖSTERGÖTLANDS LÄN</t>
        </is>
      </c>
      <c r="G619" t="inlineStr">
        <is>
          <t>FINSPÅNG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59287-2023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45253</v>
      </c>
      <c r="E620" s="1" t="n">
        <v>46297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15824-2022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44664</v>
      </c>
      <c r="E621" s="1" t="n">
        <v>46297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63482-2023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45274</v>
      </c>
      <c r="E622" s="1" t="n">
        <v>46297</v>
      </c>
      <c r="F622" t="inlineStr">
        <is>
          <t>ÖSTERGÖTLANDS LÄN</t>
        </is>
      </c>
      <c r="G622" t="inlineStr">
        <is>
          <t>FINSPÅNG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31147-2026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46209</v>
      </c>
      <c r="E623" s="1" t="n">
        <v>46297</v>
      </c>
      <c r="F623" t="inlineStr">
        <is>
          <t>ÖSTERGÖTLANDS LÄN</t>
        </is>
      </c>
      <c r="G623" t="inlineStr">
        <is>
          <t>FINSPÅNG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30920-2022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44767</v>
      </c>
      <c r="E624" s="1" t="n">
        <v>46297</v>
      </c>
      <c r="F624" t="inlineStr">
        <is>
          <t>ÖSTERGÖTLANDS LÄN</t>
        </is>
      </c>
      <c r="G624" t="inlineStr">
        <is>
          <t>FINSPÅNG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46209</v>
      </c>
      <c r="E625" s="1" t="n">
        <v>46297</v>
      </c>
      <c r="F625" t="inlineStr">
        <is>
          <t>ÖSTERGÖTLANDS LÄN</t>
        </is>
      </c>
      <c r="G625" t="inlineStr">
        <is>
          <t>FINSPÅNG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10252-2025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45720</v>
      </c>
      <c r="E626" s="1" t="n">
        <v>46297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31152-2026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46209</v>
      </c>
      <c r="E627" s="1" t="n">
        <v>46297</v>
      </c>
      <c r="F627" t="inlineStr">
        <is>
          <t>ÖSTERGÖTLANDS LÄN</t>
        </is>
      </c>
      <c r="G627" t="inlineStr">
        <is>
          <t>FINSPÅNG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26247-2022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44735</v>
      </c>
      <c r="E628" s="1" t="n">
        <v>46297</v>
      </c>
      <c r="F628" t="inlineStr">
        <is>
          <t>ÖSTERGÖTLANDS LÄN</t>
        </is>
      </c>
      <c r="G628" t="inlineStr">
        <is>
          <t>FINSPÅNG</t>
        </is>
      </c>
      <c r="I628" t="n">
        <v>10.1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30633-2026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46211</v>
      </c>
      <c r="E629" s="1" t="n">
        <v>46297</v>
      </c>
      <c r="F629" t="inlineStr">
        <is>
          <t>ÖSTERGÖTLANDS LÄN</t>
        </is>
      </c>
      <c r="G629" t="inlineStr">
        <is>
          <t>FINSPÅNG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30864-2026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46297</v>
      </c>
      <c r="F630" t="inlineStr">
        <is>
          <t>ÖSTERGÖTLANDS LÄN</t>
        </is>
      </c>
      <c r="G630" t="inlineStr">
        <is>
          <t>FINSPÅNG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25195-2022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44729</v>
      </c>
      <c r="E631" s="1" t="n">
        <v>46297</v>
      </c>
      <c r="F631" t="inlineStr">
        <is>
          <t>ÖSTERGÖTLANDS LÄN</t>
        </is>
      </c>
      <c r="G631" t="inlineStr">
        <is>
          <t>FINSPÅNG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36191-2023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45149</v>
      </c>
      <c r="E632" s="1" t="n">
        <v>46297</v>
      </c>
      <c r="F632" t="inlineStr">
        <is>
          <t>ÖSTERGÖTLANDS LÄN</t>
        </is>
      </c>
      <c r="G632" t="inlineStr">
        <is>
          <t>FINSPÅNG</t>
        </is>
      </c>
      <c r="I632" t="n">
        <v>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59799-2023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45257</v>
      </c>
      <c r="E633" s="1" t="n">
        <v>46297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2741-2024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45314</v>
      </c>
      <c r="E634" s="1" t="n">
        <v>46297</v>
      </c>
      <c r="F634" t="inlineStr">
        <is>
          <t>ÖSTERGÖTLANDS LÄN</t>
        </is>
      </c>
      <c r="G634" t="inlineStr">
        <is>
          <t>FINSPÅNG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34555-2026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46255</v>
      </c>
      <c r="E635" s="1" t="n">
        <v>46297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Sveaskog</t>
        </is>
      </c>
      <c r="I635" t="n">
        <v>8.4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16680-2022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44672</v>
      </c>
      <c r="E636" s="1" t="n">
        <v>46297</v>
      </c>
      <c r="F636" t="inlineStr">
        <is>
          <t>ÖSTERGÖTLANDS LÄN</t>
        </is>
      </c>
      <c r="G636" t="inlineStr">
        <is>
          <t>FINSPÅNG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2047-2024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45308</v>
      </c>
      <c r="E637" s="1" t="n">
        <v>46297</v>
      </c>
      <c r="F637" t="inlineStr">
        <is>
          <t>ÖSTERGÖTLANDS LÄN</t>
        </is>
      </c>
      <c r="G637" t="inlineStr">
        <is>
          <t>FINSPÅNG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40319-2022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44823</v>
      </c>
      <c r="E638" s="1" t="n">
        <v>46297</v>
      </c>
      <c r="F638" t="inlineStr">
        <is>
          <t>ÖSTERGÖTLANDS LÄN</t>
        </is>
      </c>
      <c r="G638" t="inlineStr">
        <is>
          <t>FINSPÅNG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46258</v>
      </c>
      <c r="E639" s="1" t="n">
        <v>46297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Övriga Aktiebolag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34884-2026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46258</v>
      </c>
      <c r="E640" s="1" t="n">
        <v>46297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Övriga Aktiebolag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55980-2024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45623</v>
      </c>
      <c r="E641" s="1" t="n">
        <v>46297</v>
      </c>
      <c r="F641" t="inlineStr">
        <is>
          <t>ÖSTERGÖTLANDS LÄN</t>
        </is>
      </c>
      <c r="G641" t="inlineStr">
        <is>
          <t>FINSPÅNG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38613-2022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44813</v>
      </c>
      <c r="E642" s="1" t="n">
        <v>46297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43051-2022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44833</v>
      </c>
      <c r="E643" s="1" t="n">
        <v>46297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26195-2024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45468</v>
      </c>
      <c r="E644" s="1" t="n">
        <v>46297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31300-2026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46218</v>
      </c>
      <c r="E645" s="1" t="n">
        <v>46297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Sveaskog</t>
        </is>
      </c>
      <c r="I645" t="n">
        <v>9.5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12483-2024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45379</v>
      </c>
      <c r="E646" s="1" t="n">
        <v>46297</v>
      </c>
      <c r="F646" t="inlineStr">
        <is>
          <t>ÖSTERGÖTLANDS LÄN</t>
        </is>
      </c>
      <c r="G646" t="inlineStr">
        <is>
          <t>FINSPÅNG</t>
        </is>
      </c>
      <c r="I646" t="n">
        <v>11.9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45309</v>
      </c>
      <c r="E647" s="1" t="n">
        <v>46297</v>
      </c>
      <c r="F647" t="inlineStr">
        <is>
          <t>ÖSTERGÖTLANDS LÄN</t>
        </is>
      </c>
      <c r="G647" t="inlineStr">
        <is>
          <t>FINSPÅNG</t>
        </is>
      </c>
      <c r="H647" t="inlineStr">
        <is>
          <t>Holmen skog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2152-2024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45309</v>
      </c>
      <c r="E648" s="1" t="n">
        <v>46297</v>
      </c>
      <c r="F648" t="inlineStr">
        <is>
          <t>ÖSTERGÖTLANDS LÄN</t>
        </is>
      </c>
      <c r="G648" t="inlineStr">
        <is>
          <t>FINSPÅNG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45309</v>
      </c>
      <c r="E649" s="1" t="n">
        <v>46297</v>
      </c>
      <c r="F649" t="inlineStr">
        <is>
          <t>ÖSTERGÖTLANDS LÄN</t>
        </is>
      </c>
      <c r="G649" t="inlineStr">
        <is>
          <t>FINSPÅNG</t>
        </is>
      </c>
      <c r="I649" t="n">
        <v>15.1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59838-2023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45257</v>
      </c>
      <c r="E650" s="1" t="n">
        <v>46297</v>
      </c>
      <c r="F650" t="inlineStr">
        <is>
          <t>ÖSTERGÖTLANDS LÄN</t>
        </is>
      </c>
      <c r="G650" t="inlineStr">
        <is>
          <t>FINSPÅNG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1137-2024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45302</v>
      </c>
      <c r="E651" s="1" t="n">
        <v>46297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31301-2026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46218</v>
      </c>
      <c r="E652" s="1" t="n">
        <v>46297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Sveaskog</t>
        </is>
      </c>
      <c r="I652" t="n">
        <v>4.4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31307-2026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46219</v>
      </c>
      <c r="E653" s="1" t="n">
        <v>46297</v>
      </c>
      <c r="F653" t="inlineStr">
        <is>
          <t>ÖSTERGÖTLANDS LÄN</t>
        </is>
      </c>
      <c r="G653" t="inlineStr">
        <is>
          <t>FINSPÅNG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6731-2023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44966</v>
      </c>
      <c r="E654" s="1" t="n">
        <v>46297</v>
      </c>
      <c r="F654" t="inlineStr">
        <is>
          <t>ÖSTERGÖTLANDS LÄN</t>
        </is>
      </c>
      <c r="G654" t="inlineStr">
        <is>
          <t>FINSPÅNG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30922-2022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44767</v>
      </c>
      <c r="E655" s="1" t="n">
        <v>46297</v>
      </c>
      <c r="F655" t="inlineStr">
        <is>
          <t>ÖSTERGÖTLANDS LÄN</t>
        </is>
      </c>
      <c r="G655" t="inlineStr">
        <is>
          <t>FINSPÅNG</t>
        </is>
      </c>
      <c r="I655" t="n">
        <v>10.6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39205-2022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44817</v>
      </c>
      <c r="E656" s="1" t="n">
        <v>46297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17992-2023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45040</v>
      </c>
      <c r="E657" s="1" t="n">
        <v>46297</v>
      </c>
      <c r="F657" t="inlineStr">
        <is>
          <t>ÖSTERGÖTLANDS LÄN</t>
        </is>
      </c>
      <c r="G657" t="inlineStr">
        <is>
          <t>FINSPÅNG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5616-2022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44595</v>
      </c>
      <c r="E658" s="1" t="n">
        <v>46297</v>
      </c>
      <c r="F658" t="inlineStr">
        <is>
          <t>ÖSTERGÖTLANDS LÄN</t>
        </is>
      </c>
      <c r="G658" t="inlineStr">
        <is>
          <t>FINSPÅNG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36267-2026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46268</v>
      </c>
      <c r="E659" s="1" t="n">
        <v>46297</v>
      </c>
      <c r="F659" t="inlineStr">
        <is>
          <t>ÖSTERGÖTLANDS LÄN</t>
        </is>
      </c>
      <c r="G659" t="inlineStr">
        <is>
          <t>FINSPÅNG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14110-2023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45009</v>
      </c>
      <c r="E660" s="1" t="n">
        <v>46297</v>
      </c>
      <c r="F660" t="inlineStr">
        <is>
          <t>ÖSTERGÖTLANDS LÄN</t>
        </is>
      </c>
      <c r="G660" t="inlineStr">
        <is>
          <t>FINSPÅNG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24804-2023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45084</v>
      </c>
      <c r="E661" s="1" t="n">
        <v>46297</v>
      </c>
      <c r="F661" t="inlineStr">
        <is>
          <t>ÖSTERGÖTLANDS LÄN</t>
        </is>
      </c>
      <c r="G661" t="inlineStr">
        <is>
          <t>FINSPÅNG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46297</v>
      </c>
      <c r="F662" t="inlineStr">
        <is>
          <t>ÖSTERGÖTLANDS LÄN</t>
        </is>
      </c>
      <c r="G662" t="inlineStr">
        <is>
          <t>FINSPÅNG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33027-2022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44782</v>
      </c>
      <c r="E663" s="1" t="n">
        <v>46297</v>
      </c>
      <c r="F663" t="inlineStr">
        <is>
          <t>ÖSTERGÖTLANDS LÄN</t>
        </is>
      </c>
      <c r="G663" t="inlineStr">
        <is>
          <t>FINSPÅNG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36479-2026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46269</v>
      </c>
      <c r="E664" s="1" t="n">
        <v>46297</v>
      </c>
      <c r="F664" t="inlineStr">
        <is>
          <t>ÖSTERGÖTLANDS LÄN</t>
        </is>
      </c>
      <c r="G664" t="inlineStr">
        <is>
          <t>FINSPÅNG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22714-2022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44714</v>
      </c>
      <c r="E665" s="1" t="n">
        <v>46297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45299</v>
      </c>
      <c r="E666" s="1" t="n">
        <v>46297</v>
      </c>
      <c r="F666" t="inlineStr">
        <is>
          <t>ÖSTERGÖTLANDS LÄN</t>
        </is>
      </c>
      <c r="G666" t="inlineStr">
        <is>
          <t>FINSPÅNG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36505-2026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46269</v>
      </c>
      <c r="E667" s="1" t="n">
        <v>46297</v>
      </c>
      <c r="F667" t="inlineStr">
        <is>
          <t>ÖSTERGÖTLANDS LÄN</t>
        </is>
      </c>
      <c r="G667" t="inlineStr">
        <is>
          <t>FINSPÅNG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46226</v>
      </c>
      <c r="E668" s="1" t="n">
        <v>46297</v>
      </c>
      <c r="F668" t="inlineStr">
        <is>
          <t>ÖSTERGÖTLANDS LÄN</t>
        </is>
      </c>
      <c r="G668" t="inlineStr">
        <is>
          <t>FINSPÅNG</t>
        </is>
      </c>
      <c r="I668" t="n">
        <v>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31668-2026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46225</v>
      </c>
      <c r="E669" s="1" t="n">
        <v>46297</v>
      </c>
      <c r="F669" t="inlineStr">
        <is>
          <t>ÖSTERGÖTLANDS LÄN</t>
        </is>
      </c>
      <c r="G669" t="inlineStr">
        <is>
          <t>FINSPÅNG</t>
        </is>
      </c>
      <c r="I669" t="n">
        <v>10.5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31669-2026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46225</v>
      </c>
      <c r="E670" s="1" t="n">
        <v>46297</v>
      </c>
      <c r="F670" t="inlineStr">
        <is>
          <t>ÖSTERGÖTLANDS LÄN</t>
        </is>
      </c>
      <c r="G670" t="inlineStr">
        <is>
          <t>FINSPÅNG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29078-2022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44749</v>
      </c>
      <c r="E671" s="1" t="n">
        <v>46297</v>
      </c>
      <c r="F671" t="inlineStr">
        <is>
          <t>ÖSTERGÖTLANDS LÄN</t>
        </is>
      </c>
      <c r="G671" t="inlineStr">
        <is>
          <t>FINSPÅNG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36486-2026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46297</v>
      </c>
      <c r="F672" t="inlineStr">
        <is>
          <t>ÖSTERGÖTLANDS LÄN</t>
        </is>
      </c>
      <c r="G672" t="inlineStr">
        <is>
          <t>FINSPÅNG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36498-2026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46297</v>
      </c>
      <c r="F673" t="inlineStr">
        <is>
          <t>ÖSTERGÖTLANDS LÄN</t>
        </is>
      </c>
      <c r="G673" t="inlineStr">
        <is>
          <t>FINSPÅNG</t>
        </is>
      </c>
      <c r="I673" t="n">
        <v>4.3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36503-2026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46269</v>
      </c>
      <c r="E674" s="1" t="n">
        <v>46297</v>
      </c>
      <c r="F674" t="inlineStr">
        <is>
          <t>ÖSTERGÖTLANDS LÄN</t>
        </is>
      </c>
      <c r="G674" t="inlineStr">
        <is>
          <t>FINSPÅNG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49494-2022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44861</v>
      </c>
      <c r="E675" s="1" t="n">
        <v>46297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Naturvårdsverket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10420-2023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44987</v>
      </c>
      <c r="E676" s="1" t="n">
        <v>46297</v>
      </c>
      <c r="F676" t="inlineStr">
        <is>
          <t>ÖSTERGÖTLANDS LÄN</t>
        </is>
      </c>
      <c r="G676" t="inlineStr">
        <is>
          <t>FINSPÅNG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53610-2022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44879</v>
      </c>
      <c r="E677" s="1" t="n">
        <v>46297</v>
      </c>
      <c r="F677" t="inlineStr">
        <is>
          <t>ÖSTERGÖTLANDS LÄN</t>
        </is>
      </c>
      <c r="G677" t="inlineStr">
        <is>
          <t>FINSPÅNG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51610-2022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44871</v>
      </c>
      <c r="E678" s="1" t="n">
        <v>46297</v>
      </c>
      <c r="F678" t="inlineStr">
        <is>
          <t>ÖSTERGÖTLANDS LÄN</t>
        </is>
      </c>
      <c r="G678" t="inlineStr">
        <is>
          <t>FINSPÅNG</t>
        </is>
      </c>
      <c r="I678" t="n">
        <v>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68122-2021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44526</v>
      </c>
      <c r="E679" s="1" t="n">
        <v>46297</v>
      </c>
      <c r="F679" t="inlineStr">
        <is>
          <t>ÖSTERGÖTLANDS LÄN</t>
        </is>
      </c>
      <c r="G679" t="inlineStr">
        <is>
          <t>FINSPÅNG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61012-2022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44914</v>
      </c>
      <c r="E680" s="1" t="n">
        <v>46297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39114-2024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45548</v>
      </c>
      <c r="E681" s="1" t="n">
        <v>46297</v>
      </c>
      <c r="F681" t="inlineStr">
        <is>
          <t>ÖSTERGÖTLANDS LÄN</t>
        </is>
      </c>
      <c r="G681" t="inlineStr">
        <is>
          <t>FINSPÅNG</t>
        </is>
      </c>
      <c r="I681" t="n">
        <v>9.699999999999999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18488-2025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45763</v>
      </c>
      <c r="E682" s="1" t="n">
        <v>46297</v>
      </c>
      <c r="F682" t="inlineStr">
        <is>
          <t>ÖSTERGÖTLANDS LÄN</t>
        </is>
      </c>
      <c r="G682" t="inlineStr">
        <is>
          <t>FINSPÅNG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32000-2026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46232</v>
      </c>
      <c r="E683" s="1" t="n">
        <v>46297</v>
      </c>
      <c r="F683" t="inlineStr">
        <is>
          <t>ÖSTERGÖTLANDS LÄN</t>
        </is>
      </c>
      <c r="G683" t="inlineStr">
        <is>
          <t>FINSPÅNG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62421-2021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44503</v>
      </c>
      <c r="E684" s="1" t="n">
        <v>46297</v>
      </c>
      <c r="F684" t="inlineStr">
        <is>
          <t>ÖSTERGÖTLANDS LÄN</t>
        </is>
      </c>
      <c r="G684" t="inlineStr">
        <is>
          <t>FINSPÅNG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59062-2024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45636</v>
      </c>
      <c r="E685" s="1" t="n">
        <v>46297</v>
      </c>
      <c r="F685" t="inlineStr">
        <is>
          <t>ÖSTERGÖTLANDS LÄN</t>
        </is>
      </c>
      <c r="G685" t="inlineStr">
        <is>
          <t>FINSPÅNG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7445-2022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44607</v>
      </c>
      <c r="E686" s="1" t="n">
        <v>46297</v>
      </c>
      <c r="F686" t="inlineStr">
        <is>
          <t>ÖSTERGÖTLANDS LÄN</t>
        </is>
      </c>
      <c r="G686" t="inlineStr">
        <is>
          <t>FINSPÅNG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4280-2023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44953</v>
      </c>
      <c r="E687" s="1" t="n">
        <v>46297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39356-2022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44817</v>
      </c>
      <c r="E688" s="1" t="n">
        <v>46297</v>
      </c>
      <c r="F688" t="inlineStr">
        <is>
          <t>ÖSTERGÖTLANDS LÄN</t>
        </is>
      </c>
      <c r="G688" t="inlineStr">
        <is>
          <t>FINSPÅNG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34001-2024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45523</v>
      </c>
      <c r="E689" s="1" t="n">
        <v>46297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50811-2022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44867</v>
      </c>
      <c r="E690" s="1" t="n">
        <v>46297</v>
      </c>
      <c r="F690" t="inlineStr">
        <is>
          <t>ÖSTERGÖTLANDS LÄN</t>
        </is>
      </c>
      <c r="G690" t="inlineStr">
        <is>
          <t>FINSPÅNG</t>
        </is>
      </c>
      <c r="I690" t="n">
        <v>1.4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25356-2022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44732</v>
      </c>
      <c r="E691" s="1" t="n">
        <v>46297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3776-2023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44949</v>
      </c>
      <c r="E692" s="1" t="n">
        <v>46297</v>
      </c>
      <c r="F692" t="inlineStr">
        <is>
          <t>ÖSTERGÖTLANDS LÄN</t>
        </is>
      </c>
      <c r="G692" t="inlineStr">
        <is>
          <t>FINSPÅNG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44949</v>
      </c>
      <c r="E693" s="1" t="n">
        <v>46297</v>
      </c>
      <c r="F693" t="inlineStr">
        <is>
          <t>ÖSTERGÖTLANDS LÄN</t>
        </is>
      </c>
      <c r="G693" t="inlineStr">
        <is>
          <t>FINSPÅNG</t>
        </is>
      </c>
      <c r="I693" t="n">
        <v>0.4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3436-2023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44949</v>
      </c>
      <c r="E694" s="1" t="n">
        <v>46297</v>
      </c>
      <c r="F694" t="inlineStr">
        <is>
          <t>ÖSTERGÖTLANDS LÄN</t>
        </is>
      </c>
      <c r="G694" t="inlineStr">
        <is>
          <t>FINSPÅNG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46297</v>
      </c>
      <c r="F695" t="inlineStr">
        <is>
          <t>ÖSTERGÖTLANDS LÄN</t>
        </is>
      </c>
      <c r="G695" t="inlineStr">
        <is>
          <t>FINSPÅNG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5656-2023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44960</v>
      </c>
      <c r="E696" s="1" t="n">
        <v>46297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6733-2023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44966</v>
      </c>
      <c r="E697" s="1" t="n">
        <v>46297</v>
      </c>
      <c r="F697" t="inlineStr">
        <is>
          <t>ÖSTERGÖTLANDS LÄN</t>
        </is>
      </c>
      <c r="G697" t="inlineStr">
        <is>
          <t>FINSPÅNG</t>
        </is>
      </c>
      <c r="I697" t="n">
        <v>8.5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37788-2026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46279</v>
      </c>
      <c r="E698" s="1" t="n">
        <v>46297</v>
      </c>
      <c r="F698" t="inlineStr">
        <is>
          <t>ÖSTERGÖTLANDS LÄN</t>
        </is>
      </c>
      <c r="G698" t="inlineStr">
        <is>
          <t>FINSPÅNG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15473-2022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44662</v>
      </c>
      <c r="E699" s="1" t="n">
        <v>46297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37804-2026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46279</v>
      </c>
      <c r="E700" s="1" t="n">
        <v>46297</v>
      </c>
      <c r="F700" t="inlineStr">
        <is>
          <t>ÖSTERGÖTLANDS LÄN</t>
        </is>
      </c>
      <c r="G700" t="inlineStr">
        <is>
          <t>FINSPÅNG</t>
        </is>
      </c>
      <c r="I700" t="n">
        <v>9.4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40410-2024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45555</v>
      </c>
      <c r="E701" s="1" t="n">
        <v>46297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61994-2022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44918</v>
      </c>
      <c r="E702" s="1" t="n">
        <v>46297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37814-2026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46279</v>
      </c>
      <c r="E703" s="1" t="n">
        <v>46297</v>
      </c>
      <c r="F703" t="inlineStr">
        <is>
          <t>ÖSTERGÖTLANDS LÄN</t>
        </is>
      </c>
      <c r="G703" t="inlineStr">
        <is>
          <t>FINSPÅNG</t>
        </is>
      </c>
      <c r="I703" t="n">
        <v>4.4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55624-2024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45622</v>
      </c>
      <c r="E704" s="1" t="n">
        <v>46297</v>
      </c>
      <c r="F704" t="inlineStr">
        <is>
          <t>ÖSTERGÖTLANDS LÄN</t>
        </is>
      </c>
      <c r="G704" t="inlineStr">
        <is>
          <t>FINSPÅNG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611-2023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44930</v>
      </c>
      <c r="E705" s="1" t="n">
        <v>46297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60173-2023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45258</v>
      </c>
      <c r="E706" s="1" t="n">
        <v>46297</v>
      </c>
      <c r="F706" t="inlineStr">
        <is>
          <t>ÖSTERGÖTLANDS LÄN</t>
        </is>
      </c>
      <c r="G706" t="inlineStr">
        <is>
          <t>FINSPÅNG</t>
        </is>
      </c>
      <c r="I706" t="n">
        <v>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12472-2024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45379</v>
      </c>
      <c r="E707" s="1" t="n">
        <v>46297</v>
      </c>
      <c r="F707" t="inlineStr">
        <is>
          <t>ÖSTERGÖTLANDS LÄN</t>
        </is>
      </c>
      <c r="G707" t="inlineStr">
        <is>
          <t>FINSPÅNG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60619-2023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45260</v>
      </c>
      <c r="E708" s="1" t="n">
        <v>46297</v>
      </c>
      <c r="F708" t="inlineStr">
        <is>
          <t>ÖSTERGÖTLANDS LÄN</t>
        </is>
      </c>
      <c r="G708" t="inlineStr">
        <is>
          <t>FINSPÅNG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15674-2023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45021</v>
      </c>
      <c r="E709" s="1" t="n">
        <v>46297</v>
      </c>
      <c r="F709" t="inlineStr">
        <is>
          <t>ÖSTERGÖTLANDS LÄN</t>
        </is>
      </c>
      <c r="G709" t="inlineStr">
        <is>
          <t>FINSPÅNG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39740-2023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45167</v>
      </c>
      <c r="E710" s="1" t="n">
        <v>46297</v>
      </c>
      <c r="F710" t="inlineStr">
        <is>
          <t>ÖSTERGÖTLANDS LÄN</t>
        </is>
      </c>
      <c r="G710" t="inlineStr">
        <is>
          <t>FINSPÅNG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14061-2023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45008</v>
      </c>
      <c r="E711" s="1" t="n">
        <v>46297</v>
      </c>
      <c r="F711" t="inlineStr">
        <is>
          <t>ÖSTERGÖTLANDS LÄN</t>
        </is>
      </c>
      <c r="G711" t="inlineStr">
        <is>
          <t>FINSPÅNG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38441-2026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46282</v>
      </c>
      <c r="E712" s="1" t="n">
        <v>46297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Sveaskog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38421-2026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46282</v>
      </c>
      <c r="E713" s="1" t="n">
        <v>46297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Sveaskog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38417-2026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46282</v>
      </c>
      <c r="E714" s="1" t="n">
        <v>46297</v>
      </c>
      <c r="F714" t="inlineStr">
        <is>
          <t>ÖSTERGÖTLANDS LÄN</t>
        </is>
      </c>
      <c r="G714" t="inlineStr">
        <is>
          <t>FINSPÅNG</t>
        </is>
      </c>
      <c r="H714" t="inlineStr">
        <is>
          <t>Sveaskog</t>
        </is>
      </c>
      <c r="I714" t="n">
        <v>4.6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38419-2026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46282</v>
      </c>
      <c r="E715" s="1" t="n">
        <v>46297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Sveaskog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38444-2026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46282</v>
      </c>
      <c r="E716" s="1" t="n">
        <v>46297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Sveaskog</t>
        </is>
      </c>
      <c r="I716" t="n">
        <v>4.8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38445-2026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46282</v>
      </c>
      <c r="E717" s="1" t="n">
        <v>46297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Sveaskog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38422-2026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46282</v>
      </c>
      <c r="E718" s="1" t="n">
        <v>46297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Sveaskog</t>
        </is>
      </c>
      <c r="I718" t="n">
        <v>7.2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38442-2026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46282</v>
      </c>
      <c r="E719" s="1" t="n">
        <v>46297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Sveaskog</t>
        </is>
      </c>
      <c r="I719" t="n">
        <v>5.5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9339-2022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44616</v>
      </c>
      <c r="E720" s="1" t="n">
        <v>46297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38414-2026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46282</v>
      </c>
      <c r="E721" s="1" t="n">
        <v>46297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Sveaskog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73260-2021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44550</v>
      </c>
      <c r="E722" s="1" t="n">
        <v>46297</v>
      </c>
      <c r="F722" t="inlineStr">
        <is>
          <t>ÖSTERGÖTLANDS LÄN</t>
        </is>
      </c>
      <c r="G722" t="inlineStr">
        <is>
          <t>FINSPÅNG</t>
        </is>
      </c>
      <c r="I722" t="n">
        <v>10.3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53572-2023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45230</v>
      </c>
      <c r="E723" s="1" t="n">
        <v>46297</v>
      </c>
      <c r="F723" t="inlineStr">
        <is>
          <t>ÖSTERGÖTLANDS LÄN</t>
        </is>
      </c>
      <c r="G723" t="inlineStr">
        <is>
          <t>FINSPÅNG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14565-2023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45013</v>
      </c>
      <c r="E724" s="1" t="n">
        <v>46297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38625-2026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46281</v>
      </c>
      <c r="E725" s="1" t="n">
        <v>46297</v>
      </c>
      <c r="F725" t="inlineStr">
        <is>
          <t>ÖSTERGÖTLANDS LÄN</t>
        </is>
      </c>
      <c r="G725" t="inlineStr">
        <is>
          <t>FINSPÅNG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40069-2024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45554</v>
      </c>
      <c r="E726" s="1" t="n">
        <v>46297</v>
      </c>
      <c r="F726" t="inlineStr">
        <is>
          <t>ÖSTERGÖTLANDS LÄN</t>
        </is>
      </c>
      <c r="G726" t="inlineStr">
        <is>
          <t>FINSPÅNG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27487-2023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45095</v>
      </c>
      <c r="E727" s="1" t="n">
        <v>46297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Övriga Aktiebolag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20157-2023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45055</v>
      </c>
      <c r="E728" s="1" t="n">
        <v>46297</v>
      </c>
      <c r="F728" t="inlineStr">
        <is>
          <t>ÖSTERGÖTLANDS LÄN</t>
        </is>
      </c>
      <c r="G728" t="inlineStr">
        <is>
          <t>FINSPÅNG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38765-2026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46286</v>
      </c>
      <c r="E729" s="1" t="n">
        <v>46297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Övriga Aktiebolag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11974-2023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44995</v>
      </c>
      <c r="E730" s="1" t="n">
        <v>46297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28020-2023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45095</v>
      </c>
      <c r="E731" s="1" t="n">
        <v>46297</v>
      </c>
      <c r="F731" t="inlineStr">
        <is>
          <t>ÖSTERGÖTLANDS LÄN</t>
        </is>
      </c>
      <c r="G731" t="inlineStr">
        <is>
          <t>FINSPÅNG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35970-2025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45863</v>
      </c>
      <c r="E732" s="1" t="n">
        <v>46297</v>
      </c>
      <c r="F732" t="inlineStr">
        <is>
          <t>ÖSTERGÖTLANDS LÄN</t>
        </is>
      </c>
      <c r="G732" t="inlineStr">
        <is>
          <t>FINSPÅNG</t>
        </is>
      </c>
      <c r="I732" t="n">
        <v>22.6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18585-2024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45425</v>
      </c>
      <c r="E733" s="1" t="n">
        <v>46297</v>
      </c>
      <c r="F733" t="inlineStr">
        <is>
          <t>ÖSTERGÖTLANDS LÄN</t>
        </is>
      </c>
      <c r="G733" t="inlineStr">
        <is>
          <t>FINSPÅNG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57854-2022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44898</v>
      </c>
      <c r="E734" s="1" t="n">
        <v>46297</v>
      </c>
      <c r="F734" t="inlineStr">
        <is>
          <t>ÖSTERGÖTLANDS LÄN</t>
        </is>
      </c>
      <c r="G734" t="inlineStr">
        <is>
          <t>FINSPÅNG</t>
        </is>
      </c>
      <c r="I734" t="n">
        <v>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42106-2023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45177</v>
      </c>
      <c r="E735" s="1" t="n">
        <v>46297</v>
      </c>
      <c r="F735" t="inlineStr">
        <is>
          <t>ÖSTERGÖTLANDS LÄN</t>
        </is>
      </c>
      <c r="G735" t="inlineStr">
        <is>
          <t>FINSPÅNG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24015-2024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45456</v>
      </c>
      <c r="E736" s="1" t="n">
        <v>46297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50189-2022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44865</v>
      </c>
      <c r="E737" s="1" t="n">
        <v>46297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6.5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9130-2023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44980</v>
      </c>
      <c r="E738" s="1" t="n">
        <v>46297</v>
      </c>
      <c r="F738" t="inlineStr">
        <is>
          <t>ÖSTERGÖTLANDS LÄN</t>
        </is>
      </c>
      <c r="G738" t="inlineStr">
        <is>
          <t>FINSPÅNG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6628-2023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44966</v>
      </c>
      <c r="E739" s="1" t="n">
        <v>46297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Övriga Aktiebolag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60749-2022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44914</v>
      </c>
      <c r="E740" s="1" t="n">
        <v>46297</v>
      </c>
      <c r="F740" t="inlineStr">
        <is>
          <t>ÖSTERGÖTLANDS LÄN</t>
        </is>
      </c>
      <c r="G740" t="inlineStr">
        <is>
          <t>FINSPÅNG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8317-2023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44974</v>
      </c>
      <c r="E741" s="1" t="n">
        <v>46297</v>
      </c>
      <c r="F741" t="inlineStr">
        <is>
          <t>ÖSTERGÖTLANDS LÄN</t>
        </is>
      </c>
      <c r="G741" t="inlineStr">
        <is>
          <t>FINSPÅNG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3568-2023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44950</v>
      </c>
      <c r="E742" s="1" t="n">
        <v>46297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50510-2024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45601</v>
      </c>
      <c r="E743" s="1" t="n">
        <v>46297</v>
      </c>
      <c r="F743" t="inlineStr">
        <is>
          <t>ÖSTERGÖTLANDS LÄN</t>
        </is>
      </c>
      <c r="G743" t="inlineStr">
        <is>
          <t>FINSPÅNG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4083-2024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45323</v>
      </c>
      <c r="E744" s="1" t="n">
        <v>46297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42779-2023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45181</v>
      </c>
      <c r="E745" s="1" t="n">
        <v>46297</v>
      </c>
      <c r="F745" t="inlineStr">
        <is>
          <t>ÖSTERGÖTLANDS LÄN</t>
        </is>
      </c>
      <c r="G745" t="inlineStr">
        <is>
          <t>FINSPÅNG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18445-2023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45042</v>
      </c>
      <c r="E746" s="1" t="n">
        <v>46297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59808-2023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45257</v>
      </c>
      <c r="E747" s="1" t="n">
        <v>46297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52731-2023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45225</v>
      </c>
      <c r="E748" s="1" t="n">
        <v>46297</v>
      </c>
      <c r="F748" t="inlineStr">
        <is>
          <t>ÖSTERGÖTLANDS LÄN</t>
        </is>
      </c>
      <c r="G748" t="inlineStr">
        <is>
          <t>FINSPÅNG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24458-2023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45082</v>
      </c>
      <c r="E749" s="1" t="n">
        <v>46297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36110-2023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45149</v>
      </c>
      <c r="E750" s="1" t="n">
        <v>46297</v>
      </c>
      <c r="F750" t="inlineStr">
        <is>
          <t>ÖSTERGÖTLANDS LÄN</t>
        </is>
      </c>
      <c r="G750" t="inlineStr">
        <is>
          <t>FINSPÅNG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11481-2023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44993</v>
      </c>
      <c r="E751" s="1" t="n">
        <v>46297</v>
      </c>
      <c r="F751" t="inlineStr">
        <is>
          <t>ÖSTERGÖTLANDS LÄN</t>
        </is>
      </c>
      <c r="G751" t="inlineStr">
        <is>
          <t>FINSPÅNG</t>
        </is>
      </c>
      <c r="I751" t="n">
        <v>1.8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36592-2025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45870</v>
      </c>
      <c r="E752" s="1" t="n">
        <v>46297</v>
      </c>
      <c r="F752" t="inlineStr">
        <is>
          <t>ÖSTERGÖTLANDS LÄN</t>
        </is>
      </c>
      <c r="G752" t="inlineStr">
        <is>
          <t>FINSPÅNG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10412-2023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44987</v>
      </c>
      <c r="E753" s="1" t="n">
        <v>46297</v>
      </c>
      <c r="F753" t="inlineStr">
        <is>
          <t>ÖSTERGÖTLANDS LÄN</t>
        </is>
      </c>
      <c r="G753" t="inlineStr">
        <is>
          <t>FINSPÅNG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58011-2023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45247</v>
      </c>
      <c r="E754" s="1" t="n">
        <v>46297</v>
      </c>
      <c r="F754" t="inlineStr">
        <is>
          <t>ÖSTERGÖTLANDS LÄN</t>
        </is>
      </c>
      <c r="G754" t="inlineStr">
        <is>
          <t>FINSPÅNG</t>
        </is>
      </c>
      <c r="I754" t="n">
        <v>5.9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18356-2024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45422</v>
      </c>
      <c r="E755" s="1" t="n">
        <v>46297</v>
      </c>
      <c r="F755" t="inlineStr">
        <is>
          <t>ÖSTERGÖTLANDS LÄN</t>
        </is>
      </c>
      <c r="G755" t="inlineStr">
        <is>
          <t>FINSPÅNG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49904-2023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45214</v>
      </c>
      <c r="E756" s="1" t="n">
        <v>46297</v>
      </c>
      <c r="F756" t="inlineStr">
        <is>
          <t>ÖSTERGÖTLANDS LÄN</t>
        </is>
      </c>
      <c r="G756" t="inlineStr">
        <is>
          <t>FINSPÅNG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18258-2024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45421</v>
      </c>
      <c r="E757" s="1" t="n">
        <v>46297</v>
      </c>
      <c r="F757" t="inlineStr">
        <is>
          <t>ÖSTERGÖTLANDS LÄN</t>
        </is>
      </c>
      <c r="G757" t="inlineStr">
        <is>
          <t>FINSPÅNG</t>
        </is>
      </c>
      <c r="H757" t="inlineStr">
        <is>
          <t>Holmen skog AB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18171-2024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45420</v>
      </c>
      <c r="E758" s="1" t="n">
        <v>46297</v>
      </c>
      <c r="F758" t="inlineStr">
        <is>
          <t>ÖSTERGÖTLANDS LÄN</t>
        </is>
      </c>
      <c r="G758" t="inlineStr">
        <is>
          <t>FINSPÅNG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32973-2023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45125</v>
      </c>
      <c r="E759" s="1" t="n">
        <v>46297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Övriga Aktiebolag</t>
        </is>
      </c>
      <c r="I759" t="n">
        <v>3.4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16975-2023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45033</v>
      </c>
      <c r="E760" s="1" t="n">
        <v>46297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Naturvårdsverket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28559-2023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45103</v>
      </c>
      <c r="E761" s="1" t="n">
        <v>46297</v>
      </c>
      <c r="F761" t="inlineStr">
        <is>
          <t>ÖSTERGÖTLANDS LÄN</t>
        </is>
      </c>
      <c r="G761" t="inlineStr">
        <is>
          <t>FINSPÅNG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4753-2025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45688</v>
      </c>
      <c r="E762" s="1" t="n">
        <v>46297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4.3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15952-2023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45022</v>
      </c>
      <c r="E763" s="1" t="n">
        <v>46297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15129-2025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45744</v>
      </c>
      <c r="E764" s="1" t="n">
        <v>46297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Naturvårdsverket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62186-2023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45267</v>
      </c>
      <c r="E765" s="1" t="n">
        <v>46297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47224-2023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45202</v>
      </c>
      <c r="E766" s="1" t="n">
        <v>46297</v>
      </c>
      <c r="F766" t="inlineStr">
        <is>
          <t>ÖSTERGÖTLANDS LÄN</t>
        </is>
      </c>
      <c r="G766" t="inlineStr">
        <is>
          <t>FINSPÅNG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31801-2023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45118</v>
      </c>
      <c r="E767" s="1" t="n">
        <v>46297</v>
      </c>
      <c r="F767" t="inlineStr">
        <is>
          <t>ÖSTERGÖTLANDS LÄN</t>
        </is>
      </c>
      <c r="G767" t="inlineStr">
        <is>
          <t>FINSPÅNG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52730-2023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45225</v>
      </c>
      <c r="E768" s="1" t="n">
        <v>46297</v>
      </c>
      <c r="F768" t="inlineStr">
        <is>
          <t>ÖSTERGÖTLANDS LÄN</t>
        </is>
      </c>
      <c r="G768" t="inlineStr">
        <is>
          <t>FINSPÅNG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58141-2022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44900</v>
      </c>
      <c r="E769" s="1" t="n">
        <v>46297</v>
      </c>
      <c r="F769" t="inlineStr">
        <is>
          <t>ÖSTERGÖTLANDS LÄN</t>
        </is>
      </c>
      <c r="G769" t="inlineStr">
        <is>
          <t>FINSPÅNG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9418-2023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44981</v>
      </c>
      <c r="E770" s="1" t="n">
        <v>46297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62168-2022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44922</v>
      </c>
      <c r="E771" s="1" t="n">
        <v>46297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Holmen skog AB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45311-2023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45191</v>
      </c>
      <c r="E772" s="1" t="n">
        <v>46297</v>
      </c>
      <c r="F772" t="inlineStr">
        <is>
          <t>ÖSTERGÖTLANDS LÄN</t>
        </is>
      </c>
      <c r="G772" t="inlineStr">
        <is>
          <t>FINSPÅNG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42176-2023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45178</v>
      </c>
      <c r="E773" s="1" t="n">
        <v>46297</v>
      </c>
      <c r="F773" t="inlineStr">
        <is>
          <t>ÖSTERGÖTLANDS LÄN</t>
        </is>
      </c>
      <c r="G773" t="inlineStr">
        <is>
          <t>FINSPÅNG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40578-2026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46295</v>
      </c>
      <c r="E774" s="1" t="n">
        <v>46297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Sveaskog</t>
        </is>
      </c>
      <c r="I774" t="n">
        <v>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40580-2026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46295</v>
      </c>
      <c r="E775" s="1" t="n">
        <v>46297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Sveaskog</t>
        </is>
      </c>
      <c r="I775" t="n">
        <v>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42111-2023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45177</v>
      </c>
      <c r="E776" s="1" t="n">
        <v>46297</v>
      </c>
      <c r="F776" t="inlineStr">
        <is>
          <t>ÖSTERGÖTLANDS LÄN</t>
        </is>
      </c>
      <c r="G776" t="inlineStr">
        <is>
          <t>FINSPÅNG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55956-2024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45623</v>
      </c>
      <c r="E777" s="1" t="n">
        <v>46297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59699-2024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45639</v>
      </c>
      <c r="E778" s="1" t="n">
        <v>46297</v>
      </c>
      <c r="F778" t="inlineStr">
        <is>
          <t>ÖSTERGÖTLANDS LÄN</t>
        </is>
      </c>
      <c r="G778" t="inlineStr">
        <is>
          <t>FINSPÅNG</t>
        </is>
      </c>
      <c r="H778" t="inlineStr">
        <is>
          <t>Holmen skog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46317-2023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45197</v>
      </c>
      <c r="E779" s="1" t="n">
        <v>46297</v>
      </c>
      <c r="F779" t="inlineStr">
        <is>
          <t>ÖSTERGÖTLANDS LÄN</t>
        </is>
      </c>
      <c r="G779" t="inlineStr">
        <is>
          <t>FINSPÅNG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61359-2023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45264</v>
      </c>
      <c r="E780" s="1" t="n">
        <v>46297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32431-2023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45110</v>
      </c>
      <c r="E781" s="1" t="n">
        <v>46297</v>
      </c>
      <c r="F781" t="inlineStr">
        <is>
          <t>ÖSTERGÖTLANDS LÄN</t>
        </is>
      </c>
      <c r="G781" t="inlineStr">
        <is>
          <t>FINSPÅNG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14022-2023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45008</v>
      </c>
      <c r="E782" s="1" t="n">
        <v>46297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Holmen skog AB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48767-2024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45593</v>
      </c>
      <c r="E783" s="1" t="n">
        <v>46297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2381-2023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44942</v>
      </c>
      <c r="E784" s="1" t="n">
        <v>46297</v>
      </c>
      <c r="F784" t="inlineStr">
        <is>
          <t>ÖSTERGÖTLANDS LÄN</t>
        </is>
      </c>
      <c r="G784" t="inlineStr">
        <is>
          <t>FINSPÅNG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9554-2022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44617</v>
      </c>
      <c r="E785" s="1" t="n">
        <v>46297</v>
      </c>
      <c r="F785" t="inlineStr">
        <is>
          <t>ÖSTERGÖTLANDS LÄN</t>
        </is>
      </c>
      <c r="G785" t="inlineStr">
        <is>
          <t>FINSPÅNG</t>
        </is>
      </c>
      <c r="I785" t="n">
        <v>4.6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1913-2023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44939</v>
      </c>
      <c r="E786" s="1" t="n">
        <v>46297</v>
      </c>
      <c r="F786" t="inlineStr">
        <is>
          <t>ÖSTERGÖTLANDS LÄN</t>
        </is>
      </c>
      <c r="G786" t="inlineStr">
        <is>
          <t>FINSPÅNG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47317-2023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45202</v>
      </c>
      <c r="E787" s="1" t="n">
        <v>46297</v>
      </c>
      <c r="F787" t="inlineStr">
        <is>
          <t>ÖSTERGÖTLANDS LÄN</t>
        </is>
      </c>
      <c r="G787" t="inlineStr">
        <is>
          <t>FINSPÅNG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3096-2023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44946</v>
      </c>
      <c r="E788" s="1" t="n">
        <v>46297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Holmen skog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3107-2023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44946</v>
      </c>
      <c r="E789" s="1" t="n">
        <v>46297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Holmen skog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24503-2023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46297</v>
      </c>
      <c r="F790" t="inlineStr">
        <is>
          <t>ÖSTERGÖTLANDS LÄN</t>
        </is>
      </c>
      <c r="G790" t="inlineStr">
        <is>
          <t>FINSPÅNG</t>
        </is>
      </c>
      <c r="H790" t="inlineStr">
        <is>
          <t>Holmen skog AB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499-2024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45299</v>
      </c>
      <c r="E791" s="1" t="n">
        <v>46297</v>
      </c>
      <c r="F791" t="inlineStr">
        <is>
          <t>ÖSTERGÖTLANDS LÄN</t>
        </is>
      </c>
      <c r="G791" t="inlineStr">
        <is>
          <t>FINSPÅNG</t>
        </is>
      </c>
      <c r="I791" t="n">
        <v>5.3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58313-2023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45250</v>
      </c>
      <c r="E792" s="1" t="n">
        <v>46297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48443-2023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45206</v>
      </c>
      <c r="E793" s="1" t="n">
        <v>46297</v>
      </c>
      <c r="F793" t="inlineStr">
        <is>
          <t>ÖSTERGÖTLANDS LÄN</t>
        </is>
      </c>
      <c r="G793" t="inlineStr">
        <is>
          <t>FINSPÅNG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6154-2023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44964</v>
      </c>
      <c r="E794" s="1" t="n">
        <v>46297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52007-2024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45607</v>
      </c>
      <c r="E795" s="1" t="n">
        <v>46297</v>
      </c>
      <c r="F795" t="inlineStr">
        <is>
          <t>ÖSTERGÖTLANDS LÄN</t>
        </is>
      </c>
      <c r="G795" t="inlineStr">
        <is>
          <t>FINSPÅNG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52008-2024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45607</v>
      </c>
      <c r="E796" s="1" t="n">
        <v>46297</v>
      </c>
      <c r="F796" t="inlineStr">
        <is>
          <t>ÖSTERGÖTLANDS LÄN</t>
        </is>
      </c>
      <c r="G796" t="inlineStr">
        <is>
          <t>FINSPÅNG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58991-2021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44490</v>
      </c>
      <c r="E797" s="1" t="n">
        <v>46297</v>
      </c>
      <c r="F797" t="inlineStr">
        <is>
          <t>ÖSTERGÖTLANDS LÄN</t>
        </is>
      </c>
      <c r="G797" t="inlineStr">
        <is>
          <t>FINSPÅNG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19609-2025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45770</v>
      </c>
      <c r="E798" s="1" t="n">
        <v>46297</v>
      </c>
      <c r="F798" t="inlineStr">
        <is>
          <t>ÖSTERGÖTLANDS LÄN</t>
        </is>
      </c>
      <c r="G798" t="inlineStr">
        <is>
          <t>FINSPÅNG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15900-2025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45749</v>
      </c>
      <c r="E799" s="1" t="n">
        <v>46297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4.6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59702-2024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45639</v>
      </c>
      <c r="E800" s="1" t="n">
        <v>46297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8438-2025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45709</v>
      </c>
      <c r="E801" s="1" t="n">
        <v>46297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4.3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42705-2024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45566</v>
      </c>
      <c r="E802" s="1" t="n">
        <v>46297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42711-2024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46297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14031-2025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45740</v>
      </c>
      <c r="E804" s="1" t="n">
        <v>46297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4.2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28558-2023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45103</v>
      </c>
      <c r="E805" s="1" t="n">
        <v>46297</v>
      </c>
      <c r="F805" t="inlineStr">
        <is>
          <t>ÖSTERGÖTLANDS LÄN</t>
        </is>
      </c>
      <c r="G805" t="inlineStr">
        <is>
          <t>FINSPÅNG</t>
        </is>
      </c>
      <c r="I805" t="n">
        <v>11.1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54299-2023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45232</v>
      </c>
      <c r="E806" s="1" t="n">
        <v>46297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52557-2024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45609</v>
      </c>
      <c r="E807" s="1" t="n">
        <v>46297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42678-2024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45566</v>
      </c>
      <c r="E808" s="1" t="n">
        <v>46297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42699-2024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45566</v>
      </c>
      <c r="E809" s="1" t="n">
        <v>46297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5.4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42682-2024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45566</v>
      </c>
      <c r="E810" s="1" t="n">
        <v>46297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13392-2025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45735</v>
      </c>
      <c r="E811" s="1" t="n">
        <v>46297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13457-2025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45736</v>
      </c>
      <c r="E812" s="1" t="n">
        <v>46297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35343-2024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45530</v>
      </c>
      <c r="E813" s="1" t="n">
        <v>46297</v>
      </c>
      <c r="F813" t="inlineStr">
        <is>
          <t>ÖSTERGÖTLANDS LÄN</t>
        </is>
      </c>
      <c r="G813" t="inlineStr">
        <is>
          <t>FINSPÅNG</t>
        </is>
      </c>
      <c r="I813" t="n">
        <v>7.2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60249-2024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45642</v>
      </c>
      <c r="E814" s="1" t="n">
        <v>46297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45267</v>
      </c>
      <c r="E815" s="1" t="n">
        <v>46297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35340-2024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45530</v>
      </c>
      <c r="E816" s="1" t="n">
        <v>46297</v>
      </c>
      <c r="F816" t="inlineStr">
        <is>
          <t>ÖSTERGÖTLANDS LÄN</t>
        </is>
      </c>
      <c r="G816" t="inlineStr">
        <is>
          <t>FINSPÅNG</t>
        </is>
      </c>
      <c r="I816" t="n">
        <v>7.9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11523-2025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45727</v>
      </c>
      <c r="E817" s="1" t="n">
        <v>46297</v>
      </c>
      <c r="F817" t="inlineStr">
        <is>
          <t>ÖSTERGÖTLANDS LÄN</t>
        </is>
      </c>
      <c r="G817" t="inlineStr">
        <is>
          <t>FINSPÅNG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11149-2024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45371</v>
      </c>
      <c r="E818" s="1" t="n">
        <v>46297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Kyrkan</t>
        </is>
      </c>
      <c r="I818" t="n">
        <v>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5129-2024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45644</v>
      </c>
      <c r="E819" s="1" t="n">
        <v>46297</v>
      </c>
      <c r="F819" t="inlineStr">
        <is>
          <t>ÖSTERGÖTLANDS LÄN</t>
        </is>
      </c>
      <c r="G819" t="inlineStr">
        <is>
          <t>FINSPÅNG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1605-2024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45428</v>
      </c>
      <c r="E820" s="1" t="n">
        <v>46297</v>
      </c>
      <c r="F820" t="inlineStr">
        <is>
          <t>ÖSTERGÖTLANDS LÄN</t>
        </is>
      </c>
      <c r="G820" t="inlineStr">
        <is>
          <t>FINSPÅNG</t>
        </is>
      </c>
      <c r="I820" t="n">
        <v>0.3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1637-2024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45429</v>
      </c>
      <c r="E821" s="1" t="n">
        <v>46297</v>
      </c>
      <c r="F821" t="inlineStr">
        <is>
          <t>ÖSTERGÖTLANDS LÄN</t>
        </is>
      </c>
      <c r="G821" t="inlineStr">
        <is>
          <t>FINSPÅNG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4163-2023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45250</v>
      </c>
      <c r="E822" s="1" t="n">
        <v>46297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Sveaskog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1759-2026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46188</v>
      </c>
      <c r="E823" s="1" t="n">
        <v>46297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Övriga Aktiebolag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2208-2026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46258</v>
      </c>
      <c r="E824" s="1" t="n">
        <v>46297</v>
      </c>
      <c r="F824" t="inlineStr">
        <is>
          <t>ÖSTERGÖTLANDS LÄN</t>
        </is>
      </c>
      <c r="G824" t="inlineStr">
        <is>
          <t>FINSPÅNG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2026-10-02T02:03:09Z</dcterms:created>
  <dcterms:modified xmlns:dcterms="http://purl.org/dc/terms/" xmlns:xsi="http://www.w3.org/2001/XMLSchema-instance" xsi:type="dcterms:W3CDTF">2026-10-02T02:03:10Z</dcterms:modified>
</cp:coreProperties>
</file>