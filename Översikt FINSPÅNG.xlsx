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46324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46324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46324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46324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46324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46324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46324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46324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46324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46324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46324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46324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46324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46324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46324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44972-2026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46323</v>
      </c>
      <c r="E17" s="1" t="n">
        <v>46324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Övriga Aktiebolag</t>
        </is>
      </c>
      <c r="I17" t="n">
        <v>4</v>
      </c>
      <c r="J17" t="n">
        <v>6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Hållav
Duvhök
Kungsörn
Mattlummer
Tjäder
Fläcknycklar
Revlummer</t>
        </is>
      </c>
      <c r="W17">
        <f>HYPERLINK("https://klasma.github.io/Logging_0562/artfynd/A 44972-2026 artfynd.xlsx", "A 44972-2026")</f>
        <v/>
      </c>
      <c r="X17">
        <f>HYPERLINK("https://klasma.github.io/Logging_0562/kartor/A 44972-2026 karta.png", "A 44972-2026")</f>
        <v/>
      </c>
      <c r="Y17">
        <f>HYPERLINK("https://klasma.github.io/Logging_0562/kartor_geotiff/A 44972-2026 georefererad karta.tif", "A 44972-2026")</f>
        <v/>
      </c>
      <c r="AA17">
        <f>HYPERLINK("https://klasma.github.io/Logging_0562/klagomål/A 44972-2026 FSC-klagomål.docx", "A 44972-2026")</f>
        <v/>
      </c>
      <c r="AB17">
        <f>HYPERLINK("https://klasma.github.io/Logging_0562/klagomålsmail/A 44972-2026 FSC-klagomål mail.docx", "A 44972-2026")</f>
        <v/>
      </c>
      <c r="AC17">
        <f>HYPERLINK("https://klasma.github.io/Logging_0562/tillsyn/A 44972-2026 tillsynsbegäran.docx", "A 44972-2026")</f>
        <v/>
      </c>
      <c r="AD17">
        <f>HYPERLINK("https://klasma.github.io/Logging_0562/tillsynsmail/A 44972-2026 tillsynsbegäran mail.docx", "A 44972-2026")</f>
        <v/>
      </c>
      <c r="AE17">
        <f>HYPERLINK("https://klasma.github.io/Logging_0562/fåglar/A 44972-2026 prioriterade fågelarter.docx", "A 44972-2026")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46324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A 62160-2023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45267</v>
      </c>
      <c r="E19" s="1" t="n">
        <v>46324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0.9</v>
      </c>
      <c r="J19" t="n">
        <v>0</v>
      </c>
      <c r="K19" t="n">
        <v>1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6</v>
      </c>
      <c r="T19" t="n">
        <v>14</v>
      </c>
      <c r="U19" t="n">
        <v>14</v>
      </c>
      <c r="V19" s="2" t="inlineStr">
        <is>
          <t>Dropptaggsvamp
Fyrflikig jordstjärna
Orange taggsvamp
Skarp dropptaggsvamp
Blomkålssvamp
Svart taggsvamp agg.</t>
        </is>
      </c>
      <c r="W19">
        <f>HYPERLINK("https://klasma.github.io/Logging_0562/artfynd/A 62160-2023 artfynd.xlsx", "A 62160-2023")</f>
        <v/>
      </c>
      <c r="X19">
        <f>HYPERLINK("https://klasma.github.io/Logging_0562/kartor/A 62160-2023 karta.png", "A 62160-2023")</f>
        <v/>
      </c>
      <c r="Y19">
        <f>HYPERLINK("https://klasma.github.io/Logging_0562/kartor_geotiff/A 62160-2023 georefererad karta.tif", "A 62160-2023")</f>
        <v/>
      </c>
      <c r="AA19">
        <f>HYPERLINK("https://klasma.github.io/Logging_0562/klagomål/A 62160-2023 FSC-klagomål.docx", "A 62160-2023")</f>
        <v/>
      </c>
      <c r="AB19">
        <f>HYPERLINK("https://klasma.github.io/Logging_0562/klagomålsmail/A 62160-2023 FSC-klagomål mail.docx", "A 62160-2023")</f>
        <v/>
      </c>
      <c r="AC19">
        <f>HYPERLINK("https://klasma.github.io/Logging_0562/tillsyn/A 62160-2023 tillsynsbegäran.docx", "A 62160-2023")</f>
        <v/>
      </c>
      <c r="AD19">
        <f>HYPERLINK("https://klasma.github.io/Logging_0562/tillsynsmail/A 62160-2023 tillsynsbegäran mail.docx", "A 62160-2023")</f>
        <v/>
      </c>
    </row>
    <row r="20" ht="15" customHeight="1">
      <c r="A20" t="inlineStr">
        <is>
          <t>S 209-2025</t>
        </is>
      </c>
      <c r="B20" t="inlineStr">
        <is>
          <t>samrådsanmälan</t>
        </is>
      </c>
      <c r="C20" t="inlineStr">
        <is>
          <t>Skogsgödsling</t>
        </is>
      </c>
      <c r="D20" s="1" t="n">
        <v>45679</v>
      </c>
      <c r="E20" s="1" t="n">
        <v>46324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258.4</v>
      </c>
      <c r="J20" t="n">
        <v>3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8</v>
      </c>
      <c r="U20" t="n">
        <v>5</v>
      </c>
      <c r="V20" s="2" t="inlineStr">
        <is>
          <t>Grönfink
Grönsångare
Skogsklocka
Tallticka
Björksplintborre
Skogsödla</t>
        </is>
      </c>
      <c r="W20">
        <f>HYPERLINK("https://klasma.github.io/Logging_0562/artfynd/S 209-2025 artfynd.xlsx", "S 209-2025")</f>
        <v/>
      </c>
      <c r="X20">
        <f>HYPERLINK("https://klasma.github.io/Logging_0562/kartor/S 209-2025 karta.png", "S 209-2025")</f>
        <v/>
      </c>
      <c r="Y20">
        <f>HYPERLINK("https://klasma.github.io/Logging_0562/kartor_geotiff/S 209-2025 georefererad karta.tif", "S 209-2025")</f>
        <v/>
      </c>
      <c r="AA20">
        <f>HYPERLINK("https://klasma.github.io/Logging_0562/klagomål/S 209-2025 FSC-klagomål.docx", "S 209-2025")</f>
        <v/>
      </c>
      <c r="AB20">
        <f>HYPERLINK("https://klasma.github.io/Logging_0562/klagomålsmail/S 209-2025 FSC-klagomål mail.docx", "S 209-2025")</f>
        <v/>
      </c>
      <c r="AC20">
        <f>HYPERLINK("https://klasma.github.io/Logging_0562/tillsyn/S 209-2025 tillsynsbegäran.docx", "S 209-2025")</f>
        <v/>
      </c>
      <c r="AD20">
        <f>HYPERLINK("https://klasma.github.io/Logging_0562/tillsynsmail/S 209-2025 tillsynsbegäran mail.docx", "S 209-2025")</f>
        <v/>
      </c>
      <c r="AE20">
        <f>HYPERLINK("https://klasma.github.io/Logging_0562/fåglar/S 209-2025 prioriterade fågelarter.docx", "S 209-2025")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46324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46324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46324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28382-2026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46324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Kommuner</t>
        </is>
      </c>
      <c r="I24" t="n">
        <v>2.4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Mindre bastardsvärmare
Noshornsoxe
Svart trolldruva
Blåsippa</t>
        </is>
      </c>
      <c r="W24">
        <f>HYPERLINK("https://klasma.github.io/Logging_0562/artfynd/A 28382-2026 artfynd.xlsx", "A 28382-2026")</f>
        <v/>
      </c>
      <c r="X24">
        <f>HYPERLINK("https://klasma.github.io/Logging_0562/kartor/A 28382-2026 karta.png", "A 28382-2026")</f>
        <v/>
      </c>
      <c r="Y24">
        <f>HYPERLINK("https://klasma.github.io/Logging_0562/kartor_geotiff/A 28382-2026 georefererad karta.tif", "A 28382-2026")</f>
        <v/>
      </c>
      <c r="AA24">
        <f>HYPERLINK("https://klasma.github.io/Logging_0562/klagomål/A 28382-2026 FSC-klagomål.docx", "A 28382-2026")</f>
        <v/>
      </c>
      <c r="AB24">
        <f>HYPERLINK("https://klasma.github.io/Logging_0562/klagomålsmail/A 28382-2026 FSC-klagomål mail.docx", "A 28382-2026")</f>
        <v/>
      </c>
      <c r="AC24">
        <f>HYPERLINK("https://klasma.github.io/Logging_0562/tillsyn/A 28382-2026 tillsynsbegäran.docx", "A 28382-2026")</f>
        <v/>
      </c>
      <c r="AD24">
        <f>HYPERLINK("https://klasma.github.io/Logging_0562/tillsynsmail/A 28382-2026 tillsynsbegäran mail.docx", "A 28382-2026")</f>
        <v/>
      </c>
    </row>
    <row r="25" ht="15" customHeight="1">
      <c r="A25" t="inlineStr">
        <is>
          <t>A 3617-2025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45681</v>
      </c>
      <c r="E25" s="1" t="n">
        <v>46324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6.7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9</v>
      </c>
      <c r="U25" t="n">
        <v>7</v>
      </c>
      <c r="V25" s="2" t="inlineStr">
        <is>
          <t>Vedskivlav
Blåmossa
Flagellkvastmossa
Tjäder</t>
        </is>
      </c>
      <c r="W25">
        <f>HYPERLINK("https://klasma.github.io/Logging_0562/artfynd/A 3617-2025 artfynd.xlsx", "A 3617-2025")</f>
        <v/>
      </c>
      <c r="X25">
        <f>HYPERLINK("https://klasma.github.io/Logging_0562/kartor/A 3617-2025 karta.png", "A 3617-2025")</f>
        <v/>
      </c>
      <c r="Y25">
        <f>HYPERLINK("https://klasma.github.io/Logging_0562/kartor_geotiff/A 3617-2025 georefererad karta.tif", "A 3617-2025")</f>
        <v/>
      </c>
      <c r="AA25">
        <f>HYPERLINK("https://klasma.github.io/Logging_0562/klagomål/A 3617-2025 FSC-klagomål.docx", "A 3617-2025")</f>
        <v/>
      </c>
      <c r="AB25">
        <f>HYPERLINK("https://klasma.github.io/Logging_0562/klagomålsmail/A 3617-2025 FSC-klagomål mail.docx", "A 3617-2025")</f>
        <v/>
      </c>
      <c r="AC25">
        <f>HYPERLINK("https://klasma.github.io/Logging_0562/tillsyn/A 3617-2025 tillsynsbegäran.docx", "A 3617-2025")</f>
        <v/>
      </c>
      <c r="AD25">
        <f>HYPERLINK("https://klasma.github.io/Logging_0562/tillsynsmail/A 3617-2025 tillsynsbegäran mail.docx", "A 3617-2025")</f>
        <v/>
      </c>
      <c r="AE25">
        <f>HYPERLINK("https://klasma.github.io/Logging_0562/fåglar/A 3617-2025 prioriterade fågelarter.docx", "A 3617-2025")</f>
        <v/>
      </c>
    </row>
    <row r="26" ht="15" customHeight="1">
      <c r="A26" t="inlineStr">
        <is>
          <t>A 42399-2026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46324</v>
      </c>
      <c r="F26" t="inlineStr">
        <is>
          <t>ÖSTERGÖTLANDS LÄN</t>
        </is>
      </c>
      <c r="G26" t="inlineStr">
        <is>
          <t>FINSPÅNG</t>
        </is>
      </c>
      <c r="I26" t="n">
        <v>3.2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Kungsörn
Större träfjäril
Gröngöling
Trollpipistrell</t>
        </is>
      </c>
      <c r="W26">
        <f>HYPERLINK("https://klasma.github.io/Logging_0562/artfynd/A 42399-2026 artfynd.xlsx", "A 42399-2026")</f>
        <v/>
      </c>
      <c r="X26">
        <f>HYPERLINK("https://klasma.github.io/Logging_0562/kartor/A 42399-2026 karta.png", "A 42399-2026")</f>
        <v/>
      </c>
      <c r="Y26">
        <f>HYPERLINK("https://klasma.github.io/Logging_0562/kartor_geotiff/A 42399-2026 georefererad karta.tif", "A 42399-2026")</f>
        <v/>
      </c>
      <c r="AA26">
        <f>HYPERLINK("https://klasma.github.io/Logging_0562/klagomål/A 42399-2026 FSC-klagomål.docx", "A 42399-2026")</f>
        <v/>
      </c>
      <c r="AB26">
        <f>HYPERLINK("https://klasma.github.io/Logging_0562/klagomålsmail/A 42399-2026 FSC-klagomål mail.docx", "A 42399-2026")</f>
        <v/>
      </c>
      <c r="AC26">
        <f>HYPERLINK("https://klasma.github.io/Logging_0562/tillsyn/A 42399-2026 tillsynsbegäran.docx", "A 42399-2026")</f>
        <v/>
      </c>
      <c r="AD26">
        <f>HYPERLINK("https://klasma.github.io/Logging_0562/tillsynsmail/A 42399-2026 tillsynsbegäran mail.docx", "A 42399-2026")</f>
        <v/>
      </c>
      <c r="AE26">
        <f>HYPERLINK("https://klasma.github.io/Logging_0562/fåglar/A 42399-2026 prioriterade fågelarter.docx", "A 42399-2026")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46324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28464-2025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46324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1.8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7</v>
      </c>
      <c r="U28" t="n">
        <v>7</v>
      </c>
      <c r="V28" s="2" t="inlineStr">
        <is>
          <t>Dropptaggsvamp
Tallticka
Spillkråka</t>
        </is>
      </c>
      <c r="W28">
        <f>HYPERLINK("https://klasma.github.io/Logging_0562/artfynd/A 28464-2025 artfynd.xlsx", "A 28464-2025")</f>
        <v/>
      </c>
      <c r="X28">
        <f>HYPERLINK("https://klasma.github.io/Logging_0562/kartor/A 28464-2025 karta.png", "A 28464-2025")</f>
        <v/>
      </c>
      <c r="Y28">
        <f>HYPERLINK("https://klasma.github.io/Logging_0562/kartor_geotiff/A 28464-2025 georefererad karta.tif", "A 28464-2025")</f>
        <v/>
      </c>
      <c r="AA28">
        <f>HYPERLINK("https://klasma.github.io/Logging_0562/klagomål/A 28464-2025 FSC-klagomål.docx", "A 28464-2025")</f>
        <v/>
      </c>
      <c r="AB28">
        <f>HYPERLINK("https://klasma.github.io/Logging_0562/klagomålsmail/A 28464-2025 FSC-klagomål mail.docx", "A 28464-2025")</f>
        <v/>
      </c>
      <c r="AC28">
        <f>HYPERLINK("https://klasma.github.io/Logging_0562/tillsyn/A 28464-2025 tillsynsbegäran.docx", "A 28464-2025")</f>
        <v/>
      </c>
      <c r="AD28">
        <f>HYPERLINK("https://klasma.github.io/Logging_0562/tillsynsmail/A 28464-2025 tillsynsbegäran mail.docx", "A 28464-2025")</f>
        <v/>
      </c>
      <c r="AE28">
        <f>HYPERLINK("https://klasma.github.io/Logging_0562/fåglar/A 28464-2025 prioriterade fågelarter.docx", "A 28464-2025")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46324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24404-2023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45082</v>
      </c>
      <c r="E30" s="1" t="n">
        <v>46324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12.4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Fällmossa
Tibast
Blåsippa</t>
        </is>
      </c>
      <c r="W30">
        <f>HYPERLINK("https://klasma.github.io/Logging_0562/artfynd/A 24404-2023 artfynd.xlsx", "A 24404-2023")</f>
        <v/>
      </c>
      <c r="X30">
        <f>HYPERLINK("https://klasma.github.io/Logging_0562/kartor/A 24404-2023 karta.png", "A 24404-2023")</f>
        <v/>
      </c>
      <c r="Y30">
        <f>HYPERLINK("https://klasma.github.io/Logging_0562/kartor_geotiff/A 24404-2023 georefererad karta.tif", "A 24404-2023")</f>
        <v/>
      </c>
      <c r="AA30">
        <f>HYPERLINK("https://klasma.github.io/Logging_0562/klagomål/A 24404-2023 FSC-klagomål.docx", "A 24404-2023")</f>
        <v/>
      </c>
      <c r="AB30">
        <f>HYPERLINK("https://klasma.github.io/Logging_0562/klagomålsmail/A 24404-2023 FSC-klagomål mail.docx", "A 24404-2023")</f>
        <v/>
      </c>
      <c r="AC30">
        <f>HYPERLINK("https://klasma.github.io/Logging_0562/tillsyn/A 24404-2023 tillsynsbegäran.docx", "A 24404-2023")</f>
        <v/>
      </c>
      <c r="AD30">
        <f>HYPERLINK("https://klasma.github.io/Logging_0562/tillsynsmail/A 24404-2023 tillsynsbegäran mail.docx", "A 24404-2023")</f>
        <v/>
      </c>
    </row>
    <row r="31" ht="15" customHeight="1">
      <c r="A31" t="inlineStr">
        <is>
          <t>A 31393-2022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44774</v>
      </c>
      <c r="E31" s="1" t="n">
        <v>46324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0.4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Gullpudra
Tibast
Vätteros</t>
        </is>
      </c>
      <c r="W31">
        <f>HYPERLINK("https://klasma.github.io/Logging_0562/artfynd/A 31393-2022 artfynd.xlsx", "A 31393-2022")</f>
        <v/>
      </c>
      <c r="X31">
        <f>HYPERLINK("https://klasma.github.io/Logging_0562/kartor/A 31393-2022 karta.png", "A 31393-2022")</f>
        <v/>
      </c>
      <c r="Y31">
        <f>HYPERLINK("https://klasma.github.io/Logging_0562/kartor_geotiff/A 31393-2022 georefererad karta.tif", "A 31393-2022")</f>
        <v/>
      </c>
      <c r="AA31">
        <f>HYPERLINK("https://klasma.github.io/Logging_0562/klagomål/A 31393-2022 FSC-klagomål.docx", "A 31393-2022")</f>
        <v/>
      </c>
      <c r="AB31">
        <f>HYPERLINK("https://klasma.github.io/Logging_0562/klagomålsmail/A 31393-2022 FSC-klagomål mail.docx", "A 31393-2022")</f>
        <v/>
      </c>
      <c r="AC31">
        <f>HYPERLINK("https://klasma.github.io/Logging_0562/tillsyn/A 31393-2022 tillsynsbegäran.docx", "A 31393-2022")</f>
        <v/>
      </c>
      <c r="AD31">
        <f>HYPERLINK("https://klasma.github.io/Logging_0562/tillsynsmail/A 31393-2022 tillsynsbegäran mail.docx", "A 31393-2022")</f>
        <v/>
      </c>
    </row>
    <row r="32" ht="15" customHeight="1">
      <c r="A32" t="inlineStr">
        <is>
          <t>A 18935-2022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46324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1.5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Gullklöver
Skogsklocka</t>
        </is>
      </c>
      <c r="W32">
        <f>HYPERLINK("https://klasma.github.io/Logging_0562/artfynd/A 18935-2022 artfynd.xlsx", "A 18935-2022")</f>
        <v/>
      </c>
      <c r="X32">
        <f>HYPERLINK("https://klasma.github.io/Logging_0562/kartor/A 18935-2022 karta.png", "A 18935-2022")</f>
        <v/>
      </c>
      <c r="Y32">
        <f>HYPERLINK("https://klasma.github.io/Logging_0562/kartor_geotiff/A 18935-2022 georefererad karta.tif", "A 18935-2022")</f>
        <v/>
      </c>
      <c r="AA32">
        <f>HYPERLINK("https://klasma.github.io/Logging_0562/klagomål/A 18935-2022 FSC-klagomål.docx", "A 18935-2022")</f>
        <v/>
      </c>
      <c r="AB32">
        <f>HYPERLINK("https://klasma.github.io/Logging_0562/klagomålsmail/A 18935-2022 FSC-klagomål mail.docx", "A 18935-2022")</f>
        <v/>
      </c>
      <c r="AC32">
        <f>HYPERLINK("https://klasma.github.io/Logging_0562/tillsyn/A 18935-2022 tillsynsbegäran.docx", "A 18935-2022")</f>
        <v/>
      </c>
      <c r="AD32">
        <f>HYPERLINK("https://klasma.github.io/Logging_0562/tillsynsmail/A 18935-2022 tillsynsbegäran mail.docx", "A 18935-2022")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46324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46324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46324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18462-2024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45425</v>
      </c>
      <c r="E36" s="1" t="n">
        <v>46324</v>
      </c>
      <c r="F36" t="inlineStr">
        <is>
          <t>ÖSTERGÖTLANDS LÄN</t>
        </is>
      </c>
      <c r="G36" t="inlineStr">
        <is>
          <t>FINSPÅNG</t>
        </is>
      </c>
      <c r="I36" t="n">
        <v>6.1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Mosippa
Gullklöver</t>
        </is>
      </c>
      <c r="W36">
        <f>HYPERLINK("https://klasma.github.io/Logging_0562/artfynd/A 18462-2024 artfynd.xlsx", "A 18462-2024")</f>
        <v/>
      </c>
      <c r="X36">
        <f>HYPERLINK("https://klasma.github.io/Logging_0562/kartor/A 18462-2024 karta.png", "A 18462-2024")</f>
        <v/>
      </c>
      <c r="Y36">
        <f>HYPERLINK("https://klasma.github.io/Logging_0562/kartor_geotiff/A 18462-2024 georefererad karta.tif", "A 18462-2024")</f>
        <v/>
      </c>
      <c r="AA36">
        <f>HYPERLINK("https://klasma.github.io/Logging_0562/klagomål/A 18462-2024 FSC-klagomål.docx", "A 18462-2024")</f>
        <v/>
      </c>
      <c r="AB36">
        <f>HYPERLINK("https://klasma.github.io/Logging_0562/klagomålsmail/A 18462-2024 FSC-klagomål mail.docx", "A 18462-2024")</f>
        <v/>
      </c>
      <c r="AC36">
        <f>HYPERLINK("https://klasma.github.io/Logging_0562/tillsyn/A 18462-2024 tillsynsbegäran.docx", "A 18462-2024")</f>
        <v/>
      </c>
      <c r="AD36">
        <f>HYPERLINK("https://klasma.github.io/Logging_0562/tillsynsmail/A 18462-2024 tillsynsbegäran mail.docx", "A 18462-2024")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46324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54654-2023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46324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Bronshjon</t>
        </is>
      </c>
      <c r="W38">
        <f>HYPERLINK("https://klasma.github.io/Logging_0562/artfynd/A 54654-2023 artfynd.xlsx", "A 54654-2023")</f>
        <v/>
      </c>
      <c r="X38">
        <f>HYPERLINK("https://klasma.github.io/Logging_0562/kartor/A 54654-2023 karta.png", "A 54654-2023")</f>
        <v/>
      </c>
      <c r="Y38">
        <f>HYPERLINK("https://klasma.github.io/Logging_0562/kartor_geotiff/A 54654-2023 georefererad karta.tif", "A 54654-2023")</f>
        <v/>
      </c>
      <c r="AA38">
        <f>HYPERLINK("https://klasma.github.io/Logging_0562/klagomål/A 54654-2023 FSC-klagomål.docx", "A 54654-2023")</f>
        <v/>
      </c>
      <c r="AB38">
        <f>HYPERLINK("https://klasma.github.io/Logging_0562/klagomålsmail/A 54654-2023 FSC-klagomål mail.docx", "A 54654-2023")</f>
        <v/>
      </c>
      <c r="AC38">
        <f>HYPERLINK("https://klasma.github.io/Logging_0562/tillsyn/A 54654-2023 tillsynsbegäran.docx", "A 54654-2023")</f>
        <v/>
      </c>
      <c r="AD38">
        <f>HYPERLINK("https://klasma.github.io/Logging_0562/tillsynsmail/A 54654-2023 tillsynsbegäran mail.docx", "A 54654-2023")</f>
        <v/>
      </c>
    </row>
    <row r="39" ht="15" customHeight="1">
      <c r="A39" t="inlineStr">
        <is>
          <t>A 32570-2023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45121</v>
      </c>
      <c r="E39" s="1" t="n">
        <v>46324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7.7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Havsörn</t>
        </is>
      </c>
      <c r="W39">
        <f>HYPERLINK("https://klasma.github.io/Logging_0562/artfynd/A 32570-2023 artfynd.xlsx", "A 32570-2023")</f>
        <v/>
      </c>
      <c r="X39">
        <f>HYPERLINK("https://klasma.github.io/Logging_0562/kartor/A 32570-2023 karta.png", "A 32570-2023")</f>
        <v/>
      </c>
      <c r="Y39">
        <f>HYPERLINK("https://klasma.github.io/Logging_0562/kartor_geotiff/A 32570-2023 georefererad karta.tif", "A 32570-2023")</f>
        <v/>
      </c>
      <c r="AA39">
        <f>HYPERLINK("https://klasma.github.io/Logging_0562/klagomål/A 32570-2023 FSC-klagomål.docx", "A 32570-2023")</f>
        <v/>
      </c>
      <c r="AB39">
        <f>HYPERLINK("https://klasma.github.io/Logging_0562/klagomålsmail/A 32570-2023 FSC-klagomål mail.docx", "A 32570-2023")</f>
        <v/>
      </c>
      <c r="AC39">
        <f>HYPERLINK("https://klasma.github.io/Logging_0562/tillsyn/A 32570-2023 tillsynsbegäran.docx", "A 32570-2023")</f>
        <v/>
      </c>
      <c r="AD39">
        <f>HYPERLINK("https://klasma.github.io/Logging_0562/tillsynsmail/A 32570-2023 tillsynsbegäran mail.docx", "A 32570-2023")</f>
        <v/>
      </c>
      <c r="AE39">
        <f>HYPERLINK("https://klasma.github.io/Logging_0562/fåglar/A 32570-2023 prioriterade fågelarter.docx", "A 32570-2023")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46324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46324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46324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58806-2022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46324</v>
      </c>
      <c r="F43" t="inlineStr">
        <is>
          <t>ÖSTERGÖTLANDS LÄN</t>
        </is>
      </c>
      <c r="G43" t="inlineStr">
        <is>
          <t>FINSPÅNG</t>
        </is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Flagellkvastmossa</t>
        </is>
      </c>
      <c r="W43">
        <f>HYPERLINK("https://klasma.github.io/Logging_0562/artfynd/A 58806-2022 artfynd.xlsx", "A 58806-2022")</f>
        <v/>
      </c>
      <c r="X43">
        <f>HYPERLINK("https://klasma.github.io/Logging_0562/kartor/A 58806-2022 karta.png", "A 58806-2022")</f>
        <v/>
      </c>
      <c r="Y43">
        <f>HYPERLINK("https://klasma.github.io/Logging_0562/kartor_geotiff/A 58806-2022 georefererad karta.tif", "A 58806-2022")</f>
        <v/>
      </c>
      <c r="Z43">
        <f>HYPERLINK("https://klasma.github.io/Logging_0562/knärot/A 58806-2022 karta knärot.png", "A 58806-2022")</f>
        <v/>
      </c>
      <c r="AA43">
        <f>HYPERLINK("https://klasma.github.io/Logging_0562/klagomål/A 58806-2022 FSC-klagomål.docx", "A 58806-2022")</f>
        <v/>
      </c>
      <c r="AB43">
        <f>HYPERLINK("https://klasma.github.io/Logging_0562/klagomålsmail/A 58806-2022 FSC-klagomål mail.docx", "A 58806-2022")</f>
        <v/>
      </c>
      <c r="AC43">
        <f>HYPERLINK("https://klasma.github.io/Logging_0562/tillsyn/A 58806-2022 tillsynsbegäran.docx", "A 58806-2022")</f>
        <v/>
      </c>
      <c r="AD43">
        <f>HYPERLINK("https://klasma.github.io/Logging_0562/tillsynsmail/A 58806-2022 tillsynsbegäran mail.docx", "A 58806-2022")</f>
        <v/>
      </c>
    </row>
    <row r="44" ht="15" customHeight="1">
      <c r="A44" t="inlineStr">
        <is>
          <t>A 38963-2022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44816</v>
      </c>
      <c r="E44" s="1" t="n">
        <v>46324</v>
      </c>
      <c r="F44" t="inlineStr">
        <is>
          <t>ÖSTERGÖTLANDS LÄN</t>
        </is>
      </c>
      <c r="G44" t="inlineStr">
        <is>
          <t>FINSPÅNG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Gullklöver
Grönvit nattviol</t>
        </is>
      </c>
      <c r="W44">
        <f>HYPERLINK("https://klasma.github.io/Logging_0562/artfynd/A 38963-2022 artfynd.xlsx", "A 38963-2022")</f>
        <v/>
      </c>
      <c r="X44">
        <f>HYPERLINK("https://klasma.github.io/Logging_0562/kartor/A 38963-2022 karta.png", "A 38963-2022")</f>
        <v/>
      </c>
      <c r="Y44">
        <f>HYPERLINK("https://klasma.github.io/Logging_0562/kartor_geotiff/A 38963-2022 georefererad karta.tif", "A 38963-2022")</f>
        <v/>
      </c>
      <c r="AA44">
        <f>HYPERLINK("https://klasma.github.io/Logging_0562/klagomål/A 38963-2022 FSC-klagomål.docx", "A 38963-2022")</f>
        <v/>
      </c>
      <c r="AB44">
        <f>HYPERLINK("https://klasma.github.io/Logging_0562/klagomålsmail/A 38963-2022 FSC-klagomål mail.docx", "A 38963-2022")</f>
        <v/>
      </c>
      <c r="AC44">
        <f>HYPERLINK("https://klasma.github.io/Logging_0562/tillsyn/A 38963-2022 tillsynsbegäran.docx", "A 38963-2022")</f>
        <v/>
      </c>
      <c r="AD44">
        <f>HYPERLINK("https://klasma.github.io/Logging_0562/tillsynsmail/A 38963-2022 tillsynsbegäran mail.docx", "A 38963-2022")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46324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Fläcknycklar</t>
        </is>
      </c>
      <c r="W45">
        <f>HYPERLINK("https://klasma.github.io/Logging_0562/artfynd/A 28395-2024 artfynd.xlsx", "A 28395-2024")</f>
        <v/>
      </c>
      <c r="X45">
        <f>HYPERLINK("https://klasma.github.io/Logging_0562/kartor/A 28395-2024 karta.png", "A 28395-2024")</f>
        <v/>
      </c>
      <c r="Y45">
        <f>HYPERLINK("https://klasma.github.io/Logging_0562/kartor_geotiff/A 28395-2024 georefererad karta.tif", "A 28395-2024")</f>
        <v/>
      </c>
      <c r="AA45">
        <f>HYPERLINK("https://klasma.github.io/Logging_0562/klagomål/A 28395-2024 FSC-klagomål.docx", "A 28395-2024")</f>
        <v/>
      </c>
      <c r="AB45">
        <f>HYPERLINK("https://klasma.github.io/Logging_0562/klagomålsmail/A 28395-2024 FSC-klagomål mail.docx", "A 28395-2024")</f>
        <v/>
      </c>
      <c r="AC45">
        <f>HYPERLINK("https://klasma.github.io/Logging_0562/tillsyn/A 28395-2024 tillsynsbegäran.docx", "A 28395-2024")</f>
        <v/>
      </c>
      <c r="AD45">
        <f>HYPERLINK("https://klasma.github.io/Logging_0562/tillsynsmail/A 28395-2024 tillsynsbegäran mail.docx", "A 28395-2024")</f>
        <v/>
      </c>
      <c r="AE45">
        <f>HYPERLINK("https://klasma.github.io/Logging_0562/fåglar/A 28395-2024 prioriterade fågelarter.docx", "A 28395-2024")</f>
        <v/>
      </c>
    </row>
    <row r="46" ht="15" customHeight="1">
      <c r="A46" t="inlineStr">
        <is>
          <t>A 9412-2023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44981</v>
      </c>
      <c r="E46" s="1" t="n">
        <v>46324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Bronshjon
Fläcknycklar</t>
        </is>
      </c>
      <c r="W46">
        <f>HYPERLINK("https://klasma.github.io/Logging_0562/artfynd/A 9412-2023 artfynd.xlsx", "A 9412-2023")</f>
        <v/>
      </c>
      <c r="X46">
        <f>HYPERLINK("https://klasma.github.io/Logging_0562/kartor/A 9412-2023 karta.png", "A 9412-2023")</f>
        <v/>
      </c>
      <c r="Y46">
        <f>HYPERLINK("https://klasma.github.io/Logging_0562/kartor_geotiff/A 9412-2023 georefererad karta.tif", "A 9412-2023")</f>
        <v/>
      </c>
      <c r="AA46">
        <f>HYPERLINK("https://klasma.github.io/Logging_0562/klagomål/A 9412-2023 FSC-klagomål.docx", "A 9412-2023")</f>
        <v/>
      </c>
      <c r="AB46">
        <f>HYPERLINK("https://klasma.github.io/Logging_0562/klagomålsmail/A 9412-2023 FSC-klagomål mail.docx", "A 9412-2023")</f>
        <v/>
      </c>
      <c r="AC46">
        <f>HYPERLINK("https://klasma.github.io/Logging_0562/tillsyn/A 9412-2023 tillsynsbegäran.docx", "A 9412-2023")</f>
        <v/>
      </c>
      <c r="AD46">
        <f>HYPERLINK("https://klasma.github.io/Logging_0562/tillsynsmail/A 9412-2023 tillsynsbegäran mail.docx", "A 9412-2023")</f>
        <v/>
      </c>
    </row>
    <row r="47" ht="15" customHeight="1">
      <c r="A47" t="inlineStr">
        <is>
          <t>A 60890-2024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46324</v>
      </c>
      <c r="F47" t="inlineStr">
        <is>
          <t>ÖSTERGÖTLANDS LÄN</t>
        </is>
      </c>
      <c r="G47" t="inlineStr">
        <is>
          <t>FINSPÅNG</t>
        </is>
      </c>
      <c r="I47" t="n">
        <v>2.2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Fläcknycklar
Grönvit nattviol</t>
        </is>
      </c>
      <c r="W47">
        <f>HYPERLINK("https://klasma.github.io/Logging_0562/artfynd/A 60890-2024 artfynd.xlsx", "A 60890-2024")</f>
        <v/>
      </c>
      <c r="X47">
        <f>HYPERLINK("https://klasma.github.io/Logging_0562/kartor/A 60890-2024 karta.png", "A 60890-2024")</f>
        <v/>
      </c>
      <c r="Y47">
        <f>HYPERLINK("https://klasma.github.io/Logging_0562/kartor_geotiff/A 60890-2024 georefererad karta.tif", "A 60890-2024")</f>
        <v/>
      </c>
      <c r="AA47">
        <f>HYPERLINK("https://klasma.github.io/Logging_0562/klagomål/A 60890-2024 FSC-klagomål.docx", "A 60890-2024")</f>
        <v/>
      </c>
      <c r="AB47">
        <f>HYPERLINK("https://klasma.github.io/Logging_0562/klagomålsmail/A 60890-2024 FSC-klagomål mail.docx", "A 60890-2024")</f>
        <v/>
      </c>
      <c r="AC47">
        <f>HYPERLINK("https://klasma.github.io/Logging_0562/tillsyn/A 60890-2024 tillsynsbegäran.docx", "A 60890-2024")</f>
        <v/>
      </c>
      <c r="AD47">
        <f>HYPERLINK("https://klasma.github.io/Logging_0562/tillsynsmail/A 60890-2024 tillsynsbegäran mail.docx", "A 60890-2024")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46324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46324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46324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663-2023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44930</v>
      </c>
      <c r="E52" s="1" t="n">
        <v>46324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HYPERLINK("https://klasma.github.io/Logging_0562/artfynd/A 663-2023 artfynd.xlsx", "A 663-2023")</f>
        <v/>
      </c>
      <c r="X52">
        <f>HYPERLINK("https://klasma.github.io/Logging_0562/kartor/A 663-2023 karta.png", "A 663-2023")</f>
        <v/>
      </c>
      <c r="Y52">
        <f>HYPERLINK("https://klasma.github.io/Logging_0562/kartor_geotiff/A 663-2023 georefererad karta.tif", "A 663-2023")</f>
        <v/>
      </c>
      <c r="AA52">
        <f>HYPERLINK("https://klasma.github.io/Logging_0562/klagomål/A 663-2023 FSC-klagomål.docx", "A 663-2023")</f>
        <v/>
      </c>
      <c r="AB52">
        <f>HYPERLINK("https://klasma.github.io/Logging_0562/klagomålsmail/A 663-2023 FSC-klagomål mail.docx", "A 663-2023")</f>
        <v/>
      </c>
      <c r="AC52">
        <f>HYPERLINK("https://klasma.github.io/Logging_0562/tillsyn/A 663-2023 tillsynsbegäran.docx", "A 663-2023")</f>
        <v/>
      </c>
      <c r="AD52">
        <f>HYPERLINK("https://klasma.github.io/Logging_0562/tillsynsmail/A 663-2023 tillsynsbegäran mail.docx", "A 663-2023")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46324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1177-2024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45302</v>
      </c>
      <c r="E54" s="1" t="n">
        <v>46324</v>
      </c>
      <c r="F54" t="inlineStr">
        <is>
          <t>ÖSTERGÖTLANDS LÄN</t>
        </is>
      </c>
      <c r="G54" t="inlineStr">
        <is>
          <t>FINSPÅNG</t>
        </is>
      </c>
      <c r="I54" t="n">
        <v>6.7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2</v>
      </c>
      <c r="V54" s="2" t="inlineStr">
        <is>
          <t>Knärot</t>
        </is>
      </c>
      <c r="W54">
        <f>HYPERLINK("https://klasma.github.io/Logging_0562/artfynd/A 1177-2024 artfynd.xlsx", "A 1177-2024")</f>
        <v/>
      </c>
      <c r="X54">
        <f>HYPERLINK("https://klasma.github.io/Logging_0562/kartor/A 1177-2024 karta.png", "A 1177-2024")</f>
        <v/>
      </c>
      <c r="Y54">
        <f>HYPERLINK("https://klasma.github.io/Logging_0562/kartor_geotiff/A 1177-2024 georefererad karta.tif", "A 1177-2024")</f>
        <v/>
      </c>
      <c r="Z54">
        <f>HYPERLINK("https://klasma.github.io/Logging_0562/knärot/A 1177-2024 karta knärot.png", "A 1177-2024")</f>
        <v/>
      </c>
      <c r="AA54">
        <f>HYPERLINK("https://klasma.github.io/Logging_0562/klagomål/A 1177-2024 FSC-klagomål.docx", "A 1177-2024")</f>
        <v/>
      </c>
      <c r="AB54">
        <f>HYPERLINK("https://klasma.github.io/Logging_0562/klagomålsmail/A 1177-2024 FSC-klagomål mail.docx", "A 1177-2024")</f>
        <v/>
      </c>
      <c r="AC54">
        <f>HYPERLINK("https://klasma.github.io/Logging_0562/tillsyn/A 1177-2024 tillsynsbegäran.docx", "A 1177-2024")</f>
        <v/>
      </c>
      <c r="AD54">
        <f>HYPERLINK("https://klasma.github.io/Logging_0562/tillsynsmail/A 1177-2024 tillsynsbegäran mail.docx", "A 1177-2024")</f>
        <v/>
      </c>
    </row>
    <row r="55" ht="15" customHeight="1">
      <c r="A55" t="inlineStr">
        <is>
          <t>A 54302-2023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46324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HYPERLINK("https://klasma.github.io/Logging_0562/artfynd/A 54302-2023 artfynd.xlsx", "A 54302-2023")</f>
        <v/>
      </c>
      <c r="X55">
        <f>HYPERLINK("https://klasma.github.io/Logging_0562/kartor/A 54302-2023 karta.png", "A 54302-2023")</f>
        <v/>
      </c>
      <c r="Y55">
        <f>HYPERLINK("https://klasma.github.io/Logging_0562/kartor_geotiff/A 54302-2023 georefererad karta.tif", "A 54302-2023")</f>
        <v/>
      </c>
      <c r="AA55">
        <f>HYPERLINK("https://klasma.github.io/Logging_0562/klagomål/A 54302-2023 FSC-klagomål.docx", "A 54302-2023")</f>
        <v/>
      </c>
      <c r="AB55">
        <f>HYPERLINK("https://klasma.github.io/Logging_0562/klagomålsmail/A 54302-2023 FSC-klagomål mail.docx", "A 54302-2023")</f>
        <v/>
      </c>
      <c r="AC55">
        <f>HYPERLINK("https://klasma.github.io/Logging_0562/tillsyn/A 54302-2023 tillsynsbegäran.docx", "A 54302-2023")</f>
        <v/>
      </c>
      <c r="AD55">
        <f>HYPERLINK("https://klasma.github.io/Logging_0562/tillsynsmail/A 54302-2023 tillsynsbegäran mail.docx", "A 54302-2023")</f>
        <v/>
      </c>
    </row>
    <row r="56" ht="15" customHeight="1">
      <c r="A56" t="inlineStr">
        <is>
          <t>A 10203-2022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44622</v>
      </c>
      <c r="E56" s="1" t="n">
        <v>46324</v>
      </c>
      <c r="F56" t="inlineStr">
        <is>
          <t>ÖSTERGÖTLANDS LÄN</t>
        </is>
      </c>
      <c r="G56" t="inlineStr">
        <is>
          <t>FINSPÅNG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backsmörblomma</t>
        </is>
      </c>
      <c r="W56">
        <f>HYPERLINK("https://klasma.github.io/Logging_0562/artfynd/A 10203-2022 artfynd.xlsx", "A 10203-2022")</f>
        <v/>
      </c>
      <c r="X56">
        <f>HYPERLINK("https://klasma.github.io/Logging_0562/kartor/A 10203-2022 karta.png", "A 10203-2022")</f>
        <v/>
      </c>
      <c r="Y56">
        <f>HYPERLINK("https://klasma.github.io/Logging_0562/kartor_geotiff/A 10203-2022 georefererad karta.tif", "A 10203-2022")</f>
        <v/>
      </c>
      <c r="AA56">
        <f>HYPERLINK("https://klasma.github.io/Logging_0562/klagomål/A 10203-2022 FSC-klagomål.docx", "A 10203-2022")</f>
        <v/>
      </c>
      <c r="AB56">
        <f>HYPERLINK("https://klasma.github.io/Logging_0562/klagomålsmail/A 10203-2022 FSC-klagomål mail.docx", "A 10203-2022")</f>
        <v/>
      </c>
      <c r="AC56">
        <f>HYPERLINK("https://klasma.github.io/Logging_0562/tillsyn/A 10203-2022 tillsynsbegäran.docx", "A 10203-2022")</f>
        <v/>
      </c>
      <c r="AD56">
        <f>HYPERLINK("https://klasma.github.io/Logging_0562/tillsynsmail/A 10203-2022 tillsynsbegäran mail.docx", "A 10203-2022")</f>
        <v/>
      </c>
    </row>
    <row r="57" ht="15" customHeight="1">
      <c r="A57" t="inlineStr">
        <is>
          <t>A 42947-2024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46324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42947-2024 artfynd.xlsx", "A 42947-2024")</f>
        <v/>
      </c>
      <c r="X57">
        <f>HYPERLINK("https://klasma.github.io/Logging_0562/kartor/A 42947-2024 karta.png", "A 42947-2024")</f>
        <v/>
      </c>
      <c r="Y57">
        <f>HYPERLINK("https://klasma.github.io/Logging_0562/kartor_geotiff/A 42947-2024 georefererad karta.tif", "A 42947-2024")</f>
        <v/>
      </c>
      <c r="Z57">
        <f>HYPERLINK("https://klasma.github.io/Logging_0562/knärot/A 42947-2024 karta knärot.png", "A 42947-2024")</f>
        <v/>
      </c>
      <c r="AA57">
        <f>HYPERLINK("https://klasma.github.io/Logging_0562/klagomål/A 42947-2024 FSC-klagomål.docx", "A 42947-2024")</f>
        <v/>
      </c>
      <c r="AB57">
        <f>HYPERLINK("https://klasma.github.io/Logging_0562/klagomålsmail/A 42947-2024 FSC-klagomål mail.docx", "A 42947-2024")</f>
        <v/>
      </c>
      <c r="AC57">
        <f>HYPERLINK("https://klasma.github.io/Logging_0562/tillsyn/A 42947-2024 tillsynsbegäran.docx", "A 42947-2024")</f>
        <v/>
      </c>
      <c r="AD57">
        <f>HYPERLINK("https://klasma.github.io/Logging_0562/tillsynsmail/A 42947-2024 tillsynsbegäran mail.docx", "A 42947-2024")</f>
        <v/>
      </c>
    </row>
    <row r="58" ht="15" customHeight="1">
      <c r="A58" t="inlineStr">
        <is>
          <t>A 42366-2025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Vit vedfingersvamp</t>
        </is>
      </c>
      <c r="W58">
        <f>HYPERLINK("https://klasma.github.io/Logging_0562/artfynd/A 42366-2025 artfynd.xlsx", "A 42366-2025")</f>
        <v/>
      </c>
      <c r="X58">
        <f>HYPERLINK("https://klasma.github.io/Logging_0562/kartor/A 42366-2025 karta.png", "A 42366-2025")</f>
        <v/>
      </c>
      <c r="Y58">
        <f>HYPERLINK("https://klasma.github.io/Logging_0562/kartor_geotiff/A 42366-2025 georefererad karta.tif", "A 42366-2025")</f>
        <v/>
      </c>
      <c r="AA58">
        <f>HYPERLINK("https://klasma.github.io/Logging_0562/klagomål/A 42366-2025 FSC-klagomål.docx", "A 42366-2025")</f>
        <v/>
      </c>
      <c r="AB58">
        <f>HYPERLINK("https://klasma.github.io/Logging_0562/klagomålsmail/A 42366-2025 FSC-klagomål mail.docx", "A 42366-2025")</f>
        <v/>
      </c>
      <c r="AC58">
        <f>HYPERLINK("https://klasma.github.io/Logging_0562/tillsyn/A 42366-2025 tillsynsbegäran.docx", "A 42366-2025")</f>
        <v/>
      </c>
      <c r="AD58">
        <f>HYPERLINK("https://klasma.github.io/Logging_0562/tillsynsmail/A 42366-2025 tillsynsbegäran mail.docx", "A 42366-2025")</f>
        <v/>
      </c>
    </row>
    <row r="59" ht="15" customHeight="1">
      <c r="A59" t="inlineStr">
        <is>
          <t>A 38229-2025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46324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5.5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Lake</t>
        </is>
      </c>
      <c r="W59">
        <f>HYPERLINK("https://klasma.github.io/Logging_0562/artfynd/A 38229-2025 artfynd.xlsx", "A 38229-2025")</f>
        <v/>
      </c>
      <c r="X59">
        <f>HYPERLINK("https://klasma.github.io/Logging_0562/kartor/A 38229-2025 karta.png", "A 38229-2025")</f>
        <v/>
      </c>
      <c r="Y59">
        <f>HYPERLINK("https://klasma.github.io/Logging_0562/kartor_geotiff/A 38229-2025 georefererad karta.tif", "A 38229-2025")</f>
        <v/>
      </c>
      <c r="AA59">
        <f>HYPERLINK("https://klasma.github.io/Logging_0562/klagomål/A 38229-2025 FSC-klagomål.docx", "A 38229-2025")</f>
        <v/>
      </c>
      <c r="AB59">
        <f>HYPERLINK("https://klasma.github.io/Logging_0562/klagomålsmail/A 38229-2025 FSC-klagomål mail.docx", "A 38229-2025")</f>
        <v/>
      </c>
      <c r="AC59">
        <f>HYPERLINK("https://klasma.github.io/Logging_0562/tillsyn/A 38229-2025 tillsynsbegäran.docx", "A 38229-2025")</f>
        <v/>
      </c>
      <c r="AD59">
        <f>HYPERLINK("https://klasma.github.io/Logging_0562/tillsynsmail/A 38229-2025 tillsynsbegäran mail.docx", "A 38229-2025")</f>
        <v/>
      </c>
    </row>
    <row r="60" ht="15" customHeight="1">
      <c r="A60" t="inlineStr">
        <is>
          <t>A 34220-2025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45845</v>
      </c>
      <c r="E60" s="1" t="n">
        <v>46324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HYPERLINK("https://klasma.github.io/Logging_0562/artfynd/A 34220-2025 artfynd.xlsx", "A 34220-2025")</f>
        <v/>
      </c>
      <c r="X60">
        <f>HYPERLINK("https://klasma.github.io/Logging_0562/kartor/A 34220-2025 karta.png", "A 34220-2025")</f>
        <v/>
      </c>
      <c r="Y60">
        <f>HYPERLINK("https://klasma.github.io/Logging_0562/kartor_geotiff/A 34220-2025 georefererad karta.tif", "A 34220-2025")</f>
        <v/>
      </c>
      <c r="AA60">
        <f>HYPERLINK("https://klasma.github.io/Logging_0562/klagomål/A 34220-2025 FSC-klagomål.docx", "A 34220-2025")</f>
        <v/>
      </c>
      <c r="AB60">
        <f>HYPERLINK("https://klasma.github.io/Logging_0562/klagomålsmail/A 34220-2025 FSC-klagomål mail.docx", "A 34220-2025")</f>
        <v/>
      </c>
      <c r="AC60">
        <f>HYPERLINK("https://klasma.github.io/Logging_0562/tillsyn/A 34220-2025 tillsynsbegäran.docx", "A 34220-2025")</f>
        <v/>
      </c>
      <c r="AD60">
        <f>HYPERLINK("https://klasma.github.io/Logging_0562/tillsynsmail/A 34220-2025 tillsynsbegäran mail.docx", "A 34220-2025")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46324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39078-2022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46324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HYPERLINK("https://klasma.github.io/Logging_0562/artfynd/A 39078-2022 artfynd.xlsx", "A 39078-2022")</f>
        <v/>
      </c>
      <c r="X62">
        <f>HYPERLINK("https://klasma.github.io/Logging_0562/kartor/A 39078-2022 karta.png", "A 39078-2022")</f>
        <v/>
      </c>
      <c r="Y62">
        <f>HYPERLINK("https://klasma.github.io/Logging_0562/kartor_geotiff/A 39078-2022 georefererad karta.tif", "A 39078-2022")</f>
        <v/>
      </c>
      <c r="AA62">
        <f>HYPERLINK("https://klasma.github.io/Logging_0562/klagomål/A 39078-2022 FSC-klagomål.docx", "A 39078-2022")</f>
        <v/>
      </c>
      <c r="AB62">
        <f>HYPERLINK("https://klasma.github.io/Logging_0562/klagomålsmail/A 39078-2022 FSC-klagomål mail.docx", "A 39078-2022")</f>
        <v/>
      </c>
      <c r="AC62">
        <f>HYPERLINK("https://klasma.github.io/Logging_0562/tillsyn/A 39078-2022 tillsynsbegäran.docx", "A 39078-2022")</f>
        <v/>
      </c>
      <c r="AD62">
        <f>HYPERLINK("https://klasma.github.io/Logging_0562/tillsynsmail/A 39078-2022 tillsynsbegäran mail.docx", "A 39078-2022")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46324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22587-2026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46155</v>
      </c>
      <c r="E64" s="1" t="n">
        <v>46324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HYPERLINK("https://klasma.github.io/Logging_0562/artfynd/A 22587-2026 artfynd.xlsx", "A 22587-2026")</f>
        <v/>
      </c>
      <c r="X64">
        <f>HYPERLINK("https://klasma.github.io/Logging_0562/kartor/A 22587-2026 karta.png", "A 22587-2026")</f>
        <v/>
      </c>
      <c r="Y64">
        <f>HYPERLINK("https://klasma.github.io/Logging_0562/kartor_geotiff/A 22587-2026 georefererad karta.tif", "A 22587-2026")</f>
        <v/>
      </c>
      <c r="AA64">
        <f>HYPERLINK("https://klasma.github.io/Logging_0562/klagomål/A 22587-2026 FSC-klagomål.docx", "A 22587-2026")</f>
        <v/>
      </c>
      <c r="AB64">
        <f>HYPERLINK("https://klasma.github.io/Logging_0562/klagomålsmail/A 22587-2026 FSC-klagomål mail.docx", "A 22587-2026")</f>
        <v/>
      </c>
      <c r="AC64">
        <f>HYPERLINK("https://klasma.github.io/Logging_0562/tillsyn/A 22587-2026 tillsynsbegäran.docx", "A 22587-2026")</f>
        <v/>
      </c>
      <c r="AD64">
        <f>HYPERLINK("https://klasma.github.io/Logging_0562/tillsynsmail/A 22587-2026 tillsynsbegäran mail.docx", "A 22587-2026")</f>
        <v/>
      </c>
      <c r="AE64">
        <f>HYPERLINK("https://klasma.github.io/Logging_0562/fåglar/A 22587-2026 prioriterade fågelarter.docx", "A 22587-2026")</f>
        <v/>
      </c>
    </row>
    <row r="65" ht="15" customHeight="1">
      <c r="A65" t="inlineStr">
        <is>
          <t>A 61104-2022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44915</v>
      </c>
      <c r="E65" s="1" t="n">
        <v>46324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HYPERLINK("https://klasma.github.io/Logging_0562/artfynd/A 61104-2022 artfynd.xlsx", "A 61104-2022")</f>
        <v/>
      </c>
      <c r="X65">
        <f>HYPERLINK("https://klasma.github.io/Logging_0562/kartor/A 61104-2022 karta.png", "A 61104-2022")</f>
        <v/>
      </c>
      <c r="Y65">
        <f>HYPERLINK("https://klasma.github.io/Logging_0562/kartor_geotiff/A 61104-2022 georefererad karta.tif", "A 61104-2022")</f>
        <v/>
      </c>
      <c r="AA65">
        <f>HYPERLINK("https://klasma.github.io/Logging_0562/klagomål/A 61104-2022 FSC-klagomål.docx", "A 61104-2022")</f>
        <v/>
      </c>
      <c r="AB65">
        <f>HYPERLINK("https://klasma.github.io/Logging_0562/klagomålsmail/A 61104-2022 FSC-klagomål mail.docx", "A 61104-2022")</f>
        <v/>
      </c>
      <c r="AC65">
        <f>HYPERLINK("https://klasma.github.io/Logging_0562/tillsyn/A 61104-2022 tillsynsbegäran.docx", "A 61104-2022")</f>
        <v/>
      </c>
      <c r="AD65">
        <f>HYPERLINK("https://klasma.github.io/Logging_0562/tillsynsmail/A 61104-2022 tillsynsbegäran mail.docx", "A 61104-2022")</f>
        <v/>
      </c>
    </row>
    <row r="66" ht="15" customHeight="1">
      <c r="A66" t="inlineStr">
        <is>
          <t>A 24411-2023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45082</v>
      </c>
      <c r="E66" s="1" t="n">
        <v>46324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Blåmossa</t>
        </is>
      </c>
      <c r="W66">
        <f>HYPERLINK("https://klasma.github.io/Logging_0562/artfynd/A 24411-2023 artfynd.xlsx", "A 24411-2023")</f>
        <v/>
      </c>
      <c r="X66">
        <f>HYPERLINK("https://klasma.github.io/Logging_0562/kartor/A 24411-2023 karta.png", "A 24411-2023")</f>
        <v/>
      </c>
      <c r="Y66">
        <f>HYPERLINK("https://klasma.github.io/Logging_0562/kartor_geotiff/A 24411-2023 georefererad karta.tif", "A 24411-2023")</f>
        <v/>
      </c>
      <c r="AA66">
        <f>HYPERLINK("https://klasma.github.io/Logging_0562/klagomål/A 24411-2023 FSC-klagomål.docx", "A 24411-2023")</f>
        <v/>
      </c>
      <c r="AB66">
        <f>HYPERLINK("https://klasma.github.io/Logging_0562/klagomålsmail/A 24411-2023 FSC-klagomål mail.docx", "A 24411-2023")</f>
        <v/>
      </c>
      <c r="AC66">
        <f>HYPERLINK("https://klasma.github.io/Logging_0562/tillsyn/A 24411-2023 tillsynsbegäran.docx", "A 24411-2023")</f>
        <v/>
      </c>
      <c r="AD66">
        <f>HYPERLINK("https://klasma.github.io/Logging_0562/tillsynsmail/A 24411-2023 tillsynsbegäran mail.docx", "A 24411-2023")</f>
        <v/>
      </c>
    </row>
    <row r="67" ht="15" customHeight="1">
      <c r="A67" t="inlineStr">
        <is>
          <t>A 22439-2023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46324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HYPERLINK("https://klasma.github.io/Logging_0562/artfynd/A 22439-2023 artfynd.xlsx", "A 22439-2023")</f>
        <v/>
      </c>
      <c r="X67">
        <f>HYPERLINK("https://klasma.github.io/Logging_0562/kartor/A 22439-2023 karta.png", "A 22439-2023")</f>
        <v/>
      </c>
      <c r="Y67">
        <f>HYPERLINK("https://klasma.github.io/Logging_0562/kartor_geotiff/A 22439-2023 georefererad karta.tif", "A 22439-2023")</f>
        <v/>
      </c>
      <c r="AA67">
        <f>HYPERLINK("https://klasma.github.io/Logging_0562/klagomål/A 22439-2023 FSC-klagomål.docx", "A 22439-2023")</f>
        <v/>
      </c>
      <c r="AB67">
        <f>HYPERLINK("https://klasma.github.io/Logging_0562/klagomålsmail/A 22439-2023 FSC-klagomål mail.docx", "A 22439-2023")</f>
        <v/>
      </c>
      <c r="AC67">
        <f>HYPERLINK("https://klasma.github.io/Logging_0562/tillsyn/A 22439-2023 tillsynsbegäran.docx", "A 22439-2023")</f>
        <v/>
      </c>
      <c r="AD67">
        <f>HYPERLINK("https://klasma.github.io/Logging_0562/tillsynsmail/A 22439-2023 tillsynsbegäran mail.docx", "A 22439-2023")</f>
        <v/>
      </c>
    </row>
    <row r="68" ht="15" customHeight="1">
      <c r="A68" t="inlineStr">
        <is>
          <t>A 7265-2026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46324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Havsörn</t>
        </is>
      </c>
      <c r="W68">
        <f>HYPERLINK("https://klasma.github.io/Logging_0562/artfynd/A 7265-2026 artfynd.xlsx", "A 7265-2026")</f>
        <v/>
      </c>
      <c r="X68">
        <f>HYPERLINK("https://klasma.github.io/Logging_0562/kartor/A 7265-2026 karta.png", "A 7265-2026")</f>
        <v/>
      </c>
      <c r="Y68">
        <f>HYPERLINK("https://klasma.github.io/Logging_0562/kartor_geotiff/A 7265-2026 georefererad karta.tif", "A 7265-2026")</f>
        <v/>
      </c>
      <c r="AA68">
        <f>HYPERLINK("https://klasma.github.io/Logging_0562/klagomål/A 7265-2026 FSC-klagomål.docx", "A 7265-2026")</f>
        <v/>
      </c>
      <c r="AB68">
        <f>HYPERLINK("https://klasma.github.io/Logging_0562/klagomålsmail/A 7265-2026 FSC-klagomål mail.docx", "A 7265-2026")</f>
        <v/>
      </c>
      <c r="AC68">
        <f>HYPERLINK("https://klasma.github.io/Logging_0562/tillsyn/A 7265-2026 tillsynsbegäran.docx", "A 7265-2026")</f>
        <v/>
      </c>
      <c r="AD68">
        <f>HYPERLINK("https://klasma.github.io/Logging_0562/tillsynsmail/A 7265-2026 tillsynsbegäran mail.docx", "A 7265-2026")</f>
        <v/>
      </c>
      <c r="AE68">
        <f>HYPERLINK("https://klasma.github.io/Logging_0562/fåglar/A 7265-2026 prioriterade fågelarter.docx", "A 7265-2026")</f>
        <v/>
      </c>
    </row>
    <row r="69" ht="15" customHeight="1">
      <c r="A69" t="inlineStr">
        <is>
          <t>A 27456-2026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46324</v>
      </c>
      <c r="F69" t="inlineStr">
        <is>
          <t>ÖSTERGÖTLANDS LÄN</t>
        </is>
      </c>
      <c r="G69" t="inlineStr">
        <is>
          <t>FINSPÅNG</t>
        </is>
      </c>
      <c r="I69" t="n">
        <v>0.6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Tibast</t>
        </is>
      </c>
      <c r="W69">
        <f>HYPERLINK("https://klasma.github.io/Logging_0562/artfynd/A 27456-2026 artfynd.xlsx", "A 27456-2026")</f>
        <v/>
      </c>
      <c r="X69">
        <f>HYPERLINK("https://klasma.github.io/Logging_0562/kartor/A 27456-2026 karta.png", "A 27456-2026")</f>
        <v/>
      </c>
      <c r="Y69">
        <f>HYPERLINK("https://klasma.github.io/Logging_0562/kartor_geotiff/A 27456-2026 georefererad karta.tif", "A 27456-2026")</f>
        <v/>
      </c>
      <c r="AA69">
        <f>HYPERLINK("https://klasma.github.io/Logging_0562/klagomål/A 27456-2026 FSC-klagomål.docx", "A 27456-2026")</f>
        <v/>
      </c>
      <c r="AB69">
        <f>HYPERLINK("https://klasma.github.io/Logging_0562/klagomålsmail/A 27456-2026 FSC-klagomål mail.docx", "A 27456-2026")</f>
        <v/>
      </c>
      <c r="AC69">
        <f>HYPERLINK("https://klasma.github.io/Logging_0562/tillsyn/A 27456-2026 tillsynsbegäran.docx", "A 27456-2026")</f>
        <v/>
      </c>
      <c r="AD69">
        <f>HYPERLINK("https://klasma.github.io/Logging_0562/tillsynsmail/A 27456-2026 tillsynsbegäran mail.docx", "A 27456-2026")</f>
        <v/>
      </c>
    </row>
    <row r="70" ht="15" customHeight="1">
      <c r="A70" t="inlineStr">
        <is>
          <t>A 53673-2024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46324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HYPERLINK("https://klasma.github.io/Logging_0562/artfynd/A 53673-2024 artfynd.xlsx", "A 53673-2024")</f>
        <v/>
      </c>
      <c r="X70">
        <f>HYPERLINK("https://klasma.github.io/Logging_0562/kartor/A 53673-2024 karta.png", "A 53673-2024")</f>
        <v/>
      </c>
      <c r="Y70">
        <f>HYPERLINK("https://klasma.github.io/Logging_0562/kartor_geotiff/A 53673-2024 georefererad karta.tif", "A 53673-2024")</f>
        <v/>
      </c>
      <c r="Z70">
        <f>HYPERLINK("https://klasma.github.io/Logging_0562/knärot/A 53673-2024 karta knärot.png", "A 53673-2024")</f>
        <v/>
      </c>
      <c r="AA70">
        <f>HYPERLINK("https://klasma.github.io/Logging_0562/klagomål/A 53673-2024 FSC-klagomål.docx", "A 53673-2024")</f>
        <v/>
      </c>
      <c r="AB70">
        <f>HYPERLINK("https://klasma.github.io/Logging_0562/klagomålsmail/A 53673-2024 FSC-klagomål mail.docx", "A 53673-2024")</f>
        <v/>
      </c>
      <c r="AC70">
        <f>HYPERLINK("https://klasma.github.io/Logging_0562/tillsyn/A 53673-2024 tillsynsbegäran.docx", "A 53673-2024")</f>
        <v/>
      </c>
      <c r="AD70">
        <f>HYPERLINK("https://klasma.github.io/Logging_0562/tillsynsmail/A 53673-2024 tillsynsbegäran mail.docx", "A 53673-2024")</f>
        <v/>
      </c>
    </row>
    <row r="71" ht="15" customHeight="1">
      <c r="A71" t="inlineStr">
        <is>
          <t>A 36128-2023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46324</v>
      </c>
      <c r="F71" t="inlineStr">
        <is>
          <t>ÖSTERGÖTLANDS LÄN</t>
        </is>
      </c>
      <c r="G71" t="inlineStr">
        <is>
          <t>FINSPÅNG</t>
        </is>
      </c>
      <c r="I71" t="n">
        <v>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Talltita</t>
        </is>
      </c>
      <c r="W71">
        <f>HYPERLINK("https://klasma.github.io/Logging_0562/artfynd/A 36128-2023 artfynd.xlsx", "A 36128-2023")</f>
        <v/>
      </c>
      <c r="X71">
        <f>HYPERLINK("https://klasma.github.io/Logging_0562/kartor/A 36128-2023 karta.png", "A 36128-2023")</f>
        <v/>
      </c>
      <c r="Y71">
        <f>HYPERLINK("https://klasma.github.io/Logging_0562/kartor_geotiff/A 36128-2023 georefererad karta.tif", "A 36128-2023")</f>
        <v/>
      </c>
      <c r="AA71">
        <f>HYPERLINK("https://klasma.github.io/Logging_0562/klagomål/A 36128-2023 FSC-klagomål.docx", "A 36128-2023")</f>
        <v/>
      </c>
      <c r="AB71">
        <f>HYPERLINK("https://klasma.github.io/Logging_0562/klagomålsmail/A 36128-2023 FSC-klagomål mail.docx", "A 36128-2023")</f>
        <v/>
      </c>
      <c r="AC71">
        <f>HYPERLINK("https://klasma.github.io/Logging_0562/tillsyn/A 36128-2023 tillsynsbegäran.docx", "A 36128-2023")</f>
        <v/>
      </c>
      <c r="AD71">
        <f>HYPERLINK("https://klasma.github.io/Logging_0562/tillsynsmail/A 36128-2023 tillsynsbegäran mail.docx", "A 36128-2023")</f>
        <v/>
      </c>
      <c r="AE71">
        <f>HYPERLINK("https://klasma.github.io/Logging_0562/fåglar/A 36128-2023 prioriterade fågelarter.docx", "A 36128-2023")</f>
        <v/>
      </c>
    </row>
    <row r="72" ht="15" customHeight="1">
      <c r="A72" t="inlineStr">
        <is>
          <t>A 25942-2026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46324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HYPERLINK("https://klasma.github.io/Logging_0562/artfynd/A 25942-2026 artfynd.xlsx", "A 25942-2026")</f>
        <v/>
      </c>
      <c r="X72">
        <f>HYPERLINK("https://klasma.github.io/Logging_0562/kartor/A 25942-2026 karta.png", "A 25942-2026")</f>
        <v/>
      </c>
      <c r="Y72">
        <f>HYPERLINK("https://klasma.github.io/Logging_0562/kartor_geotiff/A 25942-2026 georefererad karta.tif", "A 25942-2026")</f>
        <v/>
      </c>
      <c r="AA72">
        <f>HYPERLINK("https://klasma.github.io/Logging_0562/klagomål/A 25942-2026 FSC-klagomål.docx", "A 25942-2026")</f>
        <v/>
      </c>
      <c r="AB72">
        <f>HYPERLINK("https://klasma.github.io/Logging_0562/klagomålsmail/A 25942-2026 FSC-klagomål mail.docx", "A 25942-2026")</f>
        <v/>
      </c>
      <c r="AC72">
        <f>HYPERLINK("https://klasma.github.io/Logging_0562/tillsyn/A 25942-2026 tillsynsbegäran.docx", "A 25942-2026")</f>
        <v/>
      </c>
      <c r="AD72">
        <f>HYPERLINK("https://klasma.github.io/Logging_0562/tillsynsmail/A 25942-2026 tillsynsbegäran mail.docx", "A 25942-2026")</f>
        <v/>
      </c>
    </row>
    <row r="73" ht="15" customHeight="1">
      <c r="A73" t="inlineStr">
        <is>
          <t>A 18915-2026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46129</v>
      </c>
      <c r="E73" s="1" t="n">
        <v>46324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Havsörn</t>
        </is>
      </c>
      <c r="W73">
        <f>HYPERLINK("https://klasma.github.io/Logging_0562/artfynd/A 18915-2026 artfynd.xlsx", "A 18915-2026")</f>
        <v/>
      </c>
      <c r="X73">
        <f>HYPERLINK("https://klasma.github.io/Logging_0562/kartor/A 18915-2026 karta.png", "A 18915-2026")</f>
        <v/>
      </c>
      <c r="Y73">
        <f>HYPERLINK("https://klasma.github.io/Logging_0562/kartor_geotiff/A 18915-2026 georefererad karta.tif", "A 18915-2026")</f>
        <v/>
      </c>
      <c r="AA73">
        <f>HYPERLINK("https://klasma.github.io/Logging_0562/klagomål/A 18915-2026 FSC-klagomål.docx", "A 18915-2026")</f>
        <v/>
      </c>
      <c r="AB73">
        <f>HYPERLINK("https://klasma.github.io/Logging_0562/klagomålsmail/A 18915-2026 FSC-klagomål mail.docx", "A 18915-2026")</f>
        <v/>
      </c>
      <c r="AC73">
        <f>HYPERLINK("https://klasma.github.io/Logging_0562/tillsyn/A 18915-2026 tillsynsbegäran.docx", "A 18915-2026")</f>
        <v/>
      </c>
      <c r="AD73">
        <f>HYPERLINK("https://klasma.github.io/Logging_0562/tillsynsmail/A 18915-2026 tillsynsbegäran mail.docx", "A 18915-2026")</f>
        <v/>
      </c>
      <c r="AE73">
        <f>HYPERLINK("https://klasma.github.io/Logging_0562/fåglar/A 18915-2026 prioriterade fågelarter.docx", "A 18915-2026")</f>
        <v/>
      </c>
    </row>
    <row r="74" ht="15" customHeight="1">
      <c r="A74" t="inlineStr">
        <is>
          <t>A 53265-2023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46324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HYPERLINK("https://klasma.github.io/Logging_0562/artfynd/A 53265-2023 artfynd.xlsx", "A 53265-2023")</f>
        <v/>
      </c>
      <c r="X74">
        <f>HYPERLINK("https://klasma.github.io/Logging_0562/kartor/A 53265-2023 karta.png", "A 53265-2023")</f>
        <v/>
      </c>
      <c r="Y74">
        <f>HYPERLINK("https://klasma.github.io/Logging_0562/kartor_geotiff/A 53265-2023 georefererad karta.tif", "A 53265-2023")</f>
        <v/>
      </c>
      <c r="AA74">
        <f>HYPERLINK("https://klasma.github.io/Logging_0562/klagomål/A 53265-2023 FSC-klagomål.docx", "A 53265-2023")</f>
        <v/>
      </c>
      <c r="AB74">
        <f>HYPERLINK("https://klasma.github.io/Logging_0562/klagomålsmail/A 53265-2023 FSC-klagomål mail.docx", "A 53265-2023")</f>
        <v/>
      </c>
      <c r="AC74">
        <f>HYPERLINK("https://klasma.github.io/Logging_0562/tillsyn/A 53265-2023 tillsynsbegäran.docx", "A 53265-2023")</f>
        <v/>
      </c>
      <c r="AD74">
        <f>HYPERLINK("https://klasma.github.io/Logging_0562/tillsynsmail/A 53265-2023 tillsynsbegäran mail.docx", "A 53265-2023")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46324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46324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15123-2025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45744</v>
      </c>
      <c r="E77" s="1" t="n">
        <v>46324</v>
      </c>
      <c r="F77" t="inlineStr">
        <is>
          <t>ÖSTERGÖTLANDS LÄN</t>
        </is>
      </c>
      <c r="G77" t="inlineStr">
        <is>
          <t>FINSPÅNG</t>
        </is>
      </c>
      <c r="H77" t="inlineStr">
        <is>
          <t>Naturvårdsverket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HYPERLINK("https://klasma.github.io/Logging_0562/artfynd/A 15123-2025 artfynd.xlsx", "A 15123-2025")</f>
        <v/>
      </c>
      <c r="X77">
        <f>HYPERLINK("https://klasma.github.io/Logging_0562/kartor/A 15123-2025 karta.png", "A 15123-2025")</f>
        <v/>
      </c>
      <c r="Y77">
        <f>HYPERLINK("https://klasma.github.io/Logging_0562/kartor_geotiff/A 15123-2025 georefererad karta.tif", "A 15123-2025")</f>
        <v/>
      </c>
      <c r="AA77">
        <f>HYPERLINK("https://klasma.github.io/Logging_0562/klagomål/A 15123-2025 FSC-klagomål.docx", "A 15123-2025")</f>
        <v/>
      </c>
      <c r="AB77">
        <f>HYPERLINK("https://klasma.github.io/Logging_0562/klagomålsmail/A 15123-2025 FSC-klagomål mail.docx", "A 15123-2025")</f>
        <v/>
      </c>
      <c r="AC77">
        <f>HYPERLINK("https://klasma.github.io/Logging_0562/tillsyn/A 15123-2025 tillsynsbegäran.docx", "A 15123-2025")</f>
        <v/>
      </c>
      <c r="AD77">
        <f>HYPERLINK("https://klasma.github.io/Logging_0562/tillsynsmail/A 15123-2025 tillsynsbegäran mail.docx", "A 15123-2025")</f>
        <v/>
      </c>
      <c r="AE77">
        <f>HYPERLINK("https://klasma.github.io/Logging_0562/fåglar/A 15123-2025 prioriterade fågelarter.docx", "A 15123-2025")</f>
        <v/>
      </c>
    </row>
    <row r="78" ht="15" customHeight="1">
      <c r="A78" t="inlineStr">
        <is>
          <t>A 3941-2026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46043</v>
      </c>
      <c r="E78" s="1" t="n">
        <v>46324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Övriga Aktiebolag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Trana</t>
        </is>
      </c>
      <c r="W78">
        <f>HYPERLINK("https://klasma.github.io/Logging_0562/artfynd/A 3941-2026 artfynd.xlsx", "A 3941-2026")</f>
        <v/>
      </c>
      <c r="X78">
        <f>HYPERLINK("https://klasma.github.io/Logging_0562/kartor/A 3941-2026 karta.png", "A 3941-2026")</f>
        <v/>
      </c>
      <c r="Y78">
        <f>HYPERLINK("https://klasma.github.io/Logging_0562/kartor_geotiff/A 3941-2026 georefererad karta.tif", "A 3941-2026")</f>
        <v/>
      </c>
      <c r="AA78">
        <f>HYPERLINK("https://klasma.github.io/Logging_0562/klagomål/A 3941-2026 FSC-klagomål.docx", "A 3941-2026")</f>
        <v/>
      </c>
      <c r="AB78">
        <f>HYPERLINK("https://klasma.github.io/Logging_0562/klagomålsmail/A 3941-2026 FSC-klagomål mail.docx", "A 3941-2026")</f>
        <v/>
      </c>
      <c r="AC78">
        <f>HYPERLINK("https://klasma.github.io/Logging_0562/tillsyn/A 3941-2026 tillsynsbegäran.docx", "A 3941-2026")</f>
        <v/>
      </c>
      <c r="AD78">
        <f>HYPERLINK("https://klasma.github.io/Logging_0562/tillsynsmail/A 3941-2026 tillsynsbegäran mail.docx", "A 3941-2026")</f>
        <v/>
      </c>
      <c r="AE78">
        <f>HYPERLINK("https://klasma.github.io/Logging_0562/fåglar/A 3941-2026 prioriterade fågelarter.docx", "A 3941-2026")</f>
        <v/>
      </c>
    </row>
    <row r="79" ht="15" customHeight="1">
      <c r="A79" t="inlineStr">
        <is>
          <t>A 59061-2024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45636</v>
      </c>
      <c r="E79" s="1" t="n">
        <v>46324</v>
      </c>
      <c r="F79" t="inlineStr">
        <is>
          <t>ÖSTERGÖTLANDS LÄN</t>
        </is>
      </c>
      <c r="G79" t="inlineStr">
        <is>
          <t>FINSPÅNG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Ängsnycklar</t>
        </is>
      </c>
      <c r="W79">
        <f>HYPERLINK("https://klasma.github.io/Logging_0562/artfynd/A 59061-2024 artfynd.xlsx", "A 59061-2024")</f>
        <v/>
      </c>
      <c r="X79">
        <f>HYPERLINK("https://klasma.github.io/Logging_0562/kartor/A 59061-2024 karta.png", "A 59061-2024")</f>
        <v/>
      </c>
      <c r="Y79">
        <f>HYPERLINK("https://klasma.github.io/Logging_0562/kartor_geotiff/A 59061-2024 georefererad karta.tif", "A 59061-2024")</f>
        <v/>
      </c>
      <c r="AA79">
        <f>HYPERLINK("https://klasma.github.io/Logging_0562/klagomål/A 59061-2024 FSC-klagomål.docx", "A 59061-2024")</f>
        <v/>
      </c>
      <c r="AB79">
        <f>HYPERLINK("https://klasma.github.io/Logging_0562/klagomålsmail/A 59061-2024 FSC-klagomål mail.docx", "A 59061-2024")</f>
        <v/>
      </c>
      <c r="AC79">
        <f>HYPERLINK("https://klasma.github.io/Logging_0562/tillsyn/A 59061-2024 tillsynsbegäran.docx", "A 59061-2024")</f>
        <v/>
      </c>
      <c r="AD79">
        <f>HYPERLINK("https://klasma.github.io/Logging_0562/tillsynsmail/A 59061-2024 tillsynsbegäran mail.docx", "A 59061-2024")</f>
        <v/>
      </c>
    </row>
    <row r="80" ht="15" customHeight="1">
      <c r="A80" t="inlineStr">
        <is>
          <t>A 4644-2024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45328</v>
      </c>
      <c r="E80" s="1" t="n">
        <v>46324</v>
      </c>
      <c r="F80" t="inlineStr">
        <is>
          <t>ÖSTERGÖTLANDS LÄN</t>
        </is>
      </c>
      <c r="G80" t="inlineStr">
        <is>
          <t>FINSPÅNG</t>
        </is>
      </c>
      <c r="I80" t="n">
        <v>5.3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Kungsörn</t>
        </is>
      </c>
      <c r="W80">
        <f>HYPERLINK("https://klasma.github.io/Logging_0562/artfynd/A 4644-2024 artfynd.xlsx", "A 4644-2024")</f>
        <v/>
      </c>
      <c r="X80">
        <f>HYPERLINK("https://klasma.github.io/Logging_0562/kartor/A 4644-2024 karta.png", "A 4644-2024")</f>
        <v/>
      </c>
      <c r="Y80">
        <f>HYPERLINK("https://klasma.github.io/Logging_0562/kartor_geotiff/A 4644-2024 georefererad karta.tif", "A 4644-2024")</f>
        <v/>
      </c>
      <c r="AA80">
        <f>HYPERLINK("https://klasma.github.io/Logging_0562/klagomål/A 4644-2024 FSC-klagomål.docx", "A 4644-2024")</f>
        <v/>
      </c>
      <c r="AB80">
        <f>HYPERLINK("https://klasma.github.io/Logging_0562/klagomålsmail/A 4644-2024 FSC-klagomål mail.docx", "A 4644-2024")</f>
        <v/>
      </c>
      <c r="AC80">
        <f>HYPERLINK("https://klasma.github.io/Logging_0562/tillsyn/A 4644-2024 tillsynsbegäran.docx", "A 4644-2024")</f>
        <v/>
      </c>
      <c r="AD80">
        <f>HYPERLINK("https://klasma.github.io/Logging_0562/tillsynsmail/A 4644-2024 tillsynsbegäran mail.docx", "A 4644-2024")</f>
        <v/>
      </c>
      <c r="AE80">
        <f>HYPERLINK("https://klasma.github.io/Logging_0562/fåglar/A 4644-2024 prioriterade fågelarter.docx", "A 4644-2024")</f>
        <v/>
      </c>
    </row>
    <row r="81" ht="15" customHeight="1">
      <c r="A81" t="inlineStr">
        <is>
          <t>A 34886-2026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46324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HYPERLINK("https://klasma.github.io/Logging_0562/artfynd/A 34886-2026 artfynd.xlsx", "A 34886-2026")</f>
        <v/>
      </c>
      <c r="X81">
        <f>HYPERLINK("https://klasma.github.io/Logging_0562/kartor/A 34886-2026 karta.png", "A 34886-2026")</f>
        <v/>
      </c>
      <c r="Y81">
        <f>HYPERLINK("https://klasma.github.io/Logging_0562/kartor_geotiff/A 34886-2026 georefererad karta.tif", "A 34886-2026")</f>
        <v/>
      </c>
      <c r="AA81">
        <f>HYPERLINK("https://klasma.github.io/Logging_0562/klagomål/A 34886-2026 FSC-klagomål.docx", "A 34886-2026")</f>
        <v/>
      </c>
      <c r="AB81">
        <f>HYPERLINK("https://klasma.github.io/Logging_0562/klagomålsmail/A 34886-2026 FSC-klagomål mail.docx", "A 34886-2026")</f>
        <v/>
      </c>
      <c r="AC81">
        <f>HYPERLINK("https://klasma.github.io/Logging_0562/tillsyn/A 34886-2026 tillsynsbegäran.docx", "A 34886-2026")</f>
        <v/>
      </c>
      <c r="AD81">
        <f>HYPERLINK("https://klasma.github.io/Logging_0562/tillsynsmail/A 34886-2026 tillsynsbegäran mail.docx", "A 34886-2026")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46324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6035-2022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46324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Naturvårdsverket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Bred kärrtrollslända</t>
        </is>
      </c>
      <c r="W83">
        <f>HYPERLINK("https://klasma.github.io/Logging_0562/artfynd/A 6035-2022 artfynd.xlsx", "A 6035-2022")</f>
        <v/>
      </c>
      <c r="X83">
        <f>HYPERLINK("https://klasma.github.io/Logging_0562/kartor/A 6035-2022 karta.png", "A 6035-2022")</f>
        <v/>
      </c>
      <c r="Y83">
        <f>HYPERLINK("https://klasma.github.io/Logging_0562/kartor_geotiff/A 6035-2022 georefererad karta.tif", "A 6035-2022")</f>
        <v/>
      </c>
      <c r="AA83">
        <f>HYPERLINK("https://klasma.github.io/Logging_0562/klagomål/A 6035-2022 FSC-klagomål.docx", "A 6035-2022")</f>
        <v/>
      </c>
      <c r="AB83">
        <f>HYPERLINK("https://klasma.github.io/Logging_0562/klagomålsmail/A 6035-2022 FSC-klagomål mail.docx", "A 6035-2022")</f>
        <v/>
      </c>
      <c r="AC83">
        <f>HYPERLINK("https://klasma.github.io/Logging_0562/tillsyn/A 6035-2022 tillsynsbegäran.docx", "A 6035-2022")</f>
        <v/>
      </c>
      <c r="AD83">
        <f>HYPERLINK("https://klasma.github.io/Logging_0562/tillsynsmail/A 6035-2022 tillsynsbegäran mail.docx", "A 6035-2022")</f>
        <v/>
      </c>
    </row>
    <row r="84" ht="15" customHeight="1">
      <c r="A84" t="inlineStr">
        <is>
          <t>A 40385-2024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45555</v>
      </c>
      <c r="E84" s="1" t="n">
        <v>46324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HYPERLINK("https://klasma.github.io/Logging_0562/artfynd/A 40385-2024 artfynd.xlsx", "A 40385-2024")</f>
        <v/>
      </c>
      <c r="X84">
        <f>HYPERLINK("https://klasma.github.io/Logging_0562/kartor/A 40385-2024 karta.png", "A 40385-2024")</f>
        <v/>
      </c>
      <c r="Y84">
        <f>HYPERLINK("https://klasma.github.io/Logging_0562/kartor_geotiff/A 40385-2024 georefererad karta.tif", "A 40385-2024")</f>
        <v/>
      </c>
      <c r="AA84">
        <f>HYPERLINK("https://klasma.github.io/Logging_0562/klagomål/A 40385-2024 FSC-klagomål.docx", "A 40385-2024")</f>
        <v/>
      </c>
      <c r="AB84">
        <f>HYPERLINK("https://klasma.github.io/Logging_0562/klagomålsmail/A 40385-2024 FSC-klagomål mail.docx", "A 40385-2024")</f>
        <v/>
      </c>
      <c r="AC84">
        <f>HYPERLINK("https://klasma.github.io/Logging_0562/tillsyn/A 40385-2024 tillsynsbegäran.docx", "A 40385-2024")</f>
        <v/>
      </c>
      <c r="AD84">
        <f>HYPERLINK("https://klasma.github.io/Logging_0562/tillsynsmail/A 40385-2024 tillsynsbegäran mail.docx", "A 40385-2024")</f>
        <v/>
      </c>
      <c r="AE84">
        <f>HYPERLINK("https://klasma.github.io/Logging_0562/fåglar/A 40385-2024 prioriterade fågelarter.docx", "A 40385-2024")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46324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46324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57662-2022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44897</v>
      </c>
      <c r="E87" s="1" t="n">
        <v>46324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Järnsparv</t>
        </is>
      </c>
      <c r="W87">
        <f>HYPERLINK("https://klasma.github.io/Logging_0562/artfynd/A 57662-2022 artfynd.xlsx", "A 57662-2022")</f>
        <v/>
      </c>
      <c r="X87">
        <f>HYPERLINK("https://klasma.github.io/Logging_0562/kartor/A 57662-2022 karta.png", "A 57662-2022")</f>
        <v/>
      </c>
      <c r="Y87">
        <f>HYPERLINK("https://klasma.github.io/Logging_0562/kartor_geotiff/A 57662-2022 georefererad karta.tif", "A 57662-2022")</f>
        <v/>
      </c>
      <c r="AA87">
        <f>HYPERLINK("https://klasma.github.io/Logging_0562/klagomål/A 57662-2022 FSC-klagomål.docx", "A 57662-2022")</f>
        <v/>
      </c>
      <c r="AB87">
        <f>HYPERLINK("https://klasma.github.io/Logging_0562/klagomålsmail/A 57662-2022 FSC-klagomål mail.docx", "A 57662-2022")</f>
        <v/>
      </c>
      <c r="AC87">
        <f>HYPERLINK("https://klasma.github.io/Logging_0562/tillsyn/A 57662-2022 tillsynsbegäran.docx", "A 57662-2022")</f>
        <v/>
      </c>
      <c r="AD87">
        <f>HYPERLINK("https://klasma.github.io/Logging_0562/tillsynsmail/A 57662-2022 tillsynsbegäran mail.docx", "A 57662-2022")</f>
        <v/>
      </c>
      <c r="AE87">
        <f>HYPERLINK("https://klasma.github.io/Logging_0562/fåglar/A 57662-2022 prioriterade fågelarter.docx", "A 57662-2022")</f>
        <v/>
      </c>
    </row>
    <row r="88" ht="15" customHeight="1">
      <c r="A88" t="inlineStr">
        <is>
          <t>A 6407-2023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44965</v>
      </c>
      <c r="E88" s="1" t="n">
        <v>46324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Tjäder</t>
        </is>
      </c>
      <c r="W88">
        <f>HYPERLINK("https://klasma.github.io/Logging_0562/artfynd/A 6407-2023 artfynd.xlsx", "A 6407-2023")</f>
        <v/>
      </c>
      <c r="X88">
        <f>HYPERLINK("https://klasma.github.io/Logging_0562/kartor/A 6407-2023 karta.png", "A 6407-2023")</f>
        <v/>
      </c>
      <c r="Y88">
        <f>HYPERLINK("https://klasma.github.io/Logging_0562/kartor_geotiff/A 6407-2023 georefererad karta.tif", "A 6407-2023")</f>
        <v/>
      </c>
      <c r="AA88">
        <f>HYPERLINK("https://klasma.github.io/Logging_0562/klagomål/A 6407-2023 FSC-klagomål.docx", "A 6407-2023")</f>
        <v/>
      </c>
      <c r="AB88">
        <f>HYPERLINK("https://klasma.github.io/Logging_0562/klagomålsmail/A 6407-2023 FSC-klagomål mail.docx", "A 6407-2023")</f>
        <v/>
      </c>
      <c r="AC88">
        <f>HYPERLINK("https://klasma.github.io/Logging_0562/tillsyn/A 6407-2023 tillsynsbegäran.docx", "A 6407-2023")</f>
        <v/>
      </c>
      <c r="AD88">
        <f>HYPERLINK("https://klasma.github.io/Logging_0562/tillsynsmail/A 6407-2023 tillsynsbegäran mail.docx", "A 6407-2023")</f>
        <v/>
      </c>
      <c r="AE88">
        <f>HYPERLINK("https://klasma.github.io/Logging_0562/fåglar/A 6407-2023 prioriterade fågelarter.docx", "A 6407-2023")</f>
        <v/>
      </c>
    </row>
    <row r="89" ht="15" customHeight="1">
      <c r="A89" t="inlineStr">
        <is>
          <t>A 44084-2026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46318</v>
      </c>
      <c r="E89" s="1" t="n">
        <v>46324</v>
      </c>
      <c r="F89" t="inlineStr">
        <is>
          <t>ÖSTERGÖTLANDS LÄN</t>
        </is>
      </c>
      <c r="G89" t="inlineStr">
        <is>
          <t>FINSPÅNG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44084-2026 artfynd.xlsx", "A 44084-2026")</f>
        <v/>
      </c>
      <c r="X89">
        <f>HYPERLINK("https://klasma.github.io/Logging_0562/kartor/A 44084-2026 karta.png", "A 44084-2026")</f>
        <v/>
      </c>
      <c r="Y89">
        <f>HYPERLINK("https://klasma.github.io/Logging_0562/kartor_geotiff/A 44084-2026 georefererad karta.tif", "A 44084-2026")</f>
        <v/>
      </c>
      <c r="AA89">
        <f>HYPERLINK("https://klasma.github.io/Logging_0562/klagomål/A 44084-2026 FSC-klagomål.docx", "A 44084-2026")</f>
        <v/>
      </c>
      <c r="AB89">
        <f>HYPERLINK("https://klasma.github.io/Logging_0562/klagomålsmail/A 44084-2026 FSC-klagomål mail.docx", "A 44084-2026")</f>
        <v/>
      </c>
      <c r="AC89">
        <f>HYPERLINK("https://klasma.github.io/Logging_0562/tillsyn/A 44084-2026 tillsynsbegäran.docx", "A 44084-2026")</f>
        <v/>
      </c>
      <c r="AD89">
        <f>HYPERLINK("https://klasma.github.io/Logging_0562/tillsynsmail/A 44084-2026 tillsynsbegäran mail.docx", "A 44084-2026")</f>
        <v/>
      </c>
    </row>
    <row r="90" ht="15" customHeight="1">
      <c r="A90" t="inlineStr">
        <is>
          <t>A 44280-2026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46318</v>
      </c>
      <c r="E90" s="1" t="n">
        <v>46324</v>
      </c>
      <c r="F90" t="inlineStr">
        <is>
          <t>ÖSTERGÖTLANDS LÄN</t>
        </is>
      </c>
      <c r="G90" t="inlineStr">
        <is>
          <t>FINSPÅNG</t>
        </is>
      </c>
      <c r="I90" t="n">
        <v>10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HYPERLINK("https://klasma.github.io/Logging_0562/artfynd/A 44280-2026 artfynd.xlsx", "A 44280-2026")</f>
        <v/>
      </c>
      <c r="X90">
        <f>HYPERLINK("https://klasma.github.io/Logging_0562/kartor/A 44280-2026 karta.png", "A 44280-2026")</f>
        <v/>
      </c>
      <c r="Y90">
        <f>HYPERLINK("https://klasma.github.io/Logging_0562/kartor_geotiff/A 44280-2026 georefererad karta.tif", "A 44280-2026")</f>
        <v/>
      </c>
      <c r="Z90">
        <f>HYPERLINK("https://klasma.github.io/Logging_0562/knärot/A 44280-2026 karta knärot.png", "A 44280-2026")</f>
        <v/>
      </c>
      <c r="AA90">
        <f>HYPERLINK("https://klasma.github.io/Logging_0562/klagomål/A 44280-2026 FSC-klagomål.docx", "A 44280-2026")</f>
        <v/>
      </c>
      <c r="AB90">
        <f>HYPERLINK("https://klasma.github.io/Logging_0562/klagomålsmail/A 44280-2026 FSC-klagomål mail.docx", "A 44280-2026")</f>
        <v/>
      </c>
      <c r="AC90">
        <f>HYPERLINK("https://klasma.github.io/Logging_0562/tillsyn/A 44280-2026 tillsynsbegäran.docx", "A 44280-2026")</f>
        <v/>
      </c>
      <c r="AD90">
        <f>HYPERLINK("https://klasma.github.io/Logging_0562/tillsynsmail/A 44280-2026 tillsynsbegäran mail.docx", "A 44280-2026")</f>
        <v/>
      </c>
    </row>
    <row r="91" ht="15" customHeight="1">
      <c r="A91" t="inlineStr">
        <is>
          <t>A 42837-2024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46324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2</v>
      </c>
      <c r="V91" s="2" t="inlineStr">
        <is>
          <t>Knärot</t>
        </is>
      </c>
      <c r="W91">
        <f>HYPERLINK("https://klasma.github.io/Logging_0562/artfynd/A 42837-2024 artfynd.xlsx", "A 42837-2024")</f>
        <v/>
      </c>
      <c r="X91">
        <f>HYPERLINK("https://klasma.github.io/Logging_0562/kartor/A 42837-2024 karta.png", "A 42837-2024")</f>
        <v/>
      </c>
      <c r="Y91">
        <f>HYPERLINK("https://klasma.github.io/Logging_0562/kartor_geotiff/A 42837-2024 georefererad karta.tif", "A 42837-2024")</f>
        <v/>
      </c>
      <c r="Z91">
        <f>HYPERLINK("https://klasma.github.io/Logging_0562/knärot/A 42837-2024 karta knärot.png", "A 42837-2024")</f>
        <v/>
      </c>
      <c r="AA91">
        <f>HYPERLINK("https://klasma.github.io/Logging_0562/klagomål/A 42837-2024 FSC-klagomål.docx", "A 42837-2024")</f>
        <v/>
      </c>
      <c r="AB91">
        <f>HYPERLINK("https://klasma.github.io/Logging_0562/klagomålsmail/A 42837-2024 FSC-klagomål mail.docx", "A 42837-2024")</f>
        <v/>
      </c>
      <c r="AC91">
        <f>HYPERLINK("https://klasma.github.io/Logging_0562/tillsyn/A 42837-2024 tillsynsbegäran.docx", "A 42837-2024")</f>
        <v/>
      </c>
      <c r="AD91">
        <f>HYPERLINK("https://klasma.github.io/Logging_0562/tillsynsmail/A 42837-2024 tillsynsbegäran mail.docx", "A 42837-2024")</f>
        <v/>
      </c>
    </row>
    <row r="92" ht="15" customHeight="1">
      <c r="A92" t="inlineStr">
        <is>
          <t>A 44973-2026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46323</v>
      </c>
      <c r="E92" s="1" t="n">
        <v>46324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4.4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Bollvitmossa</t>
        </is>
      </c>
      <c r="W92">
        <f>HYPERLINK("https://klasma.github.io/Logging_0562/artfynd/A 44973-2026 artfynd.xlsx", "A 44973-2026")</f>
        <v/>
      </c>
      <c r="X92">
        <f>HYPERLINK("https://klasma.github.io/Logging_0562/kartor/A 44973-2026 karta.png", "A 44973-2026")</f>
        <v/>
      </c>
      <c r="Y92">
        <f>HYPERLINK("https://klasma.github.io/Logging_0562/kartor_geotiff/A 44973-2026 georefererad karta.tif", "A 44973-2026")</f>
        <v/>
      </c>
      <c r="AA92">
        <f>HYPERLINK("https://klasma.github.io/Logging_0562/klagomål/A 44973-2026 FSC-klagomål.docx", "A 44973-2026")</f>
        <v/>
      </c>
      <c r="AB92">
        <f>HYPERLINK("https://klasma.github.io/Logging_0562/klagomålsmail/A 44973-2026 FSC-klagomål mail.docx", "A 44973-2026")</f>
        <v/>
      </c>
      <c r="AC92">
        <f>HYPERLINK("https://klasma.github.io/Logging_0562/tillsyn/A 44973-2026 tillsynsbegäran.docx", "A 44973-2026")</f>
        <v/>
      </c>
      <c r="AD92">
        <f>HYPERLINK("https://klasma.github.io/Logging_0562/tillsynsmail/A 44973-2026 tillsynsbegäran mail.docx", "A 44973-2026")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46324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46324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46324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46324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16868-2022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44675</v>
      </c>
      <c r="E97" s="1" t="n">
        <v>46324</v>
      </c>
      <c r="F97" t="inlineStr">
        <is>
          <t>ÖSTERGÖTLANDS LÄN</t>
        </is>
      </c>
      <c r="G97" t="inlineStr">
        <is>
          <t>FINSPÅNG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46324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46324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46324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46324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46324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46324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44795</v>
      </c>
      <c r="E104" s="1" t="n">
        <v>46324</v>
      </c>
      <c r="F104" t="inlineStr">
        <is>
          <t>ÖSTERGÖTLANDS LÄN</t>
        </is>
      </c>
      <c r="G104" t="inlineStr">
        <is>
          <t>FINSPÅNG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44856</v>
      </c>
      <c r="E105" s="1" t="n">
        <v>46324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46324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44675</v>
      </c>
      <c r="E107" s="1" t="n">
        <v>46324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46324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46324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46324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46324</v>
      </c>
      <c r="F111" t="inlineStr">
        <is>
          <t>ÖSTERGÖTLANDS LÄN</t>
        </is>
      </c>
      <c r="G111" t="inlineStr">
        <is>
          <t>FINSPÅNG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46324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46324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46324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46324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46324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46324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67767-2021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46324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62597-2021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46324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62445-2021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44503</v>
      </c>
      <c r="E120" s="1" t="n">
        <v>46324</v>
      </c>
      <c r="F120" t="inlineStr">
        <is>
          <t>ÖSTERGÖTLANDS LÄN</t>
        </is>
      </c>
      <c r="G120" t="inlineStr">
        <is>
          <t>FINSPÅNG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46324</v>
      </c>
      <c r="F121" t="inlineStr">
        <is>
          <t>ÖSTERGÖTLANDS LÄN</t>
        </is>
      </c>
      <c r="G121" t="inlineStr">
        <is>
          <t>FINSPÅNG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44502</v>
      </c>
      <c r="E122" s="1" t="n">
        <v>46324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Övriga Aktiebolag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73659-2021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46324</v>
      </c>
      <c r="F123" t="inlineStr">
        <is>
          <t>ÖSTERGÖTLANDS LÄN</t>
        </is>
      </c>
      <c r="G123" t="inlineStr">
        <is>
          <t>FINSPÅNG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46324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46324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44833</v>
      </c>
      <c r="E126" s="1" t="n">
        <v>46324</v>
      </c>
      <c r="F126" t="inlineStr">
        <is>
          <t>ÖSTERGÖTLANDS LÄN</t>
        </is>
      </c>
      <c r="G126" t="inlineStr">
        <is>
          <t>FINSPÅNG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46324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46324</v>
      </c>
      <c r="F128" t="inlineStr">
        <is>
          <t>ÖSTERGÖTLANDS LÄN</t>
        </is>
      </c>
      <c r="G128" t="inlineStr">
        <is>
          <t>FINSPÅNG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46324</v>
      </c>
      <c r="F129" t="inlineStr">
        <is>
          <t>ÖSTERGÖTLANDS LÄN</t>
        </is>
      </c>
      <c r="G129" t="inlineStr">
        <is>
          <t>FINSPÅNG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46324</v>
      </c>
      <c r="F130" t="inlineStr">
        <is>
          <t>ÖSTERGÖTLANDS LÄN</t>
        </is>
      </c>
      <c r="G130" t="inlineStr">
        <is>
          <t>FINSPÅNG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46324</v>
      </c>
      <c r="F131" t="inlineStr">
        <is>
          <t>ÖSTERGÖTLANDS LÄN</t>
        </is>
      </c>
      <c r="G131" t="inlineStr">
        <is>
          <t>FINSPÅNG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44782</v>
      </c>
      <c r="E132" s="1" t="n">
        <v>46324</v>
      </c>
      <c r="F132" t="inlineStr">
        <is>
          <t>ÖSTERGÖTLANDS LÄN</t>
        </is>
      </c>
      <c r="G132" t="inlineStr">
        <is>
          <t>FINSPÅNG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44741</v>
      </c>
      <c r="E133" s="1" t="n">
        <v>46324</v>
      </c>
      <c r="F133" t="inlineStr">
        <is>
          <t>ÖSTERGÖTLANDS LÄN</t>
        </is>
      </c>
      <c r="G133" t="inlineStr">
        <is>
          <t>FINSPÅNG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46324</v>
      </c>
      <c r="F134" t="inlineStr">
        <is>
          <t>ÖSTERGÖTLANDS LÄN</t>
        </is>
      </c>
      <c r="G134" t="inlineStr">
        <is>
          <t>FINSPÅNG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46324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44678</v>
      </c>
      <c r="E136" s="1" t="n">
        <v>46324</v>
      </c>
      <c r="F136" t="inlineStr">
        <is>
          <t>ÖSTERGÖTLANDS LÄN</t>
        </is>
      </c>
      <c r="G136" t="inlineStr">
        <is>
          <t>FINSPÅNG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44855</v>
      </c>
      <c r="E137" s="1" t="n">
        <v>46324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Holmen skog AB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46324</v>
      </c>
      <c r="F138" t="inlineStr">
        <is>
          <t>ÖSTERGÖTLANDS LÄN</t>
        </is>
      </c>
      <c r="G138" t="inlineStr">
        <is>
          <t>FINSPÅNG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44860</v>
      </c>
      <c r="E139" s="1" t="n">
        <v>46324</v>
      </c>
      <c r="F139" t="inlineStr">
        <is>
          <t>ÖSTERGÖTLANDS LÄN</t>
        </is>
      </c>
      <c r="G139" t="inlineStr">
        <is>
          <t>FINSPÅNG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46324</v>
      </c>
      <c r="F140" t="inlineStr">
        <is>
          <t>ÖSTERGÖTLANDS LÄN</t>
        </is>
      </c>
      <c r="G140" t="inlineStr">
        <is>
          <t>FINSPÅNG</t>
        </is>
      </c>
      <c r="I140" t="n">
        <v>8.300000000000001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36075-2022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44802</v>
      </c>
      <c r="E141" s="1" t="n">
        <v>46324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46324</v>
      </c>
      <c r="F142" t="inlineStr">
        <is>
          <t>ÖSTERGÖTLANDS LÄN</t>
        </is>
      </c>
      <c r="G142" t="inlineStr">
        <is>
          <t>FINSPÅNG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44541</v>
      </c>
      <c r="E143" s="1" t="n">
        <v>46324</v>
      </c>
      <c r="F143" t="inlineStr">
        <is>
          <t>ÖSTERGÖTLANDS LÄN</t>
        </is>
      </c>
      <c r="G143" t="inlineStr">
        <is>
          <t>FINSPÅNG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44564</v>
      </c>
      <c r="E144" s="1" t="n">
        <v>46324</v>
      </c>
      <c r="F144" t="inlineStr">
        <is>
          <t>ÖSTERGÖTLANDS LÄN</t>
        </is>
      </c>
      <c r="G144" t="inlineStr">
        <is>
          <t>FINSPÅNG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46324</v>
      </c>
      <c r="F145" t="inlineStr">
        <is>
          <t>ÖSTERGÖTLANDS LÄN</t>
        </is>
      </c>
      <c r="G145" t="inlineStr">
        <is>
          <t>FINSPÅNG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46324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46324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46324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46324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44816</v>
      </c>
      <c r="E150" s="1" t="n">
        <v>46324</v>
      </c>
      <c r="F150" t="inlineStr">
        <is>
          <t>ÖSTERGÖTLANDS LÄN</t>
        </is>
      </c>
      <c r="G150" t="inlineStr">
        <is>
          <t>FINSPÅNG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46324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46324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46324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46324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46324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46324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46324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46324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46324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46324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46324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46324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46324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Kyrkan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46324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46324</v>
      </c>
      <c r="F165" t="inlineStr">
        <is>
          <t>ÖSTERGÖTLANDS LÄN</t>
        </is>
      </c>
      <c r="G165" t="inlineStr">
        <is>
          <t>FINSPÅNG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46324</v>
      </c>
      <c r="F166" t="inlineStr">
        <is>
          <t>ÖSTERGÖTLANDS LÄN</t>
        </is>
      </c>
      <c r="G166" t="inlineStr">
        <is>
          <t>FINSPÅNG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44564</v>
      </c>
      <c r="E167" s="1" t="n">
        <v>46324</v>
      </c>
      <c r="F167" t="inlineStr">
        <is>
          <t>ÖSTERGÖTLANDS LÄN</t>
        </is>
      </c>
      <c r="G167" t="inlineStr">
        <is>
          <t>FINSPÅNG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44642</v>
      </c>
      <c r="E168" s="1" t="n">
        <v>46324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46324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46324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44635</v>
      </c>
      <c r="E171" s="1" t="n">
        <v>46324</v>
      </c>
      <c r="F171" t="inlineStr">
        <is>
          <t>ÖSTERGÖTLANDS LÄN</t>
        </is>
      </c>
      <c r="G171" t="inlineStr">
        <is>
          <t>FINSPÅNG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46324</v>
      </c>
      <c r="F172" t="inlineStr">
        <is>
          <t>ÖSTERGÖTLANDS LÄN</t>
        </is>
      </c>
      <c r="G172" t="inlineStr">
        <is>
          <t>FINSPÅNG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45636</v>
      </c>
      <c r="E173" s="1" t="n">
        <v>46324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44776</v>
      </c>
      <c r="E174" s="1" t="n">
        <v>46324</v>
      </c>
      <c r="F174" t="inlineStr">
        <is>
          <t>ÖSTERGÖTLANDS LÄN</t>
        </is>
      </c>
      <c r="G174" t="inlineStr">
        <is>
          <t>FINSPÅNG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46324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46324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44630</v>
      </c>
      <c r="E177" s="1" t="n">
        <v>46324</v>
      </c>
      <c r="F177" t="inlineStr">
        <is>
          <t>ÖSTERGÖTLANDS LÄN</t>
        </is>
      </c>
      <c r="G177" t="inlineStr">
        <is>
          <t>FINSPÅNG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45728</v>
      </c>
      <c r="E178" s="1" t="n">
        <v>46324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64408-2023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45280</v>
      </c>
      <c r="E179" s="1" t="n">
        <v>46324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Övriga Aktiebolag</t>
        </is>
      </c>
      <c r="I179" t="n">
        <v>13.6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22412-2022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46324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46324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45225</v>
      </c>
      <c r="E182" s="1" t="n">
        <v>46324</v>
      </c>
      <c r="F182" t="inlineStr">
        <is>
          <t>ÖSTERGÖTLANDS LÄN</t>
        </is>
      </c>
      <c r="G182" t="inlineStr">
        <is>
          <t>FINSPÅNG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69994-2021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44533</v>
      </c>
      <c r="E183" s="1" t="n">
        <v>46324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44987</v>
      </c>
      <c r="E184" s="1" t="n">
        <v>46324</v>
      </c>
      <c r="F184" t="inlineStr">
        <is>
          <t>ÖSTERGÖTLANDS LÄN</t>
        </is>
      </c>
      <c r="G184" t="inlineStr">
        <is>
          <t>FINSPÅNG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46324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46324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45258</v>
      </c>
      <c r="E187" s="1" t="n">
        <v>46324</v>
      </c>
      <c r="F187" t="inlineStr">
        <is>
          <t>ÖSTERGÖTLANDS LÄN</t>
        </is>
      </c>
      <c r="G187" t="inlineStr">
        <is>
          <t>FINSPÅNG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46324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45177</v>
      </c>
      <c r="E189" s="1" t="n">
        <v>46324</v>
      </c>
      <c r="F189" t="inlineStr">
        <is>
          <t>ÖSTERGÖTLANDS LÄN</t>
        </is>
      </c>
      <c r="G189" t="inlineStr">
        <is>
          <t>FINSPÅNG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44678</v>
      </c>
      <c r="E190" s="1" t="n">
        <v>46324</v>
      </c>
      <c r="F190" t="inlineStr">
        <is>
          <t>ÖSTERGÖTLANDS LÄN</t>
        </is>
      </c>
      <c r="G190" t="inlineStr">
        <is>
          <t>FINSPÅNG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44656</v>
      </c>
      <c r="E191" s="1" t="n">
        <v>46324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46324</v>
      </c>
      <c r="F192" t="inlineStr">
        <is>
          <t>ÖSTERGÖTLANDS LÄN</t>
        </is>
      </c>
      <c r="G192" t="inlineStr">
        <is>
          <t>FINSPÅNG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24328-2025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45797</v>
      </c>
      <c r="E193" s="1" t="n">
        <v>46324</v>
      </c>
      <c r="F193" t="inlineStr">
        <is>
          <t>ÖSTERGÖTLANDS LÄN</t>
        </is>
      </c>
      <c r="G193" t="inlineStr">
        <is>
          <t>FINSPÅNG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45147</v>
      </c>
      <c r="E194" s="1" t="n">
        <v>46324</v>
      </c>
      <c r="F194" t="inlineStr">
        <is>
          <t>ÖSTERGÖTLANDS LÄN</t>
        </is>
      </c>
      <c r="G194" t="inlineStr">
        <is>
          <t>FINSPÅNG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46324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24021-2025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45796</v>
      </c>
      <c r="E196" s="1" t="n">
        <v>46324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Naturvårdsverket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46324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46324</v>
      </c>
      <c r="F198" t="inlineStr">
        <is>
          <t>ÖSTERGÖTLANDS LÄN</t>
        </is>
      </c>
      <c r="G198" t="inlineStr">
        <is>
          <t>FINSPÅNG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44742</v>
      </c>
      <c r="E199" s="1" t="n">
        <v>46324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45230</v>
      </c>
      <c r="E200" s="1" t="n">
        <v>46324</v>
      </c>
      <c r="F200" t="inlineStr">
        <is>
          <t>ÖSTERGÖTLANDS LÄN</t>
        </is>
      </c>
      <c r="G200" t="inlineStr">
        <is>
          <t>FINSPÅNG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45040</v>
      </c>
      <c r="E201" s="1" t="n">
        <v>46324</v>
      </c>
      <c r="F201" t="inlineStr">
        <is>
          <t>ÖSTERGÖTLANDS LÄN</t>
        </is>
      </c>
      <c r="G201" t="inlineStr">
        <is>
          <t>FINSPÅNG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46324</v>
      </c>
      <c r="F202" t="inlineStr">
        <is>
          <t>ÖSTERGÖTLANDS LÄN</t>
        </is>
      </c>
      <c r="G202" t="inlineStr">
        <is>
          <t>FINSPÅNG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24310-2025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45797</v>
      </c>
      <c r="E203" s="1" t="n">
        <v>46324</v>
      </c>
      <c r="F203" t="inlineStr">
        <is>
          <t>ÖSTERGÖTLANDS LÄN</t>
        </is>
      </c>
      <c r="G203" t="inlineStr">
        <is>
          <t>FINSPÅNG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46324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Naturvårdsverket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45447</v>
      </c>
      <c r="E205" s="1" t="n">
        <v>46324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28722-2023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45103</v>
      </c>
      <c r="E206" s="1" t="n">
        <v>46324</v>
      </c>
      <c r="F206" t="inlineStr">
        <is>
          <t>ÖSTERGÖTLANDS LÄN</t>
        </is>
      </c>
      <c r="G206" t="inlineStr">
        <is>
          <t>FINSPÅNG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46324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Övriga Aktiebolag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45293</v>
      </c>
      <c r="E208" s="1" t="n">
        <v>46324</v>
      </c>
      <c r="F208" t="inlineStr">
        <is>
          <t>ÖSTERGÖTLANDS LÄN</t>
        </is>
      </c>
      <c r="G208" t="inlineStr">
        <is>
          <t>FINSPÅNG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44876</v>
      </c>
      <c r="E209" s="1" t="n">
        <v>46324</v>
      </c>
      <c r="F209" t="inlineStr">
        <is>
          <t>ÖSTERGÖTLANDS LÄN</t>
        </is>
      </c>
      <c r="G209" t="inlineStr">
        <is>
          <t>FINSPÅNG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73260-2021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44550</v>
      </c>
      <c r="E210" s="1" t="n">
        <v>46324</v>
      </c>
      <c r="F210" t="inlineStr">
        <is>
          <t>ÖSTERGÖTLANDS LÄN</t>
        </is>
      </c>
      <c r="G210" t="inlineStr">
        <is>
          <t>FINSPÅNG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45179</v>
      </c>
      <c r="E211" s="1" t="n">
        <v>46324</v>
      </c>
      <c r="F211" t="inlineStr">
        <is>
          <t>ÖSTERGÖTLANDS LÄN</t>
        </is>
      </c>
      <c r="G211" t="inlineStr">
        <is>
          <t>FINSPÅNG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45179</v>
      </c>
      <c r="E212" s="1" t="n">
        <v>46324</v>
      </c>
      <c r="F212" t="inlineStr">
        <is>
          <t>ÖSTERGÖTLANDS LÄN</t>
        </is>
      </c>
      <c r="G212" t="inlineStr">
        <is>
          <t>FINSPÅNG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46324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46324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46324</v>
      </c>
      <c r="F215" t="inlineStr">
        <is>
          <t>ÖSTERGÖTLANDS LÄN</t>
        </is>
      </c>
      <c r="G215" t="inlineStr">
        <is>
          <t>FINSPÅNG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45309</v>
      </c>
      <c r="E216" s="1" t="n">
        <v>46324</v>
      </c>
      <c r="F216" t="inlineStr">
        <is>
          <t>ÖSTERGÖTLANDS LÄN</t>
        </is>
      </c>
      <c r="G216" t="inlineStr">
        <is>
          <t>FINSPÅNG</t>
        </is>
      </c>
      <c r="I216" t="n">
        <v>15.1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46324</v>
      </c>
      <c r="F217" t="inlineStr">
        <is>
          <t>ÖSTERGÖTLANDS LÄN</t>
        </is>
      </c>
      <c r="G217" t="inlineStr">
        <is>
          <t>FINSPÅNG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46324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Övriga Aktiebolag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46324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Naturvårdsverket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46324</v>
      </c>
      <c r="F220" t="inlineStr">
        <is>
          <t>ÖSTERGÖTLANDS LÄN</t>
        </is>
      </c>
      <c r="G220" t="inlineStr">
        <is>
          <t>FINSPÅNG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46324</v>
      </c>
      <c r="F221" t="inlineStr">
        <is>
          <t>ÖSTERGÖTLANDS LÄN</t>
        </is>
      </c>
      <c r="G221" t="inlineStr">
        <is>
          <t>FINSPÅNG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45323</v>
      </c>
      <c r="E222" s="1" t="n">
        <v>46324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44677</v>
      </c>
      <c r="E223" s="1" t="n">
        <v>46324</v>
      </c>
      <c r="F223" t="inlineStr">
        <is>
          <t>ÖSTERGÖTLANDS LÄN</t>
        </is>
      </c>
      <c r="G223" t="inlineStr">
        <is>
          <t>FINSPÅNG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46324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Naturvårdsverket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46324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Naturvårdsverket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46324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Naturvårdsverket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46324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44930</v>
      </c>
      <c r="E228" s="1" t="n">
        <v>46324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44898</v>
      </c>
      <c r="E229" s="1" t="n">
        <v>46324</v>
      </c>
      <c r="F229" t="inlineStr">
        <is>
          <t>ÖSTERGÖTLANDS LÄN</t>
        </is>
      </c>
      <c r="G229" t="inlineStr">
        <is>
          <t>FINSPÅNG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45086</v>
      </c>
      <c r="E230" s="1" t="n">
        <v>46324</v>
      </c>
      <c r="F230" t="inlineStr">
        <is>
          <t>ÖSTERGÖTLANDS LÄN</t>
        </is>
      </c>
      <c r="G230" t="inlineStr">
        <is>
          <t>FINSPÅNG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45042</v>
      </c>
      <c r="E231" s="1" t="n">
        <v>46324</v>
      </c>
      <c r="F231" t="inlineStr">
        <is>
          <t>ÖSTERGÖTLANDS LÄN</t>
        </is>
      </c>
      <c r="G231" t="inlineStr">
        <is>
          <t>FINSPÅNG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45042</v>
      </c>
      <c r="E232" s="1" t="n">
        <v>46324</v>
      </c>
      <c r="F232" t="inlineStr">
        <is>
          <t>ÖSTERGÖTLANDS LÄN</t>
        </is>
      </c>
      <c r="G232" t="inlineStr">
        <is>
          <t>FINSPÅNG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46324</v>
      </c>
      <c r="F233" t="inlineStr">
        <is>
          <t>ÖSTERGÖTLANDS LÄN</t>
        </is>
      </c>
      <c r="G233" t="inlineStr">
        <is>
          <t>FINSPÅNG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46324</v>
      </c>
      <c r="F234" t="inlineStr">
        <is>
          <t>ÖSTERGÖTLANDS LÄN</t>
        </is>
      </c>
      <c r="G234" t="inlineStr">
        <is>
          <t>FINSPÅNG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25420-2022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44732</v>
      </c>
      <c r="E235" s="1" t="n">
        <v>46324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45425</v>
      </c>
      <c r="E236" s="1" t="n">
        <v>46324</v>
      </c>
      <c r="F236" t="inlineStr">
        <is>
          <t>ÖSTERGÖTLANDS LÄN</t>
        </is>
      </c>
      <c r="G236" t="inlineStr">
        <is>
          <t>FINSPÅNG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46324</v>
      </c>
      <c r="F237" t="inlineStr">
        <is>
          <t>ÖSTERGÖTLANDS LÄN</t>
        </is>
      </c>
      <c r="G237" t="inlineStr">
        <is>
          <t>FINSPÅNG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46324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45678</v>
      </c>
      <c r="E239" s="1" t="n">
        <v>46324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44802</v>
      </c>
      <c r="E240" s="1" t="n">
        <v>46324</v>
      </c>
      <c r="F240" t="inlineStr">
        <is>
          <t>ÖSTERGÖTLANDS LÄN</t>
        </is>
      </c>
      <c r="G240" t="inlineStr">
        <is>
          <t>FINSPÅNG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55624-2024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46324</v>
      </c>
      <c r="F241" t="inlineStr">
        <is>
          <t>ÖSTERGÖTLANDS LÄN</t>
        </is>
      </c>
      <c r="G241" t="inlineStr">
        <is>
          <t>FINSPÅNG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46324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46324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46324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Kyrkan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44672</v>
      </c>
      <c r="E245" s="1" t="n">
        <v>46324</v>
      </c>
      <c r="F245" t="inlineStr">
        <is>
          <t>ÖSTERGÖTLANDS LÄN</t>
        </is>
      </c>
      <c r="G245" t="inlineStr">
        <is>
          <t>FINSPÅNG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27192-2025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46324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63321-2021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44508</v>
      </c>
      <c r="E247" s="1" t="n">
        <v>46324</v>
      </c>
      <c r="F247" t="inlineStr">
        <is>
          <t>ÖSTERGÖTLANDS LÄN</t>
        </is>
      </c>
      <c r="G247" t="inlineStr">
        <is>
          <t>FINSPÅNG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44642</v>
      </c>
      <c r="E248" s="1" t="n">
        <v>46324</v>
      </c>
      <c r="F248" t="inlineStr">
        <is>
          <t>ÖSTERGÖTLANDS LÄN</t>
        </is>
      </c>
      <c r="G248" t="inlineStr">
        <is>
          <t>FINSPÅNG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44595</v>
      </c>
      <c r="E249" s="1" t="n">
        <v>46324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Övriga Aktiebolag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46324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45770</v>
      </c>
      <c r="E251" s="1" t="n">
        <v>46324</v>
      </c>
      <c r="F251" t="inlineStr">
        <is>
          <t>ÖSTERGÖTLANDS LÄN</t>
        </is>
      </c>
      <c r="G251" t="inlineStr">
        <is>
          <t>FINSPÅNG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46324</v>
      </c>
      <c r="F252" t="inlineStr">
        <is>
          <t>ÖSTERGÖTLANDS LÄN</t>
        </is>
      </c>
      <c r="G252" t="inlineStr">
        <is>
          <t>FINSPÅNG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45456</v>
      </c>
      <c r="E253" s="1" t="n">
        <v>46324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45819</v>
      </c>
      <c r="E254" s="1" t="n">
        <v>46324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46324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44749</v>
      </c>
      <c r="E256" s="1" t="n">
        <v>46324</v>
      </c>
      <c r="F256" t="inlineStr">
        <is>
          <t>ÖSTERGÖTLANDS LÄN</t>
        </is>
      </c>
      <c r="G256" t="inlineStr">
        <is>
          <t>FINSPÅNG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45082</v>
      </c>
      <c r="E257" s="1" t="n">
        <v>46324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45082</v>
      </c>
      <c r="E258" s="1" t="n">
        <v>46324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46324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46324</v>
      </c>
      <c r="F260" t="inlineStr">
        <is>
          <t>ÖSTERGÖTLANDS LÄN</t>
        </is>
      </c>
      <c r="G260" t="inlineStr">
        <is>
          <t>FINSPÅNG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45888</v>
      </c>
      <c r="E261" s="1" t="n">
        <v>46324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45891</v>
      </c>
      <c r="E262" s="1" t="n">
        <v>46324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46324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Allmännings- och besparingsskogar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46324</v>
      </c>
      <c r="F264" t="inlineStr">
        <is>
          <t>ÖSTERGÖTLANDS LÄN</t>
        </is>
      </c>
      <c r="G264" t="inlineStr">
        <is>
          <t>FINSPÅNG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44782</v>
      </c>
      <c r="E265" s="1" t="n">
        <v>46324</v>
      </c>
      <c r="F265" t="inlineStr">
        <is>
          <t>ÖSTERGÖTLANDS LÄN</t>
        </is>
      </c>
      <c r="G265" t="inlineStr">
        <is>
          <t>FINSPÅNG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44918</v>
      </c>
      <c r="E266" s="1" t="n">
        <v>46324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46324</v>
      </c>
      <c r="F267" t="inlineStr">
        <is>
          <t>ÖSTERGÖTLANDS LÄN</t>
        </is>
      </c>
      <c r="G267" t="inlineStr">
        <is>
          <t>FINSPÅNG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45086</v>
      </c>
      <c r="E268" s="1" t="n">
        <v>46324</v>
      </c>
      <c r="F268" t="inlineStr">
        <is>
          <t>ÖSTERGÖTLANDS LÄN</t>
        </is>
      </c>
      <c r="G268" t="inlineStr">
        <is>
          <t>FINSPÅNG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46324</v>
      </c>
      <c r="F269" t="inlineStr">
        <is>
          <t>ÖSTERGÖTLANDS LÄN</t>
        </is>
      </c>
      <c r="G269" t="inlineStr">
        <is>
          <t>FINSPÅNG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46324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46324</v>
      </c>
      <c r="F271" t="inlineStr">
        <is>
          <t>ÖSTERGÖTLANDS LÄN</t>
        </is>
      </c>
      <c r="G271" t="inlineStr">
        <is>
          <t>FINSPÅNG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46324</v>
      </c>
      <c r="F272" t="inlineStr">
        <is>
          <t>ÖSTERGÖTLANDS LÄN</t>
        </is>
      </c>
      <c r="G272" t="inlineStr">
        <is>
          <t>FINSPÅNG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52731-2023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46324</v>
      </c>
      <c r="F273" t="inlineStr">
        <is>
          <t>ÖSTERGÖTLANDS LÄN</t>
        </is>
      </c>
      <c r="G273" t="inlineStr">
        <is>
          <t>FINSPÅNG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44754</v>
      </c>
      <c r="E274" s="1" t="n">
        <v>46324</v>
      </c>
      <c r="F274" t="inlineStr">
        <is>
          <t>ÖSTERGÖTLANDS LÄN</t>
        </is>
      </c>
      <c r="G274" t="inlineStr">
        <is>
          <t>FINSPÅNG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45421</v>
      </c>
      <c r="E275" s="1" t="n">
        <v>46324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46324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46324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46324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46324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45551</v>
      </c>
      <c r="E280" s="1" t="n">
        <v>46324</v>
      </c>
      <c r="F280" t="inlineStr">
        <is>
          <t>ÖSTERGÖTLANDS LÄN</t>
        </is>
      </c>
      <c r="G280" t="inlineStr">
        <is>
          <t>FINSPÅNG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46324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46324</v>
      </c>
      <c r="F282" t="inlineStr">
        <is>
          <t>ÖSTERGÖTLANDS LÄN</t>
        </is>
      </c>
      <c r="G282" t="inlineStr">
        <is>
          <t>FINSPÅNG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45530</v>
      </c>
      <c r="E283" s="1" t="n">
        <v>46324</v>
      </c>
      <c r="F283" t="inlineStr">
        <is>
          <t>ÖSTERGÖTLANDS LÄN</t>
        </is>
      </c>
      <c r="G283" t="inlineStr">
        <is>
          <t>FINSPÅNG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10184-2023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44986</v>
      </c>
      <c r="E284" s="1" t="n">
        <v>46324</v>
      </c>
      <c r="F284" t="inlineStr">
        <is>
          <t>ÖSTERGÖTLANDS LÄN</t>
        </is>
      </c>
      <c r="G284" t="inlineStr">
        <is>
          <t>FINSPÅNG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46324</v>
      </c>
      <c r="F285" t="inlineStr">
        <is>
          <t>ÖSTERGÖTLANDS LÄN</t>
        </is>
      </c>
      <c r="G285" t="inlineStr">
        <is>
          <t>FINSPÅNG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46324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45903</v>
      </c>
      <c r="E287" s="1" t="n">
        <v>46324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46324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46324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31176-2022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44770</v>
      </c>
      <c r="E290" s="1" t="n">
        <v>46324</v>
      </c>
      <c r="F290" t="inlineStr">
        <is>
          <t>ÖSTERGÖTLANDS LÄN</t>
        </is>
      </c>
      <c r="G290" t="inlineStr">
        <is>
          <t>FINSPÅNG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46324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46324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46324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42785-2024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46324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46324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46324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46324</v>
      </c>
      <c r="F297" t="inlineStr">
        <is>
          <t>ÖSTERGÖTLANDS LÄN</t>
        </is>
      </c>
      <c r="G297" t="inlineStr">
        <is>
          <t>FINSPÅNG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46324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45601</v>
      </c>
      <c r="E299" s="1" t="n">
        <v>46324</v>
      </c>
      <c r="F299" t="inlineStr">
        <is>
          <t>ÖSTERGÖTLANDS LÄN</t>
        </is>
      </c>
      <c r="G299" t="inlineStr">
        <is>
          <t>FINSPÅNG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45107</v>
      </c>
      <c r="E300" s="1" t="n">
        <v>46324</v>
      </c>
      <c r="F300" t="inlineStr">
        <is>
          <t>ÖSTERGÖTLANDS LÄN</t>
        </is>
      </c>
      <c r="G300" t="inlineStr">
        <is>
          <t>FINSPÅNG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30922-2022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44767</v>
      </c>
      <c r="E301" s="1" t="n">
        <v>46324</v>
      </c>
      <c r="F301" t="inlineStr">
        <is>
          <t>ÖSTERGÖTLANDS LÄN</t>
        </is>
      </c>
      <c r="G301" t="inlineStr">
        <is>
          <t>FINSPÅNG</t>
        </is>
      </c>
      <c r="I301" t="n">
        <v>10.6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44678</v>
      </c>
      <c r="E302" s="1" t="n">
        <v>46324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44637</v>
      </c>
      <c r="E303" s="1" t="n">
        <v>46324</v>
      </c>
      <c r="F303" t="inlineStr">
        <is>
          <t>ÖSTERGÖTLANDS LÄN</t>
        </is>
      </c>
      <c r="G303" t="inlineStr">
        <is>
          <t>FINSPÅNG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45293</v>
      </c>
      <c r="E304" s="1" t="n">
        <v>46324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46324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46324</v>
      </c>
      <c r="F306" t="inlineStr">
        <is>
          <t>ÖSTERGÖTLANDS LÄN</t>
        </is>
      </c>
      <c r="G306" t="inlineStr">
        <is>
          <t>FINSPÅNG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45330</v>
      </c>
      <c r="E307" s="1" t="n">
        <v>46324</v>
      </c>
      <c r="F307" t="inlineStr">
        <is>
          <t>ÖSTERGÖTLANDS LÄN</t>
        </is>
      </c>
      <c r="G307" t="inlineStr">
        <is>
          <t>FINSPÅNG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46324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46324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45609</v>
      </c>
      <c r="E310" s="1" t="n">
        <v>46324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45070</v>
      </c>
      <c r="E311" s="1" t="n">
        <v>46324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45845</v>
      </c>
      <c r="E312" s="1" t="n">
        <v>46324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7743-2023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44973</v>
      </c>
      <c r="E313" s="1" t="n">
        <v>46324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46324</v>
      </c>
      <c r="F314" t="inlineStr">
        <is>
          <t>ÖSTERGÖTLANDS LÄN</t>
        </is>
      </c>
      <c r="G314" t="inlineStr">
        <is>
          <t>FINSPÅNG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44891</v>
      </c>
      <c r="E315" s="1" t="n">
        <v>46324</v>
      </c>
      <c r="F315" t="inlineStr">
        <is>
          <t>ÖSTERGÖTLANDS LÄN</t>
        </is>
      </c>
      <c r="G315" t="inlineStr">
        <is>
          <t>FINSPÅNG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45616</v>
      </c>
      <c r="E316" s="1" t="n">
        <v>46324</v>
      </c>
      <c r="F316" t="inlineStr">
        <is>
          <t>ÖSTERGÖTLANDS LÄN</t>
        </is>
      </c>
      <c r="G316" t="inlineStr">
        <is>
          <t>FINSPÅNG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44949</v>
      </c>
      <c r="E317" s="1" t="n">
        <v>46324</v>
      </c>
      <c r="F317" t="inlineStr">
        <is>
          <t>ÖSTERGÖTLANDS LÄN</t>
        </is>
      </c>
      <c r="G317" t="inlineStr">
        <is>
          <t>FINSPÅNG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47567-2025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45931</v>
      </c>
      <c r="E318" s="1" t="n">
        <v>46324</v>
      </c>
      <c r="F318" t="inlineStr">
        <is>
          <t>ÖSTERGÖTLANDS LÄN</t>
        </is>
      </c>
      <c r="G318" t="inlineStr">
        <is>
          <t>FINSPÅNG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46324</v>
      </c>
      <c r="F319" t="inlineStr">
        <is>
          <t>ÖSTERGÖTLANDS LÄN</t>
        </is>
      </c>
      <c r="G319" t="inlineStr">
        <is>
          <t>FINSPÅNG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46324</v>
      </c>
      <c r="F320" t="inlineStr">
        <is>
          <t>ÖSTERGÖTLANDS LÄN</t>
        </is>
      </c>
      <c r="G320" t="inlineStr">
        <is>
          <t>FINSPÅNG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44953</v>
      </c>
      <c r="E321" s="1" t="n">
        <v>46324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45854</v>
      </c>
      <c r="E322" s="1" t="n">
        <v>46324</v>
      </c>
      <c r="F322" t="inlineStr">
        <is>
          <t>ÖSTERGÖTLANDS LÄN</t>
        </is>
      </c>
      <c r="G322" t="inlineStr">
        <is>
          <t>FINSPÅNG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45854</v>
      </c>
      <c r="E323" s="1" t="n">
        <v>46324</v>
      </c>
      <c r="F323" t="inlineStr">
        <is>
          <t>ÖSTERGÖTLANDS LÄN</t>
        </is>
      </c>
      <c r="G323" t="inlineStr">
        <is>
          <t>FINSPÅNG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45853</v>
      </c>
      <c r="E324" s="1" t="n">
        <v>46324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40319-2022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44823</v>
      </c>
      <c r="E325" s="1" t="n">
        <v>46324</v>
      </c>
      <c r="F325" t="inlineStr">
        <is>
          <t>ÖSTERGÖTLANDS LÄN</t>
        </is>
      </c>
      <c r="G325" t="inlineStr">
        <is>
          <t>FINSPÅNG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45855</v>
      </c>
      <c r="E326" s="1" t="n">
        <v>46324</v>
      </c>
      <c r="F326" t="inlineStr">
        <is>
          <t>ÖSTERGÖTLANDS LÄN</t>
        </is>
      </c>
      <c r="G326" t="inlineStr">
        <is>
          <t>FINSPÅNG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46324</v>
      </c>
      <c r="F327" t="inlineStr">
        <is>
          <t>ÖSTERGÖTLANDS LÄN</t>
        </is>
      </c>
      <c r="G327" t="inlineStr">
        <is>
          <t>FINSPÅNG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46324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45523</v>
      </c>
      <c r="E329" s="1" t="n">
        <v>46324</v>
      </c>
      <c r="F329" t="inlineStr">
        <is>
          <t>ÖSTERGÖTLANDS LÄN</t>
        </is>
      </c>
      <c r="G329" t="inlineStr">
        <is>
          <t>FINSPÅNG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55980-2024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46324</v>
      </c>
      <c r="F330" t="inlineStr">
        <is>
          <t>ÖSTERGÖTLANDS LÄN</t>
        </is>
      </c>
      <c r="G330" t="inlineStr">
        <is>
          <t>FINSPÅNG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45428</v>
      </c>
      <c r="E331" s="1" t="n">
        <v>46324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45935</v>
      </c>
      <c r="E332" s="1" t="n">
        <v>46324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Övriga Aktiebolag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46324</v>
      </c>
      <c r="F333" t="inlineStr">
        <is>
          <t>ÖSTERGÖTLANDS LÄN</t>
        </is>
      </c>
      <c r="G333" t="inlineStr">
        <is>
          <t>FINSPÅNG</t>
        </is>
      </c>
      <c r="I333" t="n">
        <v>11.9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46324</v>
      </c>
      <c r="F334" t="inlineStr">
        <is>
          <t>ÖSTERGÖTLANDS LÄN</t>
        </is>
      </c>
      <c r="G334" t="inlineStr">
        <is>
          <t>FINSPÅNG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45206</v>
      </c>
      <c r="E335" s="1" t="n">
        <v>46324</v>
      </c>
      <c r="F335" t="inlineStr">
        <is>
          <t>ÖSTERGÖTLANDS LÄN</t>
        </is>
      </c>
      <c r="G335" t="inlineStr">
        <is>
          <t>FINSPÅNG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19160-2024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46324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45174</v>
      </c>
      <c r="E337" s="1" t="n">
        <v>46324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Kyrkan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46324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45870</v>
      </c>
      <c r="E339" s="1" t="n">
        <v>46324</v>
      </c>
      <c r="F339" t="inlineStr">
        <is>
          <t>ÖSTERGÖTLANDS LÄN</t>
        </is>
      </c>
      <c r="G339" t="inlineStr">
        <is>
          <t>FINSPÅNG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50395-2025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45944</v>
      </c>
      <c r="E340" s="1" t="n">
        <v>46324</v>
      </c>
      <c r="F340" t="inlineStr">
        <is>
          <t>ÖSTERGÖTLANDS LÄN</t>
        </is>
      </c>
      <c r="G340" t="inlineStr">
        <is>
          <t>FINSPÅNG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46324</v>
      </c>
      <c r="F341" t="inlineStr">
        <is>
          <t>ÖSTERGÖTLANDS LÄN</t>
        </is>
      </c>
      <c r="G341" t="inlineStr">
        <is>
          <t>FINSPÅNG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45705</v>
      </c>
      <c r="E342" s="1" t="n">
        <v>46324</v>
      </c>
      <c r="F342" t="inlineStr">
        <is>
          <t>ÖSTERGÖTLANDS LÄN</t>
        </is>
      </c>
      <c r="G342" t="inlineStr">
        <is>
          <t>FINSPÅNG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45236</v>
      </c>
      <c r="E343" s="1" t="n">
        <v>46324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45236</v>
      </c>
      <c r="E344" s="1" t="n">
        <v>46324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46324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45357</v>
      </c>
      <c r="E346" s="1" t="n">
        <v>46324</v>
      </c>
      <c r="F346" t="inlineStr">
        <is>
          <t>ÖSTERGÖTLANDS LÄN</t>
        </is>
      </c>
      <c r="G346" t="inlineStr">
        <is>
          <t>FINSPÅNG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46324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46324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46324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46324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45881</v>
      </c>
      <c r="E351" s="1" t="n">
        <v>46324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Naturvårdsverket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51508-2025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46324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46324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46324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38964-2022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44816</v>
      </c>
      <c r="E355" s="1" t="n">
        <v>46324</v>
      </c>
      <c r="F355" t="inlineStr">
        <is>
          <t>ÖSTERGÖTLANDS LÄN</t>
        </is>
      </c>
      <c r="G355" t="inlineStr">
        <is>
          <t>FINSPÅNG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46324</v>
      </c>
      <c r="F356" t="inlineStr">
        <is>
          <t>ÖSTERGÖTLANDS LÄN</t>
        </is>
      </c>
      <c r="G356" t="inlineStr">
        <is>
          <t>FINSPÅNG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40194-2022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44820</v>
      </c>
      <c r="E357" s="1" t="n">
        <v>46324</v>
      </c>
      <c r="F357" t="inlineStr">
        <is>
          <t>ÖSTERGÖTLANDS LÄN</t>
        </is>
      </c>
      <c r="G357" t="inlineStr">
        <is>
          <t>FINSPÅNG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45955</v>
      </c>
      <c r="E358" s="1" t="n">
        <v>46324</v>
      </c>
      <c r="F358" t="inlineStr">
        <is>
          <t>ÖSTERGÖTLANDS LÄN</t>
        </is>
      </c>
      <c r="G358" t="inlineStr">
        <is>
          <t>FINSPÅNG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36406-2024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45535</v>
      </c>
      <c r="E359" s="1" t="n">
        <v>46324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Kommuner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46324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45642</v>
      </c>
      <c r="E361" s="1" t="n">
        <v>46324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46317-2023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45197</v>
      </c>
      <c r="E362" s="1" t="n">
        <v>46324</v>
      </c>
      <c r="F362" t="inlineStr">
        <is>
          <t>ÖSTERGÖTLANDS LÄN</t>
        </is>
      </c>
      <c r="G362" t="inlineStr">
        <is>
          <t>FINSPÅNG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46324</v>
      </c>
      <c r="F363" t="inlineStr">
        <is>
          <t>ÖSTERGÖTLANDS LÄN</t>
        </is>
      </c>
      <c r="G363" t="inlineStr">
        <is>
          <t>FINSPÅNG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46324</v>
      </c>
      <c r="F364" t="inlineStr">
        <is>
          <t>ÖSTERGÖTLANDS LÄN</t>
        </is>
      </c>
      <c r="G364" t="inlineStr">
        <is>
          <t>FINSPÅNG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36994-2022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44806</v>
      </c>
      <c r="E365" s="1" t="n">
        <v>46324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45113</v>
      </c>
      <c r="E366" s="1" t="n">
        <v>46324</v>
      </c>
      <c r="F366" t="inlineStr">
        <is>
          <t>ÖSTERGÖTLANDS LÄN</t>
        </is>
      </c>
      <c r="G366" t="inlineStr">
        <is>
          <t>FINSPÅNG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45095</v>
      </c>
      <c r="E367" s="1" t="n">
        <v>46324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Övriga Aktiebolag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44993</v>
      </c>
      <c r="E368" s="1" t="n">
        <v>46324</v>
      </c>
      <c r="F368" t="inlineStr">
        <is>
          <t>ÖSTERGÖTLANDS LÄN</t>
        </is>
      </c>
      <c r="G368" t="inlineStr">
        <is>
          <t>FINSPÅNG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44964</v>
      </c>
      <c r="E369" s="1" t="n">
        <v>46324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45969</v>
      </c>
      <c r="E370" s="1" t="n">
        <v>46324</v>
      </c>
      <c r="F370" t="inlineStr">
        <is>
          <t>ÖSTERGÖTLANDS LÄN</t>
        </is>
      </c>
      <c r="G370" t="inlineStr">
        <is>
          <t>FINSPÅNG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45184</v>
      </c>
      <c r="E371" s="1" t="n">
        <v>46324</v>
      </c>
      <c r="F371" t="inlineStr">
        <is>
          <t>ÖSTERGÖTLANDS LÄN</t>
        </is>
      </c>
      <c r="G371" t="inlineStr">
        <is>
          <t>FINSPÅNG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55431-2025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46324</v>
      </c>
      <c r="F372" t="inlineStr">
        <is>
          <t>ÖSTERGÖTLANDS LÄN</t>
        </is>
      </c>
      <c r="G372" t="inlineStr">
        <is>
          <t>FINSPÅNG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46324</v>
      </c>
      <c r="F373" t="inlineStr">
        <is>
          <t>ÖSTERGÖTLANDS LÄN</t>
        </is>
      </c>
      <c r="G373" t="inlineStr">
        <is>
          <t>FINSPÅNG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45420</v>
      </c>
      <c r="E374" s="1" t="n">
        <v>46324</v>
      </c>
      <c r="F374" t="inlineStr">
        <is>
          <t>ÖSTERGÖTLANDS LÄN</t>
        </is>
      </c>
      <c r="G374" t="inlineStr">
        <is>
          <t>FINSPÅNG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43318-2022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44834</v>
      </c>
      <c r="E375" s="1" t="n">
        <v>46324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53944-2024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45616</v>
      </c>
      <c r="E376" s="1" t="n">
        <v>46324</v>
      </c>
      <c r="F376" t="inlineStr">
        <is>
          <t>ÖSTERGÖTLANDS LÄN</t>
        </is>
      </c>
      <c r="G376" t="inlineStr">
        <is>
          <t>FINSPÅNG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45258</v>
      </c>
      <c r="E377" s="1" t="n">
        <v>46324</v>
      </c>
      <c r="F377" t="inlineStr">
        <is>
          <t>ÖSTERGÖTLANDS LÄN</t>
        </is>
      </c>
      <c r="G377" t="inlineStr">
        <is>
          <t>FINSPÅNG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44865</v>
      </c>
      <c r="E378" s="1" t="n">
        <v>46324</v>
      </c>
      <c r="F378" t="inlineStr">
        <is>
          <t>ÖSTERGÖTLANDS LÄN</t>
        </is>
      </c>
      <c r="G378" t="inlineStr">
        <is>
          <t>FINSPÅNG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60749-2022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46324</v>
      </c>
      <c r="F379" t="inlineStr">
        <is>
          <t>ÖSTERGÖTLANDS LÄN</t>
        </is>
      </c>
      <c r="G379" t="inlineStr">
        <is>
          <t>FINSPÅNG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44953</v>
      </c>
      <c r="E380" s="1" t="n">
        <v>46324</v>
      </c>
      <c r="F380" t="inlineStr">
        <is>
          <t>ÖSTERGÖTLANDS LÄN</t>
        </is>
      </c>
      <c r="G380" t="inlineStr">
        <is>
          <t>FINSPÅNG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54505-2024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46324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53610-2022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44879</v>
      </c>
      <c r="E382" s="1" t="n">
        <v>46324</v>
      </c>
      <c r="F382" t="inlineStr">
        <is>
          <t>ÖSTERGÖTLANDS LÄN</t>
        </is>
      </c>
      <c r="G382" t="inlineStr">
        <is>
          <t>FINSPÅNG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46324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46324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57290-2025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46324</v>
      </c>
      <c r="F385" t="inlineStr">
        <is>
          <t>ÖSTERGÖTLANDS LÄN</t>
        </is>
      </c>
      <c r="G385" t="inlineStr">
        <is>
          <t>FINSPÅNG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46324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46324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49677-2022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46324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46324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56309-2022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44887</v>
      </c>
      <c r="E390" s="1" t="n">
        <v>46324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56264-2022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46324</v>
      </c>
      <c r="F391" t="inlineStr">
        <is>
          <t>ÖSTERGÖTLANDS LÄN</t>
        </is>
      </c>
      <c r="G391" t="inlineStr">
        <is>
          <t>FINSPÅNG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45983</v>
      </c>
      <c r="E392" s="1" t="n">
        <v>46324</v>
      </c>
      <c r="F392" t="inlineStr">
        <is>
          <t>ÖSTERGÖTLANDS LÄN</t>
        </is>
      </c>
      <c r="G392" t="inlineStr">
        <is>
          <t>FINSPÅNG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45983</v>
      </c>
      <c r="E393" s="1" t="n">
        <v>46324</v>
      </c>
      <c r="F393" t="inlineStr">
        <is>
          <t>ÖSTERGÖTLANDS LÄN</t>
        </is>
      </c>
      <c r="G393" t="inlineStr">
        <is>
          <t>FINSPÅNG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58189-2025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45983</v>
      </c>
      <c r="E394" s="1" t="n">
        <v>46324</v>
      </c>
      <c r="F394" t="inlineStr">
        <is>
          <t>ÖSTERGÖTLANDS LÄN</t>
        </is>
      </c>
      <c r="G394" t="inlineStr">
        <is>
          <t>FINSPÅNG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46324</v>
      </c>
      <c r="F395" t="inlineStr">
        <is>
          <t>ÖSTERGÖTLANDS LÄN</t>
        </is>
      </c>
      <c r="G395" t="inlineStr">
        <is>
          <t>FINSPÅNG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18657-2024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45426</v>
      </c>
      <c r="E396" s="1" t="n">
        <v>46324</v>
      </c>
      <c r="F396" t="inlineStr">
        <is>
          <t>ÖSTERGÖTLANDS LÄN</t>
        </is>
      </c>
      <c r="G396" t="inlineStr">
        <is>
          <t>FINSPÅNG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58796-2025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46324</v>
      </c>
      <c r="F397" t="inlineStr">
        <is>
          <t>ÖSTERGÖTLANDS LÄN</t>
        </is>
      </c>
      <c r="G397" t="inlineStr">
        <is>
          <t>FINSPÅNG</t>
        </is>
      </c>
      <c r="I397" t="n">
        <v>9.300000000000001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44616</v>
      </c>
      <c r="E398" s="1" t="n">
        <v>46324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10485-2026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46077</v>
      </c>
      <c r="E399" s="1" t="n">
        <v>46324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Kyrkan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46324</v>
      </c>
      <c r="F400" t="inlineStr">
        <is>
          <t>ÖSTERGÖTLANDS LÄN</t>
        </is>
      </c>
      <c r="G400" t="inlineStr">
        <is>
          <t>FINSPÅNG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44949</v>
      </c>
      <c r="E401" s="1" t="n">
        <v>46324</v>
      </c>
      <c r="F401" t="inlineStr">
        <is>
          <t>ÖSTERGÖTLANDS LÄN</t>
        </is>
      </c>
      <c r="G401" t="inlineStr">
        <is>
          <t>FINSPÅNG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45142</v>
      </c>
      <c r="E402" s="1" t="n">
        <v>46324</v>
      </c>
      <c r="F402" t="inlineStr">
        <is>
          <t>ÖSTERGÖTLANDS LÄN</t>
        </is>
      </c>
      <c r="G402" t="inlineStr">
        <is>
          <t>FINSPÅNG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45715</v>
      </c>
      <c r="E403" s="1" t="n">
        <v>46324</v>
      </c>
      <c r="F403" t="inlineStr">
        <is>
          <t>ÖSTERGÖTLANDS LÄN</t>
        </is>
      </c>
      <c r="G403" t="inlineStr">
        <is>
          <t>FINSPÅNG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46324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14454-2022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44653</v>
      </c>
      <c r="E405" s="1" t="n">
        <v>46324</v>
      </c>
      <c r="F405" t="inlineStr">
        <is>
          <t>ÖSTERGÖTLANDS LÄN</t>
        </is>
      </c>
      <c r="G405" t="inlineStr">
        <is>
          <t>FINSPÅNG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45407-2022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44844</v>
      </c>
      <c r="E406" s="1" t="n">
        <v>46324</v>
      </c>
      <c r="F406" t="inlineStr">
        <is>
          <t>ÖSTERGÖTLANDS LÄN</t>
        </is>
      </c>
      <c r="G406" t="inlineStr">
        <is>
          <t>FINSPÅNG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44844</v>
      </c>
      <c r="E407" s="1" t="n">
        <v>46324</v>
      </c>
      <c r="F407" t="inlineStr">
        <is>
          <t>ÖSTERGÖTLANDS LÄN</t>
        </is>
      </c>
      <c r="G407" t="inlineStr">
        <is>
          <t>FINSPÅNG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45554</v>
      </c>
      <c r="E408" s="1" t="n">
        <v>46324</v>
      </c>
      <c r="F408" t="inlineStr">
        <is>
          <t>ÖSTERGÖTLANDS LÄN</t>
        </is>
      </c>
      <c r="G408" t="inlineStr">
        <is>
          <t>FINSPÅNG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61595-2025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46002</v>
      </c>
      <c r="E409" s="1" t="n">
        <v>46324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44960</v>
      </c>
      <c r="E410" s="1" t="n">
        <v>46324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46324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62235-2025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46324</v>
      </c>
      <c r="F412" t="inlineStr">
        <is>
          <t>ÖSTERGÖTLANDS LÄN</t>
        </is>
      </c>
      <c r="G412" t="inlineStr">
        <is>
          <t>FINSPÅNG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48767-2024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46324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46002</v>
      </c>
      <c r="E414" s="1" t="n">
        <v>46324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44987</v>
      </c>
      <c r="E415" s="1" t="n">
        <v>46324</v>
      </c>
      <c r="F415" t="inlineStr">
        <is>
          <t>ÖSTERGÖTLANDS LÄN</t>
        </is>
      </c>
      <c r="G415" t="inlineStr">
        <is>
          <t>FINSPÅNG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40410-2024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45555</v>
      </c>
      <c r="E416" s="1" t="n">
        <v>46324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46324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46324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45314</v>
      </c>
      <c r="E419" s="1" t="n">
        <v>46324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46002</v>
      </c>
      <c r="E420" s="1" t="n">
        <v>46324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22579-2024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45447</v>
      </c>
      <c r="E421" s="1" t="n">
        <v>46324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46324</v>
      </c>
      <c r="F422" t="inlineStr">
        <is>
          <t>ÖSTERGÖTLANDS LÄN</t>
        </is>
      </c>
      <c r="G422" t="inlineStr">
        <is>
          <t>FINSPÅNG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46006</v>
      </c>
      <c r="E423" s="1" t="n">
        <v>46324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44729</v>
      </c>
      <c r="E424" s="1" t="n">
        <v>46324</v>
      </c>
      <c r="F424" t="inlineStr">
        <is>
          <t>ÖSTERGÖTLANDS LÄN</t>
        </is>
      </c>
      <c r="G424" t="inlineStr">
        <is>
          <t>FINSPÅNG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46324</v>
      </c>
      <c r="F425" t="inlineStr">
        <is>
          <t>ÖSTERGÖTLANDS LÄN</t>
        </is>
      </c>
      <c r="G425" t="inlineStr">
        <is>
          <t>FINSPÅNG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46324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46324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46006</v>
      </c>
      <c r="E428" s="1" t="n">
        <v>46324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45410-2022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44844</v>
      </c>
      <c r="E429" s="1" t="n">
        <v>46324</v>
      </c>
      <c r="F429" t="inlineStr">
        <is>
          <t>ÖSTERGÖTLANDS LÄN</t>
        </is>
      </c>
      <c r="G429" t="inlineStr">
        <is>
          <t>FINSPÅNG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7788-2023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46324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46324</v>
      </c>
      <c r="F431" t="inlineStr">
        <is>
          <t>ÖSTERGÖTLANDS LÄN</t>
        </is>
      </c>
      <c r="G431" t="inlineStr">
        <is>
          <t>FINSPÅNG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45639</v>
      </c>
      <c r="E432" s="1" t="n">
        <v>46324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46324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Sveaskog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24835-2026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46324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68122-2021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44526</v>
      </c>
      <c r="E435" s="1" t="n">
        <v>46324</v>
      </c>
      <c r="F435" t="inlineStr">
        <is>
          <t>ÖSTERGÖTLANDS LÄN</t>
        </is>
      </c>
      <c r="G435" t="inlineStr">
        <is>
          <t>FINSPÅNG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21532-2024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45441</v>
      </c>
      <c r="E436" s="1" t="n">
        <v>46324</v>
      </c>
      <c r="F436" t="inlineStr">
        <is>
          <t>ÖSTERGÖTLANDS LÄN</t>
        </is>
      </c>
      <c r="G436" t="inlineStr">
        <is>
          <t>FINSPÅNG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34758-2022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44795</v>
      </c>
      <c r="E437" s="1" t="n">
        <v>46324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Övriga Aktiebolag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45260</v>
      </c>
      <c r="E438" s="1" t="n">
        <v>46324</v>
      </c>
      <c r="F438" t="inlineStr">
        <is>
          <t>ÖSTERGÖTLANDS LÄN</t>
        </is>
      </c>
      <c r="G438" t="inlineStr">
        <is>
          <t>FINSPÅNG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18306-2023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45041</v>
      </c>
      <c r="E439" s="1" t="n">
        <v>46324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Naturvårdsverket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46324</v>
      </c>
      <c r="F440" t="inlineStr">
        <is>
          <t>ÖSTERGÖTLANDS LÄN</t>
        </is>
      </c>
      <c r="G440" t="inlineStr">
        <is>
          <t>FINSPÅNG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25860-2026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46324</v>
      </c>
      <c r="F441" t="inlineStr">
        <is>
          <t>ÖSTERGÖTLANDS LÄN</t>
        </is>
      </c>
      <c r="G441" t="inlineStr">
        <is>
          <t>FINSPÅNG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51610-2022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44871</v>
      </c>
      <c r="E442" s="1" t="n">
        <v>46324</v>
      </c>
      <c r="F442" t="inlineStr">
        <is>
          <t>ÖSTERGÖTLANDS LÄN</t>
        </is>
      </c>
      <c r="G442" t="inlineStr">
        <is>
          <t>FINSPÅNG</t>
        </is>
      </c>
      <c r="I442" t="n">
        <v>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46324</v>
      </c>
      <c r="F443" t="inlineStr">
        <is>
          <t>ÖSTERGÖTLANDS LÄN</t>
        </is>
      </c>
      <c r="G443" t="inlineStr">
        <is>
          <t>FINSPÅNG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45391</v>
      </c>
      <c r="E444" s="1" t="n">
        <v>46324</v>
      </c>
      <c r="F444" t="inlineStr">
        <is>
          <t>ÖSTERGÖTLANDS LÄN</t>
        </is>
      </c>
      <c r="G444" t="inlineStr">
        <is>
          <t>FINSPÅNG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46176</v>
      </c>
      <c r="E445" s="1" t="n">
        <v>46324</v>
      </c>
      <c r="F445" t="inlineStr">
        <is>
          <t>ÖSTERGÖTLANDS LÄN</t>
        </is>
      </c>
      <c r="G445" t="inlineStr">
        <is>
          <t>FINSPÅNG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46324</v>
      </c>
      <c r="F446" t="inlineStr">
        <is>
          <t>ÖSTERGÖTLANDS LÄN</t>
        </is>
      </c>
      <c r="G446" t="inlineStr">
        <is>
          <t>FINSPÅNG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45853</v>
      </c>
      <c r="E447" s="1" t="n">
        <v>46324</v>
      </c>
      <c r="F447" t="inlineStr">
        <is>
          <t>ÖSTERGÖTLANDS LÄN</t>
        </is>
      </c>
      <c r="G447" t="inlineStr">
        <is>
          <t>FINSPÅNG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46324</v>
      </c>
      <c r="F448" t="inlineStr">
        <is>
          <t>ÖSTERGÖTLANDS LÄN</t>
        </is>
      </c>
      <c r="G448" t="inlineStr">
        <is>
          <t>FINSPÅNG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46324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22354-2023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45070</v>
      </c>
      <c r="E450" s="1" t="n">
        <v>46324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47224-2023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45202</v>
      </c>
      <c r="E451" s="1" t="n">
        <v>46324</v>
      </c>
      <c r="F451" t="inlineStr">
        <is>
          <t>ÖSTERGÖTLANDS LÄN</t>
        </is>
      </c>
      <c r="G451" t="inlineStr">
        <is>
          <t>FINSPÅNG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45233</v>
      </c>
      <c r="E452" s="1" t="n">
        <v>46324</v>
      </c>
      <c r="F452" t="inlineStr">
        <is>
          <t>ÖSTERGÖTLANDS LÄN</t>
        </is>
      </c>
      <c r="G452" t="inlineStr">
        <is>
          <t>FINSPÅNG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46324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46324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46324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Kyrkan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46324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46324</v>
      </c>
      <c r="F457" t="inlineStr">
        <is>
          <t>ÖSTERGÖTLANDS LÄN</t>
        </is>
      </c>
      <c r="G457" t="inlineStr">
        <is>
          <t>FINSPÅNG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46324</v>
      </c>
      <c r="F458" t="inlineStr">
        <is>
          <t>ÖSTERGÖTLANDS LÄN</t>
        </is>
      </c>
      <c r="G458" t="inlineStr">
        <is>
          <t>FINSPÅNG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4071-2024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45323</v>
      </c>
      <c r="E459" s="1" t="n">
        <v>46324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46324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46324</v>
      </c>
      <c r="F461" t="inlineStr">
        <is>
          <t>ÖSTERGÖTLANDS LÄN</t>
        </is>
      </c>
      <c r="G461" t="inlineStr">
        <is>
          <t>FINSPÅNG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46324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32044-2022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44778</v>
      </c>
      <c r="E463" s="1" t="n">
        <v>46324</v>
      </c>
      <c r="F463" t="inlineStr">
        <is>
          <t>ÖSTERGÖTLANDS LÄN</t>
        </is>
      </c>
      <c r="G463" t="inlineStr">
        <is>
          <t>FINSPÅNG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46324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Övriga Aktiebolag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46324</v>
      </c>
      <c r="F465" t="inlineStr">
        <is>
          <t>ÖSTERGÖTLANDS LÄN</t>
        </is>
      </c>
      <c r="G465" t="inlineStr">
        <is>
          <t>FINSPÅNG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46036</v>
      </c>
      <c r="E466" s="1" t="n">
        <v>46324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46324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73260-2021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44550</v>
      </c>
      <c r="E468" s="1" t="n">
        <v>46324</v>
      </c>
      <c r="F468" t="inlineStr">
        <is>
          <t>ÖSTERGÖTLANDS LÄN</t>
        </is>
      </c>
      <c r="G468" t="inlineStr">
        <is>
          <t>FINSPÅNG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42705-2024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46324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42711-2024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46324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46324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46040</v>
      </c>
      <c r="E472" s="1" t="n">
        <v>46324</v>
      </c>
      <c r="F472" t="inlineStr">
        <is>
          <t>ÖSTERGÖTLANDS LÄN</t>
        </is>
      </c>
      <c r="G472" t="inlineStr">
        <is>
          <t>FINSPÅNG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21517-2024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45441</v>
      </c>
      <c r="E473" s="1" t="n">
        <v>46324</v>
      </c>
      <c r="F473" t="inlineStr">
        <is>
          <t>ÖSTERGÖTLANDS LÄN</t>
        </is>
      </c>
      <c r="G473" t="inlineStr">
        <is>
          <t>FINSPÅNG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46040</v>
      </c>
      <c r="E474" s="1" t="n">
        <v>46324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11785-2024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45374</v>
      </c>
      <c r="E475" s="1" t="n">
        <v>46324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Kyrkan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45391</v>
      </c>
      <c r="E476" s="1" t="n">
        <v>46324</v>
      </c>
      <c r="F476" t="inlineStr">
        <is>
          <t>ÖSTERGÖTLANDS LÄN</t>
        </is>
      </c>
      <c r="G476" t="inlineStr">
        <is>
          <t>FINSPÅNG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36192-2023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46324</v>
      </c>
      <c r="F477" t="inlineStr">
        <is>
          <t>ÖSTERGÖTLANDS LÄN</t>
        </is>
      </c>
      <c r="G477" t="inlineStr">
        <is>
          <t>FINSPÅNG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46324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17557-2022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44679</v>
      </c>
      <c r="E479" s="1" t="n">
        <v>46324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Övriga Aktiebolag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46324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46324</v>
      </c>
      <c r="F481" t="inlineStr">
        <is>
          <t>ÖSTERGÖTLANDS LÄN</t>
        </is>
      </c>
      <c r="G481" t="inlineStr">
        <is>
          <t>FINSPÅNG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49494-2022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44861</v>
      </c>
      <c r="E482" s="1" t="n">
        <v>46324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Naturvårdsverket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46324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46324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45293</v>
      </c>
      <c r="E485" s="1" t="n">
        <v>46324</v>
      </c>
      <c r="F485" t="inlineStr">
        <is>
          <t>ÖSTERGÖTLANDS LÄN</t>
        </is>
      </c>
      <c r="G485" t="inlineStr">
        <is>
          <t>FINSPÅNG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45554</v>
      </c>
      <c r="E486" s="1" t="n">
        <v>46324</v>
      </c>
      <c r="F486" t="inlineStr">
        <is>
          <t>ÖSTERGÖTLANDS LÄN</t>
        </is>
      </c>
      <c r="G486" t="inlineStr">
        <is>
          <t>FINSPÅNG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46050</v>
      </c>
      <c r="E487" s="1" t="n">
        <v>46324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45214</v>
      </c>
      <c r="E488" s="1" t="n">
        <v>46324</v>
      </c>
      <c r="F488" t="inlineStr">
        <is>
          <t>ÖSTERGÖTLANDS LÄN</t>
        </is>
      </c>
      <c r="G488" t="inlineStr">
        <is>
          <t>FINSPÅNG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45110</v>
      </c>
      <c r="E489" s="1" t="n">
        <v>46324</v>
      </c>
      <c r="F489" t="inlineStr">
        <is>
          <t>ÖSTERGÖTLANDS LÄN</t>
        </is>
      </c>
      <c r="G489" t="inlineStr">
        <is>
          <t>FINSPÅNG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46324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26905-2026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46185</v>
      </c>
      <c r="E491" s="1" t="n">
        <v>46324</v>
      </c>
      <c r="F491" t="inlineStr">
        <is>
          <t>ÖSTERGÖTLANDS LÄN</t>
        </is>
      </c>
      <c r="G491" t="inlineStr">
        <is>
          <t>FINSPÅNG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46324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Övriga Aktiebolag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46324</v>
      </c>
      <c r="F493" t="inlineStr">
        <is>
          <t>ÖSTERGÖTLANDS LÄN</t>
        </is>
      </c>
      <c r="G493" t="inlineStr">
        <is>
          <t>FINSPÅNG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46324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27369-2026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46188</v>
      </c>
      <c r="E495" s="1" t="n">
        <v>46324</v>
      </c>
      <c r="F495" t="inlineStr">
        <is>
          <t>ÖSTERGÖTLANDS LÄN</t>
        </is>
      </c>
      <c r="G495" t="inlineStr">
        <is>
          <t>FINSPÅNG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46324</v>
      </c>
      <c r="F496" t="inlineStr">
        <is>
          <t>ÖSTERGÖTLANDS LÄN</t>
        </is>
      </c>
      <c r="G496" t="inlineStr">
        <is>
          <t>FINSPÅNG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45735</v>
      </c>
      <c r="E497" s="1" t="n">
        <v>46324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32795-2024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45516</v>
      </c>
      <c r="E498" s="1" t="n">
        <v>46324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Kommuner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44966</v>
      </c>
      <c r="E499" s="1" t="n">
        <v>46324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Övriga Aktiebolag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23821-2023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45078</v>
      </c>
      <c r="E500" s="1" t="n">
        <v>46324</v>
      </c>
      <c r="F500" t="inlineStr">
        <is>
          <t>ÖSTERGÖTLANDS LÄN</t>
        </is>
      </c>
      <c r="G500" t="inlineStr">
        <is>
          <t>FINSPÅNG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46324</v>
      </c>
      <c r="F501" t="inlineStr">
        <is>
          <t>ÖSTERGÖTLANDS LÄN</t>
        </is>
      </c>
      <c r="G501" t="inlineStr">
        <is>
          <t>FINSPÅNG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46058</v>
      </c>
      <c r="E502" s="1" t="n">
        <v>46324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Övriga Aktiebolag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46324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45311-2023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45191</v>
      </c>
      <c r="E504" s="1" t="n">
        <v>46324</v>
      </c>
      <c r="F504" t="inlineStr">
        <is>
          <t>ÖSTERGÖTLANDS LÄN</t>
        </is>
      </c>
      <c r="G504" t="inlineStr">
        <is>
          <t>FINSPÅNG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46058</v>
      </c>
      <c r="E505" s="1" t="n">
        <v>46324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46324</v>
      </c>
      <c r="F506" t="inlineStr">
        <is>
          <t>ÖSTERGÖTLANDS LÄN</t>
        </is>
      </c>
      <c r="G506" t="inlineStr">
        <is>
          <t>FINSPÅNG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46324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Övriga Aktiebolag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73655-2021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44551</v>
      </c>
      <c r="E508" s="1" t="n">
        <v>46324</v>
      </c>
      <c r="F508" t="inlineStr">
        <is>
          <t>ÖSTERGÖTLANDS LÄN</t>
        </is>
      </c>
      <c r="G508" t="inlineStr">
        <is>
          <t>FINSPÅNG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7559-2026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46060</v>
      </c>
      <c r="E509" s="1" t="n">
        <v>46324</v>
      </c>
      <c r="F509" t="inlineStr">
        <is>
          <t>ÖSTERGÖTLANDS LÄN</t>
        </is>
      </c>
      <c r="G509" t="inlineStr">
        <is>
          <t>FINSPÅNG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46324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46324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43051-2022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44833</v>
      </c>
      <c r="E512" s="1" t="n">
        <v>46324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46324</v>
      </c>
      <c r="F513" t="inlineStr">
        <is>
          <t>ÖSTERGÖTLANDS LÄN</t>
        </is>
      </c>
      <c r="G513" t="inlineStr">
        <is>
          <t>FINSPÅNG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46064</v>
      </c>
      <c r="E514" s="1" t="n">
        <v>46324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Sveaskog</t>
        </is>
      </c>
      <c r="I514" t="n">
        <v>10.5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46324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46065</v>
      </c>
      <c r="E516" s="1" t="n">
        <v>46324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46324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Sveaskog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46324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Sveaskog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46324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Sveaskog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46324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Sveaskog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54916-2024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45618</v>
      </c>
      <c r="E521" s="1" t="n">
        <v>46324</v>
      </c>
      <c r="F521" t="inlineStr">
        <is>
          <t>ÖSTERGÖTLANDS LÄN</t>
        </is>
      </c>
      <c r="G521" t="inlineStr">
        <is>
          <t>FINSPÅNG</t>
        </is>
      </c>
      <c r="I521" t="n">
        <v>11.8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46324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45639</v>
      </c>
      <c r="E523" s="1" t="n">
        <v>46324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46324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45299</v>
      </c>
      <c r="E525" s="1" t="n">
        <v>46324</v>
      </c>
      <c r="F525" t="inlineStr">
        <is>
          <t>ÖSTERGÖTLANDS LÄN</t>
        </is>
      </c>
      <c r="G525" t="inlineStr">
        <is>
          <t>FINSPÅNG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46324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58141-2022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44900</v>
      </c>
      <c r="E527" s="1" t="n">
        <v>46324</v>
      </c>
      <c r="F527" t="inlineStr">
        <is>
          <t>ÖSTERGÖTLANDS LÄN</t>
        </is>
      </c>
      <c r="G527" t="inlineStr">
        <is>
          <t>FINSPÅNG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46324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9173-2026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46324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22714-2022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44714</v>
      </c>
      <c r="E530" s="1" t="n">
        <v>46324</v>
      </c>
      <c r="F530" t="inlineStr">
        <is>
          <t>ÖSTERGÖTLANDS LÄN</t>
        </is>
      </c>
      <c r="G530" t="inlineStr">
        <is>
          <t>FINSPÅNG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28386-2026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46324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Kommuner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46073</v>
      </c>
      <c r="E532" s="1" t="n">
        <v>46324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10215-2022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44622</v>
      </c>
      <c r="E533" s="1" t="n">
        <v>46324</v>
      </c>
      <c r="F533" t="inlineStr">
        <is>
          <t>ÖSTERGÖTLANDS LÄN</t>
        </is>
      </c>
      <c r="G533" t="inlineStr">
        <is>
          <t>FINSPÅNG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54299-2023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45232</v>
      </c>
      <c r="E534" s="1" t="n">
        <v>46324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45677</v>
      </c>
      <c r="E535" s="1" t="n">
        <v>46324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56288-2022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44887</v>
      </c>
      <c r="E536" s="1" t="n">
        <v>46324</v>
      </c>
      <c r="F536" t="inlineStr">
        <is>
          <t>ÖSTERGÖTLANDS LÄN</t>
        </is>
      </c>
      <c r="G536" t="inlineStr">
        <is>
          <t>FINSPÅNG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46324</v>
      </c>
      <c r="F537" t="inlineStr">
        <is>
          <t>ÖSTERGÖTLANDS LÄN</t>
        </is>
      </c>
      <c r="G537" t="inlineStr">
        <is>
          <t>FINSPÅNG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46324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46324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18356-2024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45422</v>
      </c>
      <c r="E540" s="1" t="n">
        <v>46324</v>
      </c>
      <c r="F540" t="inlineStr">
        <is>
          <t>ÖSTERGÖTLANDS LÄN</t>
        </is>
      </c>
      <c r="G540" t="inlineStr">
        <is>
          <t>FINSPÅNG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44622</v>
      </c>
      <c r="E541" s="1" t="n">
        <v>46324</v>
      </c>
      <c r="F541" t="inlineStr">
        <is>
          <t>ÖSTERGÖTLANDS LÄN</t>
        </is>
      </c>
      <c r="G541" t="inlineStr">
        <is>
          <t>FINSPÅNG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45314-2023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45191</v>
      </c>
      <c r="E542" s="1" t="n">
        <v>46324</v>
      </c>
      <c r="F542" t="inlineStr">
        <is>
          <t>ÖSTERGÖTLANDS LÄN</t>
        </is>
      </c>
      <c r="G542" t="inlineStr">
        <is>
          <t>FINSPÅNG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44595</v>
      </c>
      <c r="E543" s="1" t="n">
        <v>46324</v>
      </c>
      <c r="F543" t="inlineStr">
        <is>
          <t>ÖSTERGÖTLANDS LÄN</t>
        </is>
      </c>
      <c r="G543" t="inlineStr">
        <is>
          <t>FINSPÅNG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46078</v>
      </c>
      <c r="E544" s="1" t="n">
        <v>46324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44589</v>
      </c>
      <c r="E545" s="1" t="n">
        <v>46324</v>
      </c>
      <c r="F545" t="inlineStr">
        <is>
          <t>ÖSTERGÖTLANDS LÄN</t>
        </is>
      </c>
      <c r="G545" t="inlineStr">
        <is>
          <t>FINSPÅNG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11211-2026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46080</v>
      </c>
      <c r="E546" s="1" t="n">
        <v>46324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46080</v>
      </c>
      <c r="E547" s="1" t="n">
        <v>46324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46324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27697-2023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45095</v>
      </c>
      <c r="E549" s="1" t="n">
        <v>46324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45095</v>
      </c>
      <c r="E550" s="1" t="n">
        <v>46324</v>
      </c>
      <c r="F550" t="inlineStr">
        <is>
          <t>ÖSTERGÖTLANDS LÄN</t>
        </is>
      </c>
      <c r="G550" t="inlineStr">
        <is>
          <t>FINSPÅNG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46324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46080</v>
      </c>
      <c r="E552" s="1" t="n">
        <v>46324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46324</v>
      </c>
      <c r="F553" t="inlineStr">
        <is>
          <t>ÖSTERGÖTLANDS LÄN</t>
        </is>
      </c>
      <c r="G553" t="inlineStr">
        <is>
          <t>FINSPÅNG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45846</v>
      </c>
      <c r="E554" s="1" t="n">
        <v>46324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45308</v>
      </c>
      <c r="E555" s="1" t="n">
        <v>46324</v>
      </c>
      <c r="F555" t="inlineStr">
        <is>
          <t>ÖSTERGÖTLANDS LÄN</t>
        </is>
      </c>
      <c r="G555" t="inlineStr">
        <is>
          <t>FINSPÅNG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46324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46085</v>
      </c>
      <c r="E557" s="1" t="n">
        <v>46324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46085</v>
      </c>
      <c r="E558" s="1" t="n">
        <v>46324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11807-2026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46085</v>
      </c>
      <c r="E559" s="1" t="n">
        <v>46324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53670-2024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45615</v>
      </c>
      <c r="E560" s="1" t="n">
        <v>46324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28556-2023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45103</v>
      </c>
      <c r="E561" s="1" t="n">
        <v>46324</v>
      </c>
      <c r="F561" t="inlineStr">
        <is>
          <t>ÖSTERGÖTLANDS LÄN</t>
        </is>
      </c>
      <c r="G561" t="inlineStr">
        <is>
          <t>FINSPÅNG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36110-2023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45149</v>
      </c>
      <c r="E562" s="1" t="n">
        <v>46324</v>
      </c>
      <c r="F562" t="inlineStr">
        <is>
          <t>ÖSTERGÖTLANDS LÄN</t>
        </is>
      </c>
      <c r="G562" t="inlineStr">
        <is>
          <t>FINSPÅNG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46324</v>
      </c>
      <c r="F563" t="inlineStr">
        <is>
          <t>ÖSTERGÖTLANDS LÄN</t>
        </is>
      </c>
      <c r="G563" t="inlineStr">
        <is>
          <t>FINSPÅNG</t>
        </is>
      </c>
      <c r="I563" t="n">
        <v>18.6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46324</v>
      </c>
      <c r="F564" t="inlineStr">
        <is>
          <t>ÖSTERGÖTLANDS LÄN</t>
        </is>
      </c>
      <c r="G564" t="inlineStr">
        <is>
          <t>FINSPÅNG</t>
        </is>
      </c>
      <c r="I564" t="n">
        <v>13.3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18349-2025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45762</v>
      </c>
      <c r="E565" s="1" t="n">
        <v>46324</v>
      </c>
      <c r="F565" t="inlineStr">
        <is>
          <t>ÖSTERGÖTLANDS LÄN</t>
        </is>
      </c>
      <c r="G565" t="inlineStr">
        <is>
          <t>FINSPÅNG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39358-2022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44817</v>
      </c>
      <c r="E566" s="1" t="n">
        <v>46324</v>
      </c>
      <c r="F566" t="inlineStr">
        <is>
          <t>ÖSTERGÖTLANDS LÄN</t>
        </is>
      </c>
      <c r="G566" t="inlineStr">
        <is>
          <t>FINSPÅNG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46324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60547-2023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45259</v>
      </c>
      <c r="E568" s="1" t="n">
        <v>46324</v>
      </c>
      <c r="F568" t="inlineStr">
        <is>
          <t>ÖSTERGÖTLANDS LÄN</t>
        </is>
      </c>
      <c r="G568" t="inlineStr">
        <is>
          <t>FINSPÅNG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45149</v>
      </c>
      <c r="E569" s="1" t="n">
        <v>46324</v>
      </c>
      <c r="F569" t="inlineStr">
        <is>
          <t>ÖSTERGÖTLANDS LÄN</t>
        </is>
      </c>
      <c r="G569" t="inlineStr">
        <is>
          <t>FINSPÅNG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45622</v>
      </c>
      <c r="E570" s="1" t="n">
        <v>46324</v>
      </c>
      <c r="F570" t="inlineStr">
        <is>
          <t>ÖSTERGÖTLANDS LÄN</t>
        </is>
      </c>
      <c r="G570" t="inlineStr">
        <is>
          <t>FINSPÅNG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13768-2026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46097</v>
      </c>
      <c r="E571" s="1" t="n">
        <v>46324</v>
      </c>
      <c r="F571" t="inlineStr">
        <is>
          <t>ÖSTERGÖTLANDS LÄN</t>
        </is>
      </c>
      <c r="G571" t="inlineStr">
        <is>
          <t>FINSPÅNG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46324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14078-2026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46324</v>
      </c>
      <c r="F573" t="inlineStr">
        <is>
          <t>ÖSTERGÖTLANDS LÄN</t>
        </is>
      </c>
      <c r="G573" t="inlineStr">
        <is>
          <t>FINSPÅNG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46324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46324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55956-2024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45623</v>
      </c>
      <c r="E576" s="1" t="n">
        <v>46324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46324</v>
      </c>
      <c r="F577" t="inlineStr">
        <is>
          <t>ÖSTERGÖTLANDS LÄN</t>
        </is>
      </c>
      <c r="G577" t="inlineStr">
        <is>
          <t>FINSPÅNG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40065-2024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45554</v>
      </c>
      <c r="E578" s="1" t="n">
        <v>46324</v>
      </c>
      <c r="F578" t="inlineStr">
        <is>
          <t>ÖSTERGÖTLANDS LÄN</t>
        </is>
      </c>
      <c r="G578" t="inlineStr">
        <is>
          <t>FINSPÅNG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45095</v>
      </c>
      <c r="E579" s="1" t="n">
        <v>46324</v>
      </c>
      <c r="F579" t="inlineStr">
        <is>
          <t>ÖSTERGÖTLANDS LÄN</t>
        </is>
      </c>
      <c r="G579" t="inlineStr">
        <is>
          <t>FINSPÅNG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48691-2024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45593</v>
      </c>
      <c r="E580" s="1" t="n">
        <v>46324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Övriga Aktiebolag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63585-2023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45275</v>
      </c>
      <c r="E581" s="1" t="n">
        <v>46324</v>
      </c>
      <c r="F581" t="inlineStr">
        <is>
          <t>ÖSTERGÖTLANDS LÄN</t>
        </is>
      </c>
      <c r="G581" t="inlineStr">
        <is>
          <t>FINSPÅNG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44564</v>
      </c>
      <c r="E582" s="1" t="n">
        <v>46324</v>
      </c>
      <c r="F582" t="inlineStr">
        <is>
          <t>ÖSTERGÖTLANDS LÄN</t>
        </is>
      </c>
      <c r="G582" t="inlineStr">
        <is>
          <t>FINSPÅNG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15129-2025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45744</v>
      </c>
      <c r="E583" s="1" t="n">
        <v>46324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Naturvårdsverket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53821-2022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44880</v>
      </c>
      <c r="E584" s="1" t="n">
        <v>46324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46324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15490-2026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46324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16229-2024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45407</v>
      </c>
      <c r="E587" s="1" t="n">
        <v>46324</v>
      </c>
      <c r="F587" t="inlineStr">
        <is>
          <t>ÖSTERGÖTLANDS LÄN</t>
        </is>
      </c>
      <c r="G587" t="inlineStr">
        <is>
          <t>FINSPÅNG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46324</v>
      </c>
      <c r="F588" t="inlineStr">
        <is>
          <t>ÖSTERGÖTLANDS LÄN</t>
        </is>
      </c>
      <c r="G588" t="inlineStr">
        <is>
          <t>FINSPÅNG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46324</v>
      </c>
      <c r="F589" t="inlineStr">
        <is>
          <t>ÖSTERGÖTLANDS LÄN</t>
        </is>
      </c>
      <c r="G589" t="inlineStr">
        <is>
          <t>FINSPÅNG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59777-2023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45257</v>
      </c>
      <c r="E590" s="1" t="n">
        <v>46324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59827-2023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45257</v>
      </c>
      <c r="E591" s="1" t="n">
        <v>46324</v>
      </c>
      <c r="F591" t="inlineStr">
        <is>
          <t>ÖSTERGÖTLANDS LÄN</t>
        </is>
      </c>
      <c r="G591" t="inlineStr">
        <is>
          <t>FINSPÅNG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42682-2024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45566</v>
      </c>
      <c r="E592" s="1" t="n">
        <v>46324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42678-2024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45566</v>
      </c>
      <c r="E593" s="1" t="n">
        <v>46324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46218</v>
      </c>
      <c r="E594" s="1" t="n">
        <v>46324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Sveaskog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61994-2022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44918</v>
      </c>
      <c r="E595" s="1" t="n">
        <v>46324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42699-2024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45566</v>
      </c>
      <c r="E596" s="1" t="n">
        <v>46324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46218</v>
      </c>
      <c r="E597" s="1" t="n">
        <v>46324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9.5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13392-2025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45735</v>
      </c>
      <c r="E598" s="1" t="n">
        <v>46324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13457-2025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45736</v>
      </c>
      <c r="E599" s="1" t="n">
        <v>46324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16355-2026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46111</v>
      </c>
      <c r="E600" s="1" t="n">
        <v>46324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44974</v>
      </c>
      <c r="E601" s="1" t="n">
        <v>46324</v>
      </c>
      <c r="F601" t="inlineStr">
        <is>
          <t>ÖSTERGÖTLANDS LÄN</t>
        </is>
      </c>
      <c r="G601" t="inlineStr">
        <is>
          <t>FINSPÅNG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17068-2026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46324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16996-2026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46114</v>
      </c>
      <c r="E603" s="1" t="n">
        <v>46324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45642</v>
      </c>
      <c r="E604" s="1" t="n">
        <v>46324</v>
      </c>
      <c r="F604" t="inlineStr">
        <is>
          <t>ÖSTERGÖTLANDS LÄN</t>
        </is>
      </c>
      <c r="G604" t="inlineStr">
        <is>
          <t>FINSPÅNG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14061-2023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45008</v>
      </c>
      <c r="E605" s="1" t="n">
        <v>46324</v>
      </c>
      <c r="F605" t="inlineStr">
        <is>
          <t>ÖSTERGÖTLANDS LÄN</t>
        </is>
      </c>
      <c r="G605" t="inlineStr">
        <is>
          <t>FINSPÅNG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45720</v>
      </c>
      <c r="E606" s="1" t="n">
        <v>46324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46114</v>
      </c>
      <c r="E607" s="1" t="n">
        <v>46324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16902-2026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46113</v>
      </c>
      <c r="E608" s="1" t="n">
        <v>46324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35340-2024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45530</v>
      </c>
      <c r="E609" s="1" t="n">
        <v>46324</v>
      </c>
      <c r="F609" t="inlineStr">
        <is>
          <t>ÖSTERGÖTLANDS LÄN</t>
        </is>
      </c>
      <c r="G609" t="inlineStr">
        <is>
          <t>FINSPÅNG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46324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46121</v>
      </c>
      <c r="E611" s="1" t="n">
        <v>46324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46122</v>
      </c>
      <c r="E612" s="1" t="n">
        <v>46324</v>
      </c>
      <c r="F612" t="inlineStr">
        <is>
          <t>ÖSTERGÖTLANDS LÄN</t>
        </is>
      </c>
      <c r="G612" t="inlineStr">
        <is>
          <t>FINSPÅNG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45530</v>
      </c>
      <c r="E613" s="1" t="n">
        <v>46324</v>
      </c>
      <c r="F613" t="inlineStr">
        <is>
          <t>ÖSTERGÖTLANDS LÄN</t>
        </is>
      </c>
      <c r="G613" t="inlineStr">
        <is>
          <t>FINSPÅNG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11149-2024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45371</v>
      </c>
      <c r="E614" s="1" t="n">
        <v>46324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Kyrkan</t>
        </is>
      </c>
      <c r="I614" t="n">
        <v>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18086-2026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46125</v>
      </c>
      <c r="E615" s="1" t="n">
        <v>46324</v>
      </c>
      <c r="F615" t="inlineStr">
        <is>
          <t>ÖSTERGÖTLANDS LÄN</t>
        </is>
      </c>
      <c r="G615" t="inlineStr">
        <is>
          <t>FINSPÅNG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46219</v>
      </c>
      <c r="E616" s="1" t="n">
        <v>46324</v>
      </c>
      <c r="F616" t="inlineStr">
        <is>
          <t>ÖSTERGÖTLANDS LÄN</t>
        </is>
      </c>
      <c r="G616" t="inlineStr">
        <is>
          <t>FINSPÅNG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46225</v>
      </c>
      <c r="E617" s="1" t="n">
        <v>46324</v>
      </c>
      <c r="F617" t="inlineStr">
        <is>
          <t>ÖSTERGÖTLANDS LÄN</t>
        </is>
      </c>
      <c r="G617" t="inlineStr">
        <is>
          <t>FINSPÅNG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31675-2026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46226</v>
      </c>
      <c r="E618" s="1" t="n">
        <v>46324</v>
      </c>
      <c r="F618" t="inlineStr">
        <is>
          <t>ÖSTERGÖTLANDS LÄN</t>
        </is>
      </c>
      <c r="G618" t="inlineStr">
        <is>
          <t>FINSPÅNG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46226</v>
      </c>
      <c r="E619" s="1" t="n">
        <v>46324</v>
      </c>
      <c r="F619" t="inlineStr">
        <is>
          <t>ÖSTERGÖTLANDS LÄN</t>
        </is>
      </c>
      <c r="G619" t="inlineStr">
        <is>
          <t>FINSPÅNG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18974-2026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46129</v>
      </c>
      <c r="E620" s="1" t="n">
        <v>46324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31668-2026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46225</v>
      </c>
      <c r="E621" s="1" t="n">
        <v>46324</v>
      </c>
      <c r="F621" t="inlineStr">
        <is>
          <t>ÖSTERGÖTLANDS LÄN</t>
        </is>
      </c>
      <c r="G621" t="inlineStr">
        <is>
          <t>FINSPÅNG</t>
        </is>
      </c>
      <c r="I621" t="n">
        <v>10.5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11523-2025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45727</v>
      </c>
      <c r="E622" s="1" t="n">
        <v>46324</v>
      </c>
      <c r="F622" t="inlineStr">
        <is>
          <t>ÖSTERGÖTLANDS LÄN</t>
        </is>
      </c>
      <c r="G622" t="inlineStr">
        <is>
          <t>FINSPÅNG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18725-2026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46324</v>
      </c>
      <c r="F623" t="inlineStr">
        <is>
          <t>ÖSTERGÖTLANDS LÄN</t>
        </is>
      </c>
      <c r="G623" t="inlineStr">
        <is>
          <t>FINSPÅNG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62155-2023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45267</v>
      </c>
      <c r="E624" s="1" t="n">
        <v>46324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46232</v>
      </c>
      <c r="E625" s="1" t="n">
        <v>46324</v>
      </c>
      <c r="F625" t="inlineStr">
        <is>
          <t>ÖSTERGÖTLANDS LÄN</t>
        </is>
      </c>
      <c r="G625" t="inlineStr">
        <is>
          <t>FINSPÅNG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7826-2025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45706</v>
      </c>
      <c r="E626" s="1" t="n">
        <v>46324</v>
      </c>
      <c r="F626" t="inlineStr">
        <is>
          <t>ÖSTERGÖTLANDS LÄN</t>
        </is>
      </c>
      <c r="G626" t="inlineStr">
        <is>
          <t>FINSPÅNG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46233</v>
      </c>
      <c r="E627" s="1" t="n">
        <v>46324</v>
      </c>
      <c r="F627" t="inlineStr">
        <is>
          <t>ÖSTERGÖTLANDS LÄN</t>
        </is>
      </c>
      <c r="G627" t="inlineStr">
        <is>
          <t>FINSPÅNG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7825-2025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46324</v>
      </c>
      <c r="F628" t="inlineStr">
        <is>
          <t>ÖSTERGÖTLANDS LÄN</t>
        </is>
      </c>
      <c r="G628" t="inlineStr">
        <is>
          <t>FINSPÅNG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48652-2024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45593</v>
      </c>
      <c r="E629" s="1" t="n">
        <v>46324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Övriga Aktiebolag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46324</v>
      </c>
      <c r="F630" t="inlineStr">
        <is>
          <t>ÖSTERGÖTLANDS LÄN</t>
        </is>
      </c>
      <c r="G630" t="inlineStr">
        <is>
          <t>FINSPÅNG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25188-2023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45086</v>
      </c>
      <c r="E631" s="1" t="n">
        <v>46324</v>
      </c>
      <c r="F631" t="inlineStr">
        <is>
          <t>ÖSTERGÖTLANDS LÄN</t>
        </is>
      </c>
      <c r="G631" t="inlineStr">
        <is>
          <t>FINSPÅNG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14142-2025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45740</v>
      </c>
      <c r="E632" s="1" t="n">
        <v>46324</v>
      </c>
      <c r="F632" t="inlineStr">
        <is>
          <t>ÖSTERGÖTLANDS LÄN</t>
        </is>
      </c>
      <c r="G632" t="inlineStr">
        <is>
          <t>FINSPÅNG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21722-2025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45783</v>
      </c>
      <c r="E633" s="1" t="n">
        <v>46324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35570-2023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45147</v>
      </c>
      <c r="E634" s="1" t="n">
        <v>46324</v>
      </c>
      <c r="F634" t="inlineStr">
        <is>
          <t>ÖSTERGÖTLANDS LÄN</t>
        </is>
      </c>
      <c r="G634" t="inlineStr">
        <is>
          <t>FINSPÅNG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38441-2026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46282</v>
      </c>
      <c r="E635" s="1" t="n">
        <v>46324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Sveaskog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10083-2025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45719</v>
      </c>
      <c r="E636" s="1" t="n">
        <v>46324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38414-2026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46282</v>
      </c>
      <c r="E637" s="1" t="n">
        <v>46324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38444-2026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46282</v>
      </c>
      <c r="E638" s="1" t="n">
        <v>46324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Sveaskog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46324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18134-2023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45040</v>
      </c>
      <c r="E640" s="1" t="n">
        <v>46324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38421-2026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46282</v>
      </c>
      <c r="E641" s="1" t="n">
        <v>46324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38422-2026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46282</v>
      </c>
      <c r="E642" s="1" t="n">
        <v>46324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Sveaskog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8611-2025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45710</v>
      </c>
      <c r="E643" s="1" t="n">
        <v>46324</v>
      </c>
      <c r="F643" t="inlineStr">
        <is>
          <t>ÖSTERGÖTLANDS LÄN</t>
        </is>
      </c>
      <c r="G643" t="inlineStr">
        <is>
          <t>FINSPÅNG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38442-2026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46282</v>
      </c>
      <c r="E644" s="1" t="n">
        <v>46324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Sveaskog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40069-2024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45554</v>
      </c>
      <c r="E645" s="1" t="n">
        <v>46324</v>
      </c>
      <c r="F645" t="inlineStr">
        <is>
          <t>ÖSTERGÖTLANDS LÄN</t>
        </is>
      </c>
      <c r="G645" t="inlineStr">
        <is>
          <t>FINSPÅNG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46282</v>
      </c>
      <c r="E646" s="1" t="n">
        <v>46324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38419-2026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46282</v>
      </c>
      <c r="E647" s="1" t="n">
        <v>46324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45337</v>
      </c>
      <c r="E648" s="1" t="n">
        <v>46324</v>
      </c>
      <c r="F648" t="inlineStr">
        <is>
          <t>ÖSTERGÖTLANDS LÄN</t>
        </is>
      </c>
      <c r="G648" t="inlineStr">
        <is>
          <t>FINSPÅNG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31180-2025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45832</v>
      </c>
      <c r="E649" s="1" t="n">
        <v>46324</v>
      </c>
      <c r="F649" t="inlineStr">
        <is>
          <t>ÖSTERGÖTLANDS LÄN</t>
        </is>
      </c>
      <c r="G649" t="inlineStr">
        <is>
          <t>FINSPÅNG</t>
        </is>
      </c>
      <c r="I649" t="n">
        <v>8.300000000000001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32789-2024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45516</v>
      </c>
      <c r="E650" s="1" t="n">
        <v>46324</v>
      </c>
      <c r="F650" t="inlineStr">
        <is>
          <t>ÖSTERGÖTLANDS LÄN</t>
        </is>
      </c>
      <c r="G650" t="inlineStr">
        <is>
          <t>FINSPÅNG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45915</v>
      </c>
      <c r="E651" s="1" t="n">
        <v>46324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6635-2025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45700</v>
      </c>
      <c r="E652" s="1" t="n">
        <v>46324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38765-2026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46286</v>
      </c>
      <c r="E653" s="1" t="n">
        <v>46324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Övriga Aktiebolag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5156-2023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44958</v>
      </c>
      <c r="E654" s="1" t="n">
        <v>46324</v>
      </c>
      <c r="F654" t="inlineStr">
        <is>
          <t>ÖSTERGÖTLANDS LÄN</t>
        </is>
      </c>
      <c r="G654" t="inlineStr">
        <is>
          <t>FINSPÅNG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63482-2023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45274</v>
      </c>
      <c r="E655" s="1" t="n">
        <v>46324</v>
      </c>
      <c r="F655" t="inlineStr">
        <is>
          <t>ÖSTERGÖTLANDS LÄN</t>
        </is>
      </c>
      <c r="G655" t="inlineStr">
        <is>
          <t>FINSPÅNG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41513-2024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45560</v>
      </c>
      <c r="E656" s="1" t="n">
        <v>46324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5333-2025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45692</v>
      </c>
      <c r="E657" s="1" t="n">
        <v>46324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35970-2025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45863</v>
      </c>
      <c r="E658" s="1" t="n">
        <v>46324</v>
      </c>
      <c r="F658" t="inlineStr">
        <is>
          <t>ÖSTERGÖTLANDS LÄN</t>
        </is>
      </c>
      <c r="G658" t="inlineStr">
        <is>
          <t>FINSPÅNG</t>
        </is>
      </c>
      <c r="I658" t="n">
        <v>22.6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17578-2024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45415</v>
      </c>
      <c r="E659" s="1" t="n">
        <v>46324</v>
      </c>
      <c r="F659" t="inlineStr">
        <is>
          <t>ÖSTERGÖTLANDS LÄN</t>
        </is>
      </c>
      <c r="G659" t="inlineStr">
        <is>
          <t>FINSPÅNG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45328</v>
      </c>
      <c r="E660" s="1" t="n">
        <v>46324</v>
      </c>
      <c r="F660" t="inlineStr">
        <is>
          <t>ÖSTERGÖTLANDS LÄN</t>
        </is>
      </c>
      <c r="G660" t="inlineStr">
        <is>
          <t>FINSPÅNG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35278-2025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45853</v>
      </c>
      <c r="E661" s="1" t="n">
        <v>46324</v>
      </c>
      <c r="F661" t="inlineStr">
        <is>
          <t>ÖSTERGÖTLANDS LÄN</t>
        </is>
      </c>
      <c r="G661" t="inlineStr">
        <is>
          <t>FINSPÅNG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46324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Sveaskog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36592-2025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45870</v>
      </c>
      <c r="E663" s="1" t="n">
        <v>46324</v>
      </c>
      <c r="F663" t="inlineStr">
        <is>
          <t>ÖSTERGÖTLANDS LÄN</t>
        </is>
      </c>
      <c r="G663" t="inlineStr">
        <is>
          <t>FINSPÅNG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28024-2023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45095</v>
      </c>
      <c r="E664" s="1" t="n">
        <v>46324</v>
      </c>
      <c r="F664" t="inlineStr">
        <is>
          <t>ÖSTERGÖTLANDS LÄN</t>
        </is>
      </c>
      <c r="G664" t="inlineStr">
        <is>
          <t>FINSPÅNG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44950</v>
      </c>
      <c r="E665" s="1" t="n">
        <v>46324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3440-2023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44949</v>
      </c>
      <c r="E666" s="1" t="n">
        <v>46324</v>
      </c>
      <c r="F666" t="inlineStr">
        <is>
          <t>ÖSTERGÖTLANDS LÄN</t>
        </is>
      </c>
      <c r="G666" t="inlineStr">
        <is>
          <t>FINSPÅNG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50063-2022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44860</v>
      </c>
      <c r="E667" s="1" t="n">
        <v>46324</v>
      </c>
      <c r="F667" t="inlineStr">
        <is>
          <t>ÖSTERGÖTLANDS LÄN</t>
        </is>
      </c>
      <c r="G667" t="inlineStr">
        <is>
          <t>FINSPÅNG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24015-2024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45456</v>
      </c>
      <c r="E668" s="1" t="n">
        <v>46324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45744</v>
      </c>
      <c r="E669" s="1" t="n">
        <v>46324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Naturvårdsverket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59795-2023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45257</v>
      </c>
      <c r="E670" s="1" t="n">
        <v>46324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59808-2023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45257</v>
      </c>
      <c r="E671" s="1" t="n">
        <v>46324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40578-2026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46295</v>
      </c>
      <c r="E672" s="1" t="n">
        <v>46324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Sveaskog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40580-2026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46295</v>
      </c>
      <c r="E673" s="1" t="n">
        <v>46324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Sveaskog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28732-2023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45103</v>
      </c>
      <c r="E674" s="1" t="n">
        <v>46324</v>
      </c>
      <c r="F674" t="inlineStr">
        <is>
          <t>ÖSTERGÖTLANDS LÄN</t>
        </is>
      </c>
      <c r="G674" t="inlineStr">
        <is>
          <t>FINSPÅNG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14028-2025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45740</v>
      </c>
      <c r="E675" s="1" t="n">
        <v>46324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42176-2023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45178</v>
      </c>
      <c r="E676" s="1" t="n">
        <v>46324</v>
      </c>
      <c r="F676" t="inlineStr">
        <is>
          <t>ÖSTERGÖTLANDS LÄN</t>
        </is>
      </c>
      <c r="G676" t="inlineStr">
        <is>
          <t>FINSPÅNG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62421-2021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44503</v>
      </c>
      <c r="E677" s="1" t="n">
        <v>46324</v>
      </c>
      <c r="F677" t="inlineStr">
        <is>
          <t>ÖSTERGÖTLANDS LÄN</t>
        </is>
      </c>
      <c r="G677" t="inlineStr">
        <is>
          <t>FINSPÅNG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32973-2023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45125</v>
      </c>
      <c r="E678" s="1" t="n">
        <v>46324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Övriga Aktiebolag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18258-2024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45421</v>
      </c>
      <c r="E679" s="1" t="n">
        <v>46324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37647-2024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45541</v>
      </c>
      <c r="E680" s="1" t="n">
        <v>46324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59799-2023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45257</v>
      </c>
      <c r="E681" s="1" t="n">
        <v>46324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48466-2023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45206</v>
      </c>
      <c r="E682" s="1" t="n">
        <v>46324</v>
      </c>
      <c r="F682" t="inlineStr">
        <is>
          <t>ÖSTERGÖTLANDS LÄN</t>
        </is>
      </c>
      <c r="G682" t="inlineStr">
        <is>
          <t>FINSPÅNG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15614-2023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45020</v>
      </c>
      <c r="E683" s="1" t="n">
        <v>46324</v>
      </c>
      <c r="F683" t="inlineStr">
        <is>
          <t>ÖSTERGÖTLANDS LÄN</t>
        </is>
      </c>
      <c r="G683" t="inlineStr">
        <is>
          <t>FINSPÅNG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45243-2022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44840</v>
      </c>
      <c r="E684" s="1" t="n">
        <v>46324</v>
      </c>
      <c r="F684" t="inlineStr">
        <is>
          <t>ÖSTERGÖTLANDS LÄN</t>
        </is>
      </c>
      <c r="G684" t="inlineStr">
        <is>
          <t>FINSPÅNG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18295-2023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45041</v>
      </c>
      <c r="E685" s="1" t="n">
        <v>46324</v>
      </c>
      <c r="F685" t="inlineStr">
        <is>
          <t>ÖSTERGÖTLANDS LÄN</t>
        </is>
      </c>
      <c r="G685" t="inlineStr">
        <is>
          <t>FINSPÅNG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65742-2021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44516</v>
      </c>
      <c r="E686" s="1" t="n">
        <v>46324</v>
      </c>
      <c r="F686" t="inlineStr">
        <is>
          <t>ÖSTERGÖTLANDS LÄN</t>
        </is>
      </c>
      <c r="G686" t="inlineStr">
        <is>
          <t>FINSPÅNG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6154-2023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44964</v>
      </c>
      <c r="E687" s="1" t="n">
        <v>46324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7445-2022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44607</v>
      </c>
      <c r="E688" s="1" t="n">
        <v>46324</v>
      </c>
      <c r="F688" t="inlineStr">
        <is>
          <t>ÖSTERGÖTLANDS LÄN</t>
        </is>
      </c>
      <c r="G688" t="inlineStr">
        <is>
          <t>FINSPÅNG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25679-2024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45463</v>
      </c>
      <c r="E689" s="1" t="n">
        <v>46324</v>
      </c>
      <c r="F689" t="inlineStr">
        <is>
          <t>ÖSTERGÖTLANDS LÄN</t>
        </is>
      </c>
      <c r="G689" t="inlineStr">
        <is>
          <t>FINSPÅNG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11540-2023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44993</v>
      </c>
      <c r="E690" s="1" t="n">
        <v>46324</v>
      </c>
      <c r="F690" t="inlineStr">
        <is>
          <t>ÖSTERGÖTLANDS LÄN</t>
        </is>
      </c>
      <c r="G690" t="inlineStr">
        <is>
          <t>FINSPÅNG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39655-2023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45167</v>
      </c>
      <c r="E691" s="1" t="n">
        <v>46324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Kyrkan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30920-2022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44767</v>
      </c>
      <c r="E692" s="1" t="n">
        <v>46324</v>
      </c>
      <c r="F692" t="inlineStr">
        <is>
          <t>ÖSTERGÖTLANDS LÄN</t>
        </is>
      </c>
      <c r="G692" t="inlineStr">
        <is>
          <t>FINSPÅNG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44930</v>
      </c>
      <c r="E693" s="1" t="n">
        <v>46324</v>
      </c>
      <c r="F693" t="inlineStr">
        <is>
          <t>ÖSTERGÖTLANDS LÄN</t>
        </is>
      </c>
      <c r="G693" t="inlineStr">
        <is>
          <t>FINSPÅNG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4860-2023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44957</v>
      </c>
      <c r="E694" s="1" t="n">
        <v>46324</v>
      </c>
      <c r="F694" t="inlineStr">
        <is>
          <t>ÖSTERGÖTLANDS LÄN</t>
        </is>
      </c>
      <c r="G694" t="inlineStr">
        <is>
          <t>FINSPÅNG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15473-2022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44662</v>
      </c>
      <c r="E695" s="1" t="n">
        <v>46324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25678-2024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45463</v>
      </c>
      <c r="E696" s="1" t="n">
        <v>46324</v>
      </c>
      <c r="F696" t="inlineStr">
        <is>
          <t>ÖSTERGÖTLANDS LÄN</t>
        </is>
      </c>
      <c r="G696" t="inlineStr">
        <is>
          <t>FINSPÅNG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46324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24804-2023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45084</v>
      </c>
      <c r="E698" s="1" t="n">
        <v>46324</v>
      </c>
      <c r="F698" t="inlineStr">
        <is>
          <t>ÖSTERGÖTLANDS LÄN</t>
        </is>
      </c>
      <c r="G698" t="inlineStr">
        <is>
          <t>FINSPÅNG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25356-2022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44732</v>
      </c>
      <c r="E699" s="1" t="n">
        <v>46324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50670-2024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45601</v>
      </c>
      <c r="E700" s="1" t="n">
        <v>46324</v>
      </c>
      <c r="F700" t="inlineStr">
        <is>
          <t>ÖSTERGÖTLANDS LÄN</t>
        </is>
      </c>
      <c r="G700" t="inlineStr">
        <is>
          <t>FINSPÅNG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61012-2022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44914</v>
      </c>
      <c r="E701" s="1" t="n">
        <v>46324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41247-2026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46300</v>
      </c>
      <c r="E702" s="1" t="n">
        <v>46324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70505-2021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44536</v>
      </c>
      <c r="E703" s="1" t="n">
        <v>46324</v>
      </c>
      <c r="F703" t="inlineStr">
        <is>
          <t>ÖSTERGÖTLANDS LÄN</t>
        </is>
      </c>
      <c r="G703" t="inlineStr">
        <is>
          <t>FINSPÅNG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26087-2022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44734</v>
      </c>
      <c r="E704" s="1" t="n">
        <v>46324</v>
      </c>
      <c r="F704" t="inlineStr">
        <is>
          <t>ÖSTERGÖTLANDS LÄN</t>
        </is>
      </c>
      <c r="G704" t="inlineStr">
        <is>
          <t>FINSPÅNG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21719-2024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45442</v>
      </c>
      <c r="E705" s="1" t="n">
        <v>46324</v>
      </c>
      <c r="F705" t="inlineStr">
        <is>
          <t>ÖSTERGÖTLANDS LÄN</t>
        </is>
      </c>
      <c r="G705" t="inlineStr">
        <is>
          <t>FINSPÅNG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46324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Övriga Aktiebolag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56246-2022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44887</v>
      </c>
      <c r="E707" s="1" t="n">
        <v>46324</v>
      </c>
      <c r="F707" t="inlineStr">
        <is>
          <t>ÖSTERGÖTLANDS LÄN</t>
        </is>
      </c>
      <c r="G707" t="inlineStr">
        <is>
          <t>FINSPÅNG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53675-2024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45615</v>
      </c>
      <c r="E708" s="1" t="n">
        <v>46324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34883-2026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46324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41654-2026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46302</v>
      </c>
      <c r="E710" s="1" t="n">
        <v>46324</v>
      </c>
      <c r="F710" t="inlineStr">
        <is>
          <t>ÖSTERGÖTLANDS LÄN</t>
        </is>
      </c>
      <c r="G710" t="inlineStr">
        <is>
          <t>FINSPÅNG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8937-2022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44614</v>
      </c>
      <c r="E711" s="1" t="n">
        <v>46324</v>
      </c>
      <c r="F711" t="inlineStr">
        <is>
          <t>ÖSTERGÖTLANDS LÄN</t>
        </is>
      </c>
      <c r="G711" t="inlineStr">
        <is>
          <t>FINSPÅNG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26195-2024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45468</v>
      </c>
      <c r="E712" s="1" t="n">
        <v>46324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43221-2022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44833</v>
      </c>
      <c r="E713" s="1" t="n">
        <v>46324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Övriga Aktiebolag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39356-2022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44817</v>
      </c>
      <c r="E714" s="1" t="n">
        <v>46324</v>
      </c>
      <c r="F714" t="inlineStr">
        <is>
          <t>ÖSTERGÖTLANDS LÄN</t>
        </is>
      </c>
      <c r="G714" t="inlineStr">
        <is>
          <t>FINSPÅNG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42405-2026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46307</v>
      </c>
      <c r="E715" s="1" t="n">
        <v>46324</v>
      </c>
      <c r="F715" t="inlineStr">
        <is>
          <t>ÖSTERGÖTLANDS LÄN</t>
        </is>
      </c>
      <c r="G715" t="inlineStr">
        <is>
          <t>FINSPÅNG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50189-2022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44865</v>
      </c>
      <c r="E716" s="1" t="n">
        <v>46324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9130-2023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44980</v>
      </c>
      <c r="E717" s="1" t="n">
        <v>46324</v>
      </c>
      <c r="F717" t="inlineStr">
        <is>
          <t>ÖSTERGÖTLANDS LÄN</t>
        </is>
      </c>
      <c r="G717" t="inlineStr">
        <is>
          <t>FINSPÅNG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42076-2026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46304</v>
      </c>
      <c r="E718" s="1" t="n">
        <v>46324</v>
      </c>
      <c r="F718" t="inlineStr">
        <is>
          <t>ÖSTERGÖTLANDS LÄN</t>
        </is>
      </c>
      <c r="G718" t="inlineStr">
        <is>
          <t>FINSPÅNG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31801-2023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45118</v>
      </c>
      <c r="E719" s="1" t="n">
        <v>46324</v>
      </c>
      <c r="F719" t="inlineStr">
        <is>
          <t>ÖSTERGÖTLANDS LÄN</t>
        </is>
      </c>
      <c r="G719" t="inlineStr">
        <is>
          <t>FINSPÅNG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42060-2026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46304</v>
      </c>
      <c r="E720" s="1" t="n">
        <v>46324</v>
      </c>
      <c r="F720" t="inlineStr">
        <is>
          <t>ÖSTERGÖTLANDS LÄN</t>
        </is>
      </c>
      <c r="G720" t="inlineStr">
        <is>
          <t>FINSPÅNG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42408-2026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46307</v>
      </c>
      <c r="E721" s="1" t="n">
        <v>46324</v>
      </c>
      <c r="F721" t="inlineStr">
        <is>
          <t>ÖSTERGÖTLANDS LÄN</t>
        </is>
      </c>
      <c r="G721" t="inlineStr">
        <is>
          <t>FINSPÅNG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42067-2026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46304</v>
      </c>
      <c r="E722" s="1" t="n">
        <v>46324</v>
      </c>
      <c r="F722" t="inlineStr">
        <is>
          <t>ÖSTERGÖTLANDS LÄN</t>
        </is>
      </c>
      <c r="G722" t="inlineStr">
        <is>
          <t>FINSPÅNG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39896-2023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45166</v>
      </c>
      <c r="E723" s="1" t="n">
        <v>46324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25877-2024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45467</v>
      </c>
      <c r="E724" s="1" t="n">
        <v>46324</v>
      </c>
      <c r="F724" t="inlineStr">
        <is>
          <t>ÖSTERGÖTLANDS LÄN</t>
        </is>
      </c>
      <c r="G724" t="inlineStr">
        <is>
          <t>FINSPÅNG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31147-2026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46209</v>
      </c>
      <c r="E725" s="1" t="n">
        <v>46324</v>
      </c>
      <c r="F725" t="inlineStr">
        <is>
          <t>ÖSTERGÖTLANDS LÄN</t>
        </is>
      </c>
      <c r="G725" t="inlineStr">
        <is>
          <t>FINSPÅNG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26247-2022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44735</v>
      </c>
      <c r="E726" s="1" t="n">
        <v>46324</v>
      </c>
      <c r="F726" t="inlineStr">
        <is>
          <t>ÖSTERGÖTLANDS LÄN</t>
        </is>
      </c>
      <c r="G726" t="inlineStr">
        <is>
          <t>FINSPÅNG</t>
        </is>
      </c>
      <c r="I726" t="n">
        <v>10.1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50356-2024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45600</v>
      </c>
      <c r="E727" s="1" t="n">
        <v>46324</v>
      </c>
      <c r="F727" t="inlineStr">
        <is>
          <t>ÖSTERGÖTLANDS LÄN</t>
        </is>
      </c>
      <c r="G727" t="inlineStr">
        <is>
          <t>FINSPÅNG</t>
        </is>
      </c>
      <c r="I727" t="n">
        <v>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45229</v>
      </c>
      <c r="E728" s="1" t="n">
        <v>46324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58142-2022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44900</v>
      </c>
      <c r="E729" s="1" t="n">
        <v>46324</v>
      </c>
      <c r="F729" t="inlineStr">
        <is>
          <t>ÖSTERGÖTLANDS LÄN</t>
        </is>
      </c>
      <c r="G729" t="inlineStr">
        <is>
          <t>FINSPÅNG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28559-2023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45103</v>
      </c>
      <c r="E730" s="1" t="n">
        <v>46324</v>
      </c>
      <c r="F730" t="inlineStr">
        <is>
          <t>ÖSTERGÖTLANDS LÄN</t>
        </is>
      </c>
      <c r="G730" t="inlineStr">
        <is>
          <t>FINSPÅNG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7022-2024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45343</v>
      </c>
      <c r="E731" s="1" t="n">
        <v>46324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24458-2023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45082</v>
      </c>
      <c r="E732" s="1" t="n">
        <v>46324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45299</v>
      </c>
      <c r="E733" s="1" t="n">
        <v>46324</v>
      </c>
      <c r="F733" t="inlineStr">
        <is>
          <t>ÖSTERGÖTLANDS LÄN</t>
        </is>
      </c>
      <c r="G733" t="inlineStr">
        <is>
          <t>FINSPÅNG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45006</v>
      </c>
      <c r="E734" s="1" t="n">
        <v>46324</v>
      </c>
      <c r="F734" t="inlineStr">
        <is>
          <t>ÖSTERGÖTLANDS LÄN</t>
        </is>
      </c>
      <c r="G734" t="inlineStr">
        <is>
          <t>FINSPÅNG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42091-2026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46304</v>
      </c>
      <c r="E735" s="1" t="n">
        <v>46324</v>
      </c>
      <c r="F735" t="inlineStr">
        <is>
          <t>ÖSTERGÖTLANDS LÄN</t>
        </is>
      </c>
      <c r="G735" t="inlineStr">
        <is>
          <t>FINSPÅNG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22938-2026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46160</v>
      </c>
      <c r="E736" s="1" t="n">
        <v>46324</v>
      </c>
      <c r="F736" t="inlineStr">
        <is>
          <t>ÖSTERGÖTLANDS LÄN</t>
        </is>
      </c>
      <c r="G736" t="inlineStr">
        <is>
          <t>FINSPÅNG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42457-2026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46308</v>
      </c>
      <c r="E737" s="1" t="n">
        <v>46324</v>
      </c>
      <c r="F737" t="inlineStr">
        <is>
          <t>ÖSTERGÖTLANDS LÄN</t>
        </is>
      </c>
      <c r="G737" t="inlineStr">
        <is>
          <t>FINSPÅNG</t>
        </is>
      </c>
      <c r="I737" t="n">
        <v>11.1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42503-2026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46308</v>
      </c>
      <c r="E738" s="1" t="n">
        <v>46324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Övriga Aktiebolag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42512-2026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46308</v>
      </c>
      <c r="E739" s="1" t="n">
        <v>46324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42453-2026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46308</v>
      </c>
      <c r="E740" s="1" t="n">
        <v>46324</v>
      </c>
      <c r="F740" t="inlineStr">
        <is>
          <t>ÖSTERGÖTLANDS LÄN</t>
        </is>
      </c>
      <c r="G740" t="inlineStr">
        <is>
          <t>FINSPÅNG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12472-2024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45379</v>
      </c>
      <c r="E741" s="1" t="n">
        <v>46324</v>
      </c>
      <c r="F741" t="inlineStr">
        <is>
          <t>ÖSTERGÖTLANDS LÄN</t>
        </is>
      </c>
      <c r="G741" t="inlineStr">
        <is>
          <t>FINSPÅNG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42599-2026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46308</v>
      </c>
      <c r="E742" s="1" t="n">
        <v>46324</v>
      </c>
      <c r="F742" t="inlineStr">
        <is>
          <t>ÖSTERGÖTLANDS LÄN</t>
        </is>
      </c>
      <c r="G742" t="inlineStr">
        <is>
          <t>FINSPÅNG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44571-2022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44840</v>
      </c>
      <c r="E743" s="1" t="n">
        <v>46324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17992-2023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45040</v>
      </c>
      <c r="E744" s="1" t="n">
        <v>46324</v>
      </c>
      <c r="F744" t="inlineStr">
        <is>
          <t>ÖSTERGÖTLANDS LÄN</t>
        </is>
      </c>
      <c r="G744" t="inlineStr">
        <is>
          <t>FINSPÅNG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42514-2026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46308</v>
      </c>
      <c r="E745" s="1" t="n">
        <v>46324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23249-2023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45075</v>
      </c>
      <c r="E746" s="1" t="n">
        <v>46324</v>
      </c>
      <c r="F746" t="inlineStr">
        <is>
          <t>ÖSTERGÖTLANDS LÄN</t>
        </is>
      </c>
      <c r="G746" t="inlineStr">
        <is>
          <t>FINSPÅNG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54581-2024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45617</v>
      </c>
      <c r="E747" s="1" t="n">
        <v>46324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24192-2022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44725</v>
      </c>
      <c r="E748" s="1" t="n">
        <v>46324</v>
      </c>
      <c r="F748" t="inlineStr">
        <is>
          <t>ÖSTERGÖTLANDS LÄN</t>
        </is>
      </c>
      <c r="G748" t="inlineStr">
        <is>
          <t>FINSPÅNG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46308</v>
      </c>
      <c r="E749" s="1" t="n">
        <v>46324</v>
      </c>
      <c r="F749" t="inlineStr">
        <is>
          <t>ÖSTERGÖTLANDS LÄN</t>
        </is>
      </c>
      <c r="G749" t="inlineStr">
        <is>
          <t>FINSPÅNG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24510-2023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45082</v>
      </c>
      <c r="E750" s="1" t="n">
        <v>46324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42593-2026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46308</v>
      </c>
      <c r="E751" s="1" t="n">
        <v>46324</v>
      </c>
      <c r="F751" t="inlineStr">
        <is>
          <t>ÖSTERGÖTLANDS LÄN</t>
        </is>
      </c>
      <c r="G751" t="inlineStr">
        <is>
          <t>FINSPÅNG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20157-2023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45055</v>
      </c>
      <c r="E752" s="1" t="n">
        <v>46324</v>
      </c>
      <c r="F752" t="inlineStr">
        <is>
          <t>ÖSTERGÖTLANDS LÄN</t>
        </is>
      </c>
      <c r="G752" t="inlineStr">
        <is>
          <t>FINSPÅNG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46308</v>
      </c>
      <c r="E753" s="1" t="n">
        <v>46324</v>
      </c>
      <c r="F753" t="inlineStr">
        <is>
          <t>ÖSTERGÖTLANDS LÄN</t>
        </is>
      </c>
      <c r="G753" t="inlineStr">
        <is>
          <t>FINSPÅNG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42422-2026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46308</v>
      </c>
      <c r="E754" s="1" t="n">
        <v>46324</v>
      </c>
      <c r="F754" t="inlineStr">
        <is>
          <t>ÖSTERGÖTLANDS LÄN</t>
        </is>
      </c>
      <c r="G754" t="inlineStr">
        <is>
          <t>FINSPÅNG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45688</v>
      </c>
      <c r="E755" s="1" t="n">
        <v>46324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58313-2023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45250</v>
      </c>
      <c r="E756" s="1" t="n">
        <v>46324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58333-2023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45250</v>
      </c>
      <c r="E757" s="1" t="n">
        <v>46324</v>
      </c>
      <c r="F757" t="inlineStr">
        <is>
          <t>ÖSTERGÖTLANDS LÄN</t>
        </is>
      </c>
      <c r="G757" t="inlineStr">
        <is>
          <t>FINSPÅNG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46308</v>
      </c>
      <c r="E758" s="1" t="n">
        <v>46324</v>
      </c>
      <c r="F758" t="inlineStr">
        <is>
          <t>ÖSTERGÖTLANDS LÄN</t>
        </is>
      </c>
      <c r="G758" t="inlineStr">
        <is>
          <t>FINSPÅNG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33804-2023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45133</v>
      </c>
      <c r="E759" s="1" t="n">
        <v>46324</v>
      </c>
      <c r="F759" t="inlineStr">
        <is>
          <t>ÖSTERGÖTLANDS LÄN</t>
        </is>
      </c>
      <c r="G759" t="inlineStr">
        <is>
          <t>FINSPÅNG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39114-2024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45548</v>
      </c>
      <c r="E760" s="1" t="n">
        <v>46324</v>
      </c>
      <c r="F760" t="inlineStr">
        <is>
          <t>ÖSTERGÖTLANDS LÄN</t>
        </is>
      </c>
      <c r="G760" t="inlineStr">
        <is>
          <t>FINSPÅNG</t>
        </is>
      </c>
      <c r="I760" t="n">
        <v>9.699999999999999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62186-2023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45267</v>
      </c>
      <c r="E761" s="1" t="n">
        <v>46324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36498-2026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46269</v>
      </c>
      <c r="E762" s="1" t="n">
        <v>46324</v>
      </c>
      <c r="F762" t="inlineStr">
        <is>
          <t>ÖSTERGÖTLANDS LÄN</t>
        </is>
      </c>
      <c r="G762" t="inlineStr">
        <is>
          <t>FINSPÅNG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7269-2024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45344</v>
      </c>
      <c r="E763" s="1" t="n">
        <v>46324</v>
      </c>
      <c r="F763" t="inlineStr">
        <is>
          <t>ÖSTERGÖTLANDS LÄN</t>
        </is>
      </c>
      <c r="G763" t="inlineStr">
        <is>
          <t>FINSPÅNG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36486-2026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46324</v>
      </c>
      <c r="F764" t="inlineStr">
        <is>
          <t>ÖSTERGÖTLANDS LÄN</t>
        </is>
      </c>
      <c r="G764" t="inlineStr">
        <is>
          <t>FINSPÅNG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9809-2024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45362</v>
      </c>
      <c r="E765" s="1" t="n">
        <v>46324</v>
      </c>
      <c r="F765" t="inlineStr">
        <is>
          <t>ÖSTERGÖTLANDS LÄN</t>
        </is>
      </c>
      <c r="G765" t="inlineStr">
        <is>
          <t>FINSPÅNG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44634</v>
      </c>
      <c r="E766" s="1" t="n">
        <v>46324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45252</v>
      </c>
      <c r="E767" s="1" t="n">
        <v>46324</v>
      </c>
      <c r="F767" t="inlineStr">
        <is>
          <t>ÖSTERGÖTLANDS LÄN</t>
        </is>
      </c>
      <c r="G767" t="inlineStr">
        <is>
          <t>FINSPÅNG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46324</v>
      </c>
      <c r="F768" t="inlineStr">
        <is>
          <t>ÖSTERGÖTLANDS LÄN</t>
        </is>
      </c>
      <c r="G768" t="inlineStr">
        <is>
          <t>FINSPÅNG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48790-2023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45209</v>
      </c>
      <c r="E769" s="1" t="n">
        <v>46324</v>
      </c>
      <c r="F769" t="inlineStr">
        <is>
          <t>ÖSTERGÖTLANDS LÄN</t>
        </is>
      </c>
      <c r="G769" t="inlineStr">
        <is>
          <t>FINSPÅNG</t>
        </is>
      </c>
      <c r="I769" t="n">
        <v>14.6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45209</v>
      </c>
      <c r="E770" s="1" t="n">
        <v>46324</v>
      </c>
      <c r="F770" t="inlineStr">
        <is>
          <t>ÖSTERGÖTLANDS LÄN</t>
        </is>
      </c>
      <c r="G770" t="inlineStr">
        <is>
          <t>FINSPÅNG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43352-2026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46314</v>
      </c>
      <c r="E771" s="1" t="n">
        <v>46324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Naturvårdsverket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43529-2026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46315</v>
      </c>
      <c r="E772" s="1" t="n">
        <v>46324</v>
      </c>
      <c r="F772" t="inlineStr">
        <is>
          <t>ÖSTERGÖTLANDS LÄN</t>
        </is>
      </c>
      <c r="G772" t="inlineStr">
        <is>
          <t>FINSPÅNG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43531-2026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46315</v>
      </c>
      <c r="E773" s="1" t="n">
        <v>46324</v>
      </c>
      <c r="F773" t="inlineStr">
        <is>
          <t>ÖSTERGÖTLANDS LÄN</t>
        </is>
      </c>
      <c r="G773" t="inlineStr">
        <is>
          <t>FINSPÅNG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43405-2026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46314</v>
      </c>
      <c r="E774" s="1" t="n">
        <v>46324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46324</v>
      </c>
      <c r="F775" t="inlineStr">
        <is>
          <t>ÖSTERGÖTLANDS LÄN</t>
        </is>
      </c>
      <c r="G775" t="inlineStr">
        <is>
          <t>FINSPÅNG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46324</v>
      </c>
      <c r="F776" t="inlineStr">
        <is>
          <t>ÖSTERGÖTLANDS LÄN</t>
        </is>
      </c>
      <c r="G776" t="inlineStr">
        <is>
          <t>FINSPÅNG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42782-2024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45566</v>
      </c>
      <c r="E777" s="1" t="n">
        <v>46324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43526-2026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46315</v>
      </c>
      <c r="E778" s="1" t="n">
        <v>46324</v>
      </c>
      <c r="F778" t="inlineStr">
        <is>
          <t>ÖSTERGÖTLANDS LÄN</t>
        </is>
      </c>
      <c r="G778" t="inlineStr">
        <is>
          <t>FINSPÅNG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43527-2026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46315</v>
      </c>
      <c r="E779" s="1" t="n">
        <v>46324</v>
      </c>
      <c r="F779" t="inlineStr">
        <is>
          <t>ÖSTERGÖTLANDS LÄN</t>
        </is>
      </c>
      <c r="G779" t="inlineStr">
        <is>
          <t>FINSPÅNG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15824-2022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44664</v>
      </c>
      <c r="E780" s="1" t="n">
        <v>46324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43528-2026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46315</v>
      </c>
      <c r="E781" s="1" t="n">
        <v>46324</v>
      </c>
      <c r="F781" t="inlineStr">
        <is>
          <t>ÖSTERGÖTLANDS LÄN</t>
        </is>
      </c>
      <c r="G781" t="inlineStr">
        <is>
          <t>FINSPÅNG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14565-2023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45013</v>
      </c>
      <c r="E782" s="1" t="n">
        <v>46324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43800-2026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46316</v>
      </c>
      <c r="E783" s="1" t="n">
        <v>46324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Sveaskog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43805-2026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46316</v>
      </c>
      <c r="E784" s="1" t="n">
        <v>46324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Sveaskog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45247-2022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44844</v>
      </c>
      <c r="E785" s="1" t="n">
        <v>46324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62158-2022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44922</v>
      </c>
      <c r="E786" s="1" t="n">
        <v>46324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46324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22586-2023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45071</v>
      </c>
      <c r="E788" s="1" t="n">
        <v>46324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11950-2023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44995</v>
      </c>
      <c r="E789" s="1" t="n">
        <v>46324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3107-2023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44946</v>
      </c>
      <c r="E790" s="1" t="n">
        <v>46324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58984-2022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44903</v>
      </c>
      <c r="E791" s="1" t="n">
        <v>46324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3096-2023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44946</v>
      </c>
      <c r="E792" s="1" t="n">
        <v>46324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23350-2023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45076</v>
      </c>
      <c r="E793" s="1" t="n">
        <v>46324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14560-2023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45013</v>
      </c>
      <c r="E794" s="1" t="n">
        <v>46324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2650-2023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44944</v>
      </c>
      <c r="E795" s="1" t="n">
        <v>46324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39205-2022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44817</v>
      </c>
      <c r="E796" s="1" t="n">
        <v>46324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38613-2022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44813</v>
      </c>
      <c r="E797" s="1" t="n">
        <v>46324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14241-2023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45009</v>
      </c>
      <c r="E798" s="1" t="n">
        <v>46324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58011-2023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45247</v>
      </c>
      <c r="E799" s="1" t="n">
        <v>46324</v>
      </c>
      <c r="F799" t="inlineStr">
        <is>
          <t>ÖSTERGÖTLANDS LÄN</t>
        </is>
      </c>
      <c r="G799" t="inlineStr">
        <is>
          <t>FINSPÅNG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28020-2023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45095</v>
      </c>
      <c r="E800" s="1" t="n">
        <v>46324</v>
      </c>
      <c r="F800" t="inlineStr">
        <is>
          <t>ÖSTERGÖTLANDS LÄN</t>
        </is>
      </c>
      <c r="G800" t="inlineStr">
        <is>
          <t>FINSPÅNG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7884-2023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44973</v>
      </c>
      <c r="E801" s="1" t="n">
        <v>46324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11974-2023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44995</v>
      </c>
      <c r="E802" s="1" t="n">
        <v>46324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14022-2023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45008</v>
      </c>
      <c r="E803" s="1" t="n">
        <v>46324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13084-2023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45002</v>
      </c>
      <c r="E804" s="1" t="n">
        <v>46324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9418-2023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44981</v>
      </c>
      <c r="E805" s="1" t="n">
        <v>46324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6527-2023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44966</v>
      </c>
      <c r="E806" s="1" t="n">
        <v>46324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9378-2023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44981</v>
      </c>
      <c r="E807" s="1" t="n">
        <v>46324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43796-2026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46316</v>
      </c>
      <c r="E808" s="1" t="n">
        <v>46324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Sveaskog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29798-2022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44755</v>
      </c>
      <c r="E809" s="1" t="n">
        <v>46324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36573-2022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44804</v>
      </c>
      <c r="E810" s="1" t="n">
        <v>46324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43807-2026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46316</v>
      </c>
      <c r="E811" s="1" t="n">
        <v>46324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Sveaskog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34001-2024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45523</v>
      </c>
      <c r="E812" s="1" t="n">
        <v>46324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30921-2022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44767</v>
      </c>
      <c r="E813" s="1" t="n">
        <v>46324</v>
      </c>
      <c r="F813" t="inlineStr">
        <is>
          <t>ÖSTERGÖTLANDS LÄN</t>
        </is>
      </c>
      <c r="G813" t="inlineStr">
        <is>
          <t>FINSPÅNG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44964</v>
      </c>
      <c r="E814" s="1" t="n">
        <v>46324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30271-2022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44759</v>
      </c>
      <c r="E815" s="1" t="n">
        <v>46324</v>
      </c>
      <c r="F815" t="inlineStr">
        <is>
          <t>ÖSTERGÖTLANDS LÄN</t>
        </is>
      </c>
      <c r="G815" t="inlineStr">
        <is>
          <t>FINSPÅNG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34417-2025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46324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31151-2026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46209</v>
      </c>
      <c r="E817" s="1" t="n">
        <v>46324</v>
      </c>
      <c r="F817" t="inlineStr">
        <is>
          <t>ÖSTERGÖTLANDS LÄN</t>
        </is>
      </c>
      <c r="G817" t="inlineStr">
        <is>
          <t>FINSPÅNG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60169-2023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45258</v>
      </c>
      <c r="E818" s="1" t="n">
        <v>46324</v>
      </c>
      <c r="F818" t="inlineStr">
        <is>
          <t>ÖSTERGÖTLANDS LÄN</t>
        </is>
      </c>
      <c r="G818" t="inlineStr">
        <is>
          <t>FINSPÅNG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9554-2022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44617</v>
      </c>
      <c r="E819" s="1" t="n">
        <v>46324</v>
      </c>
      <c r="F819" t="inlineStr">
        <is>
          <t>ÖSTERGÖTLANDS LÄN</t>
        </is>
      </c>
      <c r="G819" t="inlineStr">
        <is>
          <t>FINSPÅNG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18445-2023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45042</v>
      </c>
      <c r="E820" s="1" t="n">
        <v>46324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1628-2023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44937</v>
      </c>
      <c r="E821" s="1" t="n">
        <v>46324</v>
      </c>
      <c r="F821" t="inlineStr">
        <is>
          <t>ÖSTERGÖTLANDS LÄN</t>
        </is>
      </c>
      <c r="G821" t="inlineStr">
        <is>
          <t>FINSPÅNG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8438-2025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45709</v>
      </c>
      <c r="E822" s="1" t="n">
        <v>46324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11541-2023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44993</v>
      </c>
      <c r="E823" s="1" t="n">
        <v>46324</v>
      </c>
      <c r="F823" t="inlineStr">
        <is>
          <t>ÖSTERGÖTLANDS LÄN</t>
        </is>
      </c>
      <c r="G823" t="inlineStr">
        <is>
          <t>FINSPÅNG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27699-2023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45095</v>
      </c>
      <c r="E824" s="1" t="n">
        <v>46324</v>
      </c>
      <c r="F824" t="inlineStr">
        <is>
          <t>ÖSTERGÖTLANDS LÄN</t>
        </is>
      </c>
      <c r="G824" t="inlineStr">
        <is>
          <t>FINSPÅNG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38625-2026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46281</v>
      </c>
      <c r="E825" s="1" t="n">
        <v>46324</v>
      </c>
      <c r="F825" t="inlineStr">
        <is>
          <t>ÖSTERGÖTLANDS LÄN</t>
        </is>
      </c>
      <c r="G825" t="inlineStr">
        <is>
          <t>FINSPÅNG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37788-2026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46279</v>
      </c>
      <c r="E826" s="1" t="n">
        <v>46324</v>
      </c>
      <c r="F826" t="inlineStr">
        <is>
          <t>ÖSTERGÖTLANDS LÄN</t>
        </is>
      </c>
      <c r="G826" t="inlineStr">
        <is>
          <t>FINSPÅNG</t>
        </is>
      </c>
      <c r="I826" t="n">
        <v>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37804-2026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46279</v>
      </c>
      <c r="E827" s="1" t="n">
        <v>46324</v>
      </c>
      <c r="F827" t="inlineStr">
        <is>
          <t>ÖSTERGÖTLANDS LÄN</t>
        </is>
      </c>
      <c r="G827" t="inlineStr">
        <is>
          <t>FINSPÅNG</t>
        </is>
      </c>
      <c r="I827" t="n">
        <v>9.4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44564</v>
      </c>
      <c r="E828" s="1" t="n">
        <v>46324</v>
      </c>
      <c r="F828" t="inlineStr">
        <is>
          <t>ÖSTERGÖTLANDS LÄN</t>
        </is>
      </c>
      <c r="G828" t="inlineStr">
        <is>
          <t>FINSPÅNG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52007-2024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45607</v>
      </c>
      <c r="E829" s="1" t="n">
        <v>46324</v>
      </c>
      <c r="F829" t="inlineStr">
        <is>
          <t>ÖSTERGÖTLANDS LÄN</t>
        </is>
      </c>
      <c r="G829" t="inlineStr">
        <is>
          <t>FINSPÅNG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52008-2024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45607</v>
      </c>
      <c r="E830" s="1" t="n">
        <v>46324</v>
      </c>
      <c r="F830" t="inlineStr">
        <is>
          <t>ÖSTERGÖTLANDS LÄN</t>
        </is>
      </c>
      <c r="G830" t="inlineStr">
        <is>
          <t>FINSPÅNG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52557-2024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45609</v>
      </c>
      <c r="E831" s="1" t="n">
        <v>46324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735-2025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45665</v>
      </c>
      <c r="E832" s="1" t="n">
        <v>46324</v>
      </c>
      <c r="F832" t="inlineStr">
        <is>
          <t>ÖSTERGÖTLANDS LÄN</t>
        </is>
      </c>
      <c r="G832" t="inlineStr">
        <is>
          <t>FINSPÅNG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39415-2024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45551</v>
      </c>
      <c r="E833" s="1" t="n">
        <v>46324</v>
      </c>
      <c r="F833" t="inlineStr">
        <is>
          <t>ÖSTERGÖTLANDS LÄN</t>
        </is>
      </c>
      <c r="G833" t="inlineStr">
        <is>
          <t>FINSPÅNG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31323-2022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44774</v>
      </c>
      <c r="E834" s="1" t="n">
        <v>46324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15140-2025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45744</v>
      </c>
      <c r="E835" s="1" t="n">
        <v>46324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Naturvårdsverket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44541-2026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46321</v>
      </c>
      <c r="E836" s="1" t="n">
        <v>46324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Naturvårdsverket</t>
        </is>
      </c>
      <c r="I836" t="n">
        <v>5.4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44971-2026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46323</v>
      </c>
      <c r="E837" s="1" t="n">
        <v>46324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Övriga Aktiebolag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37814-2026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46279</v>
      </c>
      <c r="E838" s="1" t="n">
        <v>46324</v>
      </c>
      <c r="F838" t="inlineStr">
        <is>
          <t>ÖSTERGÖTLANDS LÄN</t>
        </is>
      </c>
      <c r="G838" t="inlineStr">
        <is>
          <t>FINSPÅNG</t>
        </is>
      </c>
      <c r="I838" t="n">
        <v>4.4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4753-2025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45688</v>
      </c>
      <c r="E839" s="1" t="n">
        <v>46324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19263-2024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45428</v>
      </c>
      <c r="E840" s="1" t="n">
        <v>46324</v>
      </c>
      <c r="F840" t="inlineStr">
        <is>
          <t>ÖSTERGÖTLANDS LÄN</t>
        </is>
      </c>
      <c r="G840" t="inlineStr">
        <is>
          <t>FINSPÅNG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15097-2025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45744</v>
      </c>
      <c r="E841" s="1" t="n">
        <v>46324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5129-2024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45644</v>
      </c>
      <c r="E842" s="1" t="n">
        <v>46324</v>
      </c>
      <c r="F842" t="inlineStr">
        <is>
          <t>ÖSTERGÖTLANDS LÄN</t>
        </is>
      </c>
      <c r="G842" t="inlineStr">
        <is>
          <t>FINSPÅNG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1605-2024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45428</v>
      </c>
      <c r="E843" s="1" t="n">
        <v>46324</v>
      </c>
      <c r="F843" t="inlineStr">
        <is>
          <t>ÖSTERGÖTLANDS LÄN</t>
        </is>
      </c>
      <c r="G843" t="inlineStr">
        <is>
          <t>FINSPÅNG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1637-2024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45429</v>
      </c>
      <c r="E844" s="1" t="n">
        <v>46324</v>
      </c>
      <c r="F844" t="inlineStr">
        <is>
          <t>ÖSTERGÖTLANDS LÄN</t>
        </is>
      </c>
      <c r="G844" t="inlineStr">
        <is>
          <t>FINSPÅNG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4163-2023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45250</v>
      </c>
      <c r="E845" s="1" t="n">
        <v>46324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Sveaskog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1759-2026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46188</v>
      </c>
      <c r="E846" s="1" t="n">
        <v>46324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Övriga Aktiebolag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2208-2026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46258</v>
      </c>
      <c r="E847" s="1" t="n">
        <v>46324</v>
      </c>
      <c r="F847" t="inlineStr">
        <is>
          <t>ÖSTERGÖTLANDS LÄN</t>
        </is>
      </c>
      <c r="G847" t="inlineStr">
        <is>
          <t>FINSPÅNG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2026-10-29T03:13:54Z</dcterms:created>
  <dcterms:modified xmlns:dcterms="http://purl.org/dc/terms/" xmlns:xsi="http://www.w3.org/2001/XMLSchema-instance" xsi:type="dcterms:W3CDTF">2026-10-29T03:13:55Z</dcterms:modified>
</cp:coreProperties>
</file>