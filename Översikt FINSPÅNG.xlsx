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46296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46296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46296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46296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46296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46296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46296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10676-2022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44624</v>
      </c>
      <c r="E13" s="1" t="n">
        <v>46296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4.5</v>
      </c>
      <c r="J13" t="n">
        <v>0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Dvärgbägarlav
Kolflarnlav
Slåtterfibbla
Tallticka
Grovticka
Mindre märgborre
Vanlig flatbagge</t>
        </is>
      </c>
      <c r="W13">
        <f>HYPERLINK("https://klasma.github.io/Logging_0562/artfynd/A 10676-2022 artfynd.xlsx", "A 10676-2022")</f>
        <v/>
      </c>
      <c r="X13">
        <f>HYPERLINK("https://klasma.github.io/Logging_0562/kartor/A 10676-2022 karta.png", "A 10676-2022")</f>
        <v/>
      </c>
      <c r="Y13">
        <f>HYPERLINK("https://klasma.github.io/Logging_0562/kartor_geotiff/A 10676-2022 georefererad karta.tif", "A 10676-2022")</f>
        <v/>
      </c>
      <c r="AA13">
        <f>HYPERLINK("https://klasma.github.io/Logging_0562/klagomål/A 10676-2022 FSC-klagomål.docx", "A 10676-2022")</f>
        <v/>
      </c>
      <c r="AB13">
        <f>HYPERLINK("https://klasma.github.io/Logging_0562/klagomålsmail/A 10676-2022 FSC-klagomål mail.docx", "A 10676-2022")</f>
        <v/>
      </c>
      <c r="AC13">
        <f>HYPERLINK("https://klasma.github.io/Logging_0562/tillsyn/A 10676-2022 tillsynsbegäran.docx", "A 10676-2022")</f>
        <v/>
      </c>
      <c r="AD13">
        <f>HYPERLINK("https://klasma.github.io/Logging_0562/tillsynsmail/A 10676-2022 tillsynsbegäran mail.docx", "A 10676-2022")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46296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46296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46296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46296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46296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46296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46296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46296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46296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46296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31393-2022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44774</v>
      </c>
      <c r="E26" s="1" t="n">
        <v>46296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0.4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Gullpudra
Tibast
Vätteros</t>
        </is>
      </c>
      <c r="W26">
        <f>HYPERLINK("https://klasma.github.io/Logging_0562/artfynd/A 31393-2022 artfynd.xlsx", "A 31393-2022")</f>
        <v/>
      </c>
      <c r="X26">
        <f>HYPERLINK("https://klasma.github.io/Logging_0562/kartor/A 31393-2022 karta.png", "A 31393-2022")</f>
        <v/>
      </c>
      <c r="Y26">
        <f>HYPERLINK("https://klasma.github.io/Logging_0562/kartor_geotiff/A 31393-2022 georefererad karta.tif", "A 31393-2022")</f>
        <v/>
      </c>
      <c r="AA26">
        <f>HYPERLINK("https://klasma.github.io/Logging_0562/klagomål/A 31393-2022 FSC-klagomål.docx", "A 31393-2022")</f>
        <v/>
      </c>
      <c r="AB26">
        <f>HYPERLINK("https://klasma.github.io/Logging_0562/klagomålsmail/A 31393-2022 FSC-klagomål mail.docx", "A 31393-2022")</f>
        <v/>
      </c>
      <c r="AC26">
        <f>HYPERLINK("https://klasma.github.io/Logging_0562/tillsyn/A 31393-2022 tillsynsbegäran.docx", "A 31393-2022")</f>
        <v/>
      </c>
      <c r="AD26">
        <f>HYPERLINK("https://klasma.github.io/Logging_0562/tillsynsmail/A 31393-2022 tillsynsbegäran mail.docx", "A 31393-2022")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46296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28464-2025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45819</v>
      </c>
      <c r="E28" s="1" t="n">
        <v>46296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1.8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7</v>
      </c>
      <c r="U28" t="n">
        <v>7</v>
      </c>
      <c r="V28" s="2" t="inlineStr">
        <is>
          <t>Dropptaggsvamp
Tallticka
Spillkråka</t>
        </is>
      </c>
      <c r="W28">
        <f>HYPERLINK("https://klasma.github.io/Logging_0562/artfynd/A 28464-2025 artfynd.xlsx", "A 28464-2025")</f>
        <v/>
      </c>
      <c r="X28">
        <f>HYPERLINK("https://klasma.github.io/Logging_0562/kartor/A 28464-2025 karta.png", "A 28464-2025")</f>
        <v/>
      </c>
      <c r="Y28">
        <f>HYPERLINK("https://klasma.github.io/Logging_0562/kartor_geotiff/A 28464-2025 georefererad karta.tif", "A 28464-2025")</f>
        <v/>
      </c>
      <c r="AA28">
        <f>HYPERLINK("https://klasma.github.io/Logging_0562/klagomål/A 28464-2025 FSC-klagomål.docx", "A 28464-2025")</f>
        <v/>
      </c>
      <c r="AB28">
        <f>HYPERLINK("https://klasma.github.io/Logging_0562/klagomålsmail/A 28464-2025 FSC-klagomål mail.docx", "A 28464-2025")</f>
        <v/>
      </c>
      <c r="AC28">
        <f>HYPERLINK("https://klasma.github.io/Logging_0562/tillsyn/A 28464-2025 tillsynsbegäran.docx", "A 28464-2025")</f>
        <v/>
      </c>
      <c r="AD28">
        <f>HYPERLINK("https://klasma.github.io/Logging_0562/tillsynsmail/A 28464-2025 tillsynsbegäran mail.docx", "A 28464-2025")</f>
        <v/>
      </c>
      <c r="AE28">
        <f>HYPERLINK("https://klasma.github.io/Logging_0562/fåglar/A 28464-2025 prioriterade fågelarter.docx", "A 28464-2025")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46296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28395-2024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45477</v>
      </c>
      <c r="E32" s="1" t="n">
        <v>46296</v>
      </c>
      <c r="F32" t="inlineStr">
        <is>
          <t>ÖSTERGÖTLANDS LÄN</t>
        </is>
      </c>
      <c r="G32" t="inlineStr">
        <is>
          <t>FINSPÅNG</t>
        </is>
      </c>
      <c r="H32" t="inlineStr">
        <is>
          <t>Naturvårdsverket</t>
        </is>
      </c>
      <c r="I32" t="n">
        <v>0.6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Fläcknycklar</t>
        </is>
      </c>
      <c r="W32">
        <f>HYPERLINK("https://klasma.github.io/Logging_0562/artfynd/A 28395-2024 artfynd.xlsx", "A 28395-2024")</f>
        <v/>
      </c>
      <c r="X32">
        <f>HYPERLINK("https://klasma.github.io/Logging_0562/kartor/A 28395-2024 karta.png", "A 28395-2024")</f>
        <v/>
      </c>
      <c r="Y32">
        <f>HYPERLINK("https://klasma.github.io/Logging_0562/kartor_geotiff/A 28395-2024 georefererad karta.tif", "A 28395-2024")</f>
        <v/>
      </c>
      <c r="AA32">
        <f>HYPERLINK("https://klasma.github.io/Logging_0562/klagomål/A 28395-2024 FSC-klagomål.docx", "A 28395-2024")</f>
        <v/>
      </c>
      <c r="AB32">
        <f>HYPERLINK("https://klasma.github.io/Logging_0562/klagomålsmail/A 28395-2024 FSC-klagomål mail.docx", "A 28395-2024")</f>
        <v/>
      </c>
      <c r="AC32">
        <f>HYPERLINK("https://klasma.github.io/Logging_0562/tillsyn/A 28395-2024 tillsynsbegäran.docx", "A 28395-2024")</f>
        <v/>
      </c>
      <c r="AD32">
        <f>HYPERLINK("https://klasma.github.io/Logging_0562/tillsynsmail/A 28395-2024 tillsynsbegäran mail.docx", "A 28395-2024")</f>
        <v/>
      </c>
      <c r="AE32">
        <f>HYPERLINK("https://klasma.github.io/Logging_0562/fåglar/A 28395-2024 prioriterade fågelarter.docx", "A 28395-2024")</f>
        <v/>
      </c>
    </row>
    <row r="33" ht="15" customHeight="1">
      <c r="A33" t="inlineStr">
        <is>
          <t>A 21566-2024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46296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Blompraktbagge</t>
        </is>
      </c>
      <c r="W33">
        <f>HYPERLINK("https://klasma.github.io/Logging_0562/artfynd/A 21566-2024 artfynd.xlsx", "A 21566-2024")</f>
        <v/>
      </c>
      <c r="X33">
        <f>HYPERLINK("https://klasma.github.io/Logging_0562/kartor/A 21566-2024 karta.png", "A 21566-2024")</f>
        <v/>
      </c>
      <c r="Y33">
        <f>HYPERLINK("https://klasma.github.io/Logging_0562/kartor_geotiff/A 21566-2024 georefererad karta.tif", "A 21566-2024")</f>
        <v/>
      </c>
      <c r="AA33">
        <f>HYPERLINK("https://klasma.github.io/Logging_0562/klagomål/A 21566-2024 FSC-klagomål.docx", "A 21566-2024")</f>
        <v/>
      </c>
      <c r="AB33">
        <f>HYPERLINK("https://klasma.github.io/Logging_0562/klagomålsmail/A 21566-2024 FSC-klagomål mail.docx", "A 21566-2024")</f>
        <v/>
      </c>
      <c r="AC33">
        <f>HYPERLINK("https://klasma.github.io/Logging_0562/tillsyn/A 21566-2024 tillsynsbegäran.docx", "A 21566-2024")</f>
        <v/>
      </c>
      <c r="AD33">
        <f>HYPERLINK("https://klasma.github.io/Logging_0562/tillsynsmail/A 21566-2024 tillsynsbegäran mail.docx", "A 21566-2024")</f>
        <v/>
      </c>
    </row>
    <row r="34" ht="15" customHeight="1">
      <c r="A34" t="inlineStr">
        <is>
          <t>A 58806-2022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44903</v>
      </c>
      <c r="E34" s="1" t="n">
        <v>46296</v>
      </c>
      <c r="F34" t="inlineStr">
        <is>
          <t>ÖSTERGÖTLANDS LÄN</t>
        </is>
      </c>
      <c r="G34" t="inlineStr">
        <is>
          <t>FINSPÅNG</t>
        </is>
      </c>
      <c r="I34" t="n">
        <v>3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Flagellkvastmossa</t>
        </is>
      </c>
      <c r="W34">
        <f>HYPERLINK("https://klasma.github.io/Logging_0562/artfynd/A 58806-2022 artfynd.xlsx", "A 58806-2022")</f>
        <v/>
      </c>
      <c r="X34">
        <f>HYPERLINK("https://klasma.github.io/Logging_0562/kartor/A 58806-2022 karta.png", "A 58806-2022")</f>
        <v/>
      </c>
      <c r="Y34">
        <f>HYPERLINK("https://klasma.github.io/Logging_0562/kartor_geotiff/A 58806-2022 georefererad karta.tif", "A 58806-2022")</f>
        <v/>
      </c>
      <c r="Z34">
        <f>HYPERLINK("https://klasma.github.io/Logging_0562/knärot/A 58806-2022 karta knärot.png", "A 58806-2022")</f>
        <v/>
      </c>
      <c r="AA34">
        <f>HYPERLINK("https://klasma.github.io/Logging_0562/klagomål/A 58806-2022 FSC-klagomål.docx", "A 58806-2022")</f>
        <v/>
      </c>
      <c r="AB34">
        <f>HYPERLINK("https://klasma.github.io/Logging_0562/klagomålsmail/A 58806-2022 FSC-klagomål mail.docx", "A 58806-2022")</f>
        <v/>
      </c>
      <c r="AC34">
        <f>HYPERLINK("https://klasma.github.io/Logging_0562/tillsyn/A 58806-2022 tillsynsbegäran.docx", "A 58806-2022")</f>
        <v/>
      </c>
      <c r="AD34">
        <f>HYPERLINK("https://klasma.github.io/Logging_0562/tillsynsmail/A 58806-2022 tillsynsbegäran mail.docx", "A 58806-2022")</f>
        <v/>
      </c>
    </row>
    <row r="35" ht="15" customHeight="1">
      <c r="A35" t="inlineStr">
        <is>
          <t>A 18462-2024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45425</v>
      </c>
      <c r="E35" s="1" t="n">
        <v>46296</v>
      </c>
      <c r="F35" t="inlineStr">
        <is>
          <t>ÖSTERGÖTLANDS LÄN</t>
        </is>
      </c>
      <c r="G35" t="inlineStr">
        <is>
          <t>FINSPÅNG</t>
        </is>
      </c>
      <c r="I35" t="n">
        <v>6.1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Mosippa
Gullklöver</t>
        </is>
      </c>
      <c r="W35">
        <f>HYPERLINK("https://klasma.github.io/Logging_0562/artfynd/A 18462-2024 artfynd.xlsx", "A 18462-2024")</f>
        <v/>
      </c>
      <c r="X35">
        <f>HYPERLINK("https://klasma.github.io/Logging_0562/kartor/A 18462-2024 karta.png", "A 18462-2024")</f>
        <v/>
      </c>
      <c r="Y35">
        <f>HYPERLINK("https://klasma.github.io/Logging_0562/kartor_geotiff/A 18462-2024 georefererad karta.tif", "A 18462-2024")</f>
        <v/>
      </c>
      <c r="AA35">
        <f>HYPERLINK("https://klasma.github.io/Logging_0562/klagomål/A 18462-2024 FSC-klagomål.docx", "A 18462-2024")</f>
        <v/>
      </c>
      <c r="AB35">
        <f>HYPERLINK("https://klasma.github.io/Logging_0562/klagomålsmail/A 18462-2024 FSC-klagomål mail.docx", "A 18462-2024")</f>
        <v/>
      </c>
      <c r="AC35">
        <f>HYPERLINK("https://klasma.github.io/Logging_0562/tillsyn/A 18462-2024 tillsynsbegäran.docx", "A 18462-2024")</f>
        <v/>
      </c>
      <c r="AD35">
        <f>HYPERLINK("https://klasma.github.io/Logging_0562/tillsynsmail/A 18462-2024 tillsynsbegäran mail.docx", "A 18462-2024")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46296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HYPERLINK("https://klasma.github.io/Logging_0562/artfynd/A 60890-2024 artfynd.xlsx", "A 60890-2024")</f>
        <v/>
      </c>
      <c r="X36">
        <f>HYPERLINK("https://klasma.github.io/Logging_0562/kartor/A 60890-2024 karta.png", "A 60890-2024")</f>
        <v/>
      </c>
      <c r="Y36">
        <f>HYPERLINK("https://klasma.github.io/Logging_0562/kartor_geotiff/A 60890-2024 georefererad karta.tif", "A 60890-2024")</f>
        <v/>
      </c>
      <c r="AA36">
        <f>HYPERLINK("https://klasma.github.io/Logging_0562/klagomål/A 60890-2024 FSC-klagomål.docx", "A 60890-2024")</f>
        <v/>
      </c>
      <c r="AB36">
        <f>HYPERLINK("https://klasma.github.io/Logging_0562/klagomålsmail/A 60890-2024 FSC-klagomål mail.docx", "A 60890-2024")</f>
        <v/>
      </c>
      <c r="AC36">
        <f>HYPERLINK("https://klasma.github.io/Logging_0562/tillsyn/A 60890-2024 tillsynsbegäran.docx", "A 60890-2024")</f>
        <v/>
      </c>
      <c r="AD36">
        <f>HYPERLINK("https://klasma.github.io/Logging_0562/tillsynsmail/A 60890-2024 tillsynsbegäran mail.docx", "A 60890-2024")</f>
        <v/>
      </c>
    </row>
    <row r="37" ht="15" customHeight="1">
      <c r="A37" t="inlineStr">
        <is>
          <t>A 54654-2023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45235</v>
      </c>
      <c r="E37" s="1" t="n">
        <v>46296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Bronshjon</t>
        </is>
      </c>
      <c r="W37">
        <f>HYPERLINK("https://klasma.github.io/Logging_0562/artfynd/A 54654-2023 artfynd.xlsx", "A 54654-2023")</f>
        <v/>
      </c>
      <c r="X37">
        <f>HYPERLINK("https://klasma.github.io/Logging_0562/kartor/A 54654-2023 karta.png", "A 54654-2023")</f>
        <v/>
      </c>
      <c r="Y37">
        <f>HYPERLINK("https://klasma.github.io/Logging_0562/kartor_geotiff/A 54654-2023 georefererad karta.tif", "A 54654-2023")</f>
        <v/>
      </c>
      <c r="AA37">
        <f>HYPERLINK("https://klasma.github.io/Logging_0562/klagomål/A 54654-2023 FSC-klagomål.docx", "A 54654-2023")</f>
        <v/>
      </c>
      <c r="AB37">
        <f>HYPERLINK("https://klasma.github.io/Logging_0562/klagomålsmail/A 54654-2023 FSC-klagomål mail.docx", "A 54654-2023")</f>
        <v/>
      </c>
      <c r="AC37">
        <f>HYPERLINK("https://klasma.github.io/Logging_0562/tillsyn/A 54654-2023 tillsynsbegäran.docx", "A 54654-2023")</f>
        <v/>
      </c>
      <c r="AD37">
        <f>HYPERLINK("https://klasma.github.io/Logging_0562/tillsynsmail/A 54654-2023 tillsynsbegäran mail.docx", "A 54654-2023")</f>
        <v/>
      </c>
    </row>
    <row r="38" ht="15" customHeight="1">
      <c r="A38" t="inlineStr">
        <is>
          <t>A 32570-2023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45121</v>
      </c>
      <c r="E38" s="1" t="n">
        <v>46296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7.7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Talltita
Havsörn</t>
        </is>
      </c>
      <c r="W38">
        <f>HYPERLINK("https://klasma.github.io/Logging_0562/artfynd/A 32570-2023 artfynd.xlsx", "A 32570-2023")</f>
        <v/>
      </c>
      <c r="X38">
        <f>HYPERLINK("https://klasma.github.io/Logging_0562/kartor/A 32570-2023 karta.png", "A 32570-2023")</f>
        <v/>
      </c>
      <c r="Y38">
        <f>HYPERLINK("https://klasma.github.io/Logging_0562/kartor_geotiff/A 32570-2023 georefererad karta.tif", "A 32570-2023")</f>
        <v/>
      </c>
      <c r="AA38">
        <f>HYPERLINK("https://klasma.github.io/Logging_0562/klagomål/A 32570-2023 FSC-klagomål.docx", "A 32570-2023")</f>
        <v/>
      </c>
      <c r="AB38">
        <f>HYPERLINK("https://klasma.github.io/Logging_0562/klagomålsmail/A 32570-2023 FSC-klagomål mail.docx", "A 32570-2023")</f>
        <v/>
      </c>
      <c r="AC38">
        <f>HYPERLINK("https://klasma.github.io/Logging_0562/tillsyn/A 32570-2023 tillsynsbegäran.docx", "A 32570-2023")</f>
        <v/>
      </c>
      <c r="AD38">
        <f>HYPERLINK("https://klasma.github.io/Logging_0562/tillsynsmail/A 32570-2023 tillsynsbegäran mail.docx", "A 32570-2023")</f>
        <v/>
      </c>
      <c r="AE38">
        <f>HYPERLINK("https://klasma.github.io/Logging_0562/fåglar/A 32570-2023 prioriterade fågelarter.docx", "A 32570-2023")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38963-2022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44816</v>
      </c>
      <c r="E40" s="1" t="n">
        <v>46296</v>
      </c>
      <c r="F40" t="inlineStr">
        <is>
          <t>ÖSTERGÖTLANDS LÄN</t>
        </is>
      </c>
      <c r="G40" t="inlineStr">
        <is>
          <t>FINSPÅNG</t>
        </is>
      </c>
      <c r="I40" t="n">
        <v>3.1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Gullklöver
Grönvit nattviol</t>
        </is>
      </c>
      <c r="W40">
        <f>HYPERLINK("https://klasma.github.io/Logging_0562/artfynd/A 38963-2022 artfynd.xlsx", "A 38963-2022")</f>
        <v/>
      </c>
      <c r="X40">
        <f>HYPERLINK("https://klasma.github.io/Logging_0562/kartor/A 38963-2022 karta.png", "A 38963-2022")</f>
        <v/>
      </c>
      <c r="Y40">
        <f>HYPERLINK("https://klasma.github.io/Logging_0562/kartor_geotiff/A 38963-2022 georefererad karta.tif", "A 38963-2022")</f>
        <v/>
      </c>
      <c r="AA40">
        <f>HYPERLINK("https://klasma.github.io/Logging_0562/klagomål/A 38963-2022 FSC-klagomål.docx", "A 38963-2022")</f>
        <v/>
      </c>
      <c r="AB40">
        <f>HYPERLINK("https://klasma.github.io/Logging_0562/klagomålsmail/A 38963-2022 FSC-klagomål mail.docx", "A 38963-2022")</f>
        <v/>
      </c>
      <c r="AC40">
        <f>HYPERLINK("https://klasma.github.io/Logging_0562/tillsyn/A 38963-2022 tillsynsbegäran.docx", "A 38963-2022")</f>
        <v/>
      </c>
      <c r="AD40">
        <f>HYPERLINK("https://klasma.github.io/Logging_0562/tillsynsmail/A 38963-2022 tillsynsbegäran mail.docx", "A 38963-2022")</f>
        <v/>
      </c>
    </row>
    <row r="41" ht="15" customHeight="1">
      <c r="A41" t="inlineStr">
        <is>
          <t>A 40002-2025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45894</v>
      </c>
      <c r="E41" s="1" t="n">
        <v>46296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2.4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Svartvit taggsvamp
Orre</t>
        </is>
      </c>
      <c r="W41">
        <f>HYPERLINK("https://klasma.github.io/Logging_0562/artfynd/A 40002-2025 artfynd.xlsx", "A 40002-2025")</f>
        <v/>
      </c>
      <c r="X41">
        <f>HYPERLINK("https://klasma.github.io/Logging_0562/kartor/A 40002-2025 karta.png", "A 40002-2025")</f>
        <v/>
      </c>
      <c r="Y41">
        <f>HYPERLINK("https://klasma.github.io/Logging_0562/kartor_geotiff/A 40002-2025 georefererad karta.tif", "A 40002-2025")</f>
        <v/>
      </c>
      <c r="AA41">
        <f>HYPERLINK("https://klasma.github.io/Logging_0562/klagomål/A 40002-2025 FSC-klagomål.docx", "A 40002-2025")</f>
        <v/>
      </c>
      <c r="AB41">
        <f>HYPERLINK("https://klasma.github.io/Logging_0562/klagomålsmail/A 40002-2025 FSC-klagomål mail.docx", "A 40002-2025")</f>
        <v/>
      </c>
      <c r="AC41">
        <f>HYPERLINK("https://klasma.github.io/Logging_0562/tillsyn/A 40002-2025 tillsynsbegäran.docx", "A 40002-2025")</f>
        <v/>
      </c>
      <c r="AD41">
        <f>HYPERLINK("https://klasma.github.io/Logging_0562/tillsynsmail/A 40002-2025 tillsynsbegäran mail.docx", "A 40002-2025")</f>
        <v/>
      </c>
      <c r="AE41">
        <f>HYPERLINK("https://klasma.github.io/Logging_0562/fåglar/A 40002-2025 prioriterade fågelarter.docx", "A 40002-2025")</f>
        <v/>
      </c>
    </row>
    <row r="42" ht="15" customHeight="1">
      <c r="A42" t="inlineStr">
        <is>
          <t>A 51549-2025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45950</v>
      </c>
      <c r="E42" s="1" t="n">
        <v>46296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Övriga Aktiebolag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Svedjenäva
Mattlummer</t>
        </is>
      </c>
      <c r="W42">
        <f>HYPERLINK("https://klasma.github.io/Logging_0562/artfynd/A 51549-2025 artfynd.xlsx", "A 51549-2025")</f>
        <v/>
      </c>
      <c r="X42">
        <f>HYPERLINK("https://klasma.github.io/Logging_0562/kartor/A 51549-2025 karta.png", "A 51549-2025")</f>
        <v/>
      </c>
      <c r="Y42">
        <f>HYPERLINK("https://klasma.github.io/Logging_0562/kartor_geotiff/A 51549-2025 georefererad karta.tif", "A 51549-2025")</f>
        <v/>
      </c>
      <c r="AA42">
        <f>HYPERLINK("https://klasma.github.io/Logging_0562/klagomål/A 51549-2025 FSC-klagomål.docx", "A 51549-2025")</f>
        <v/>
      </c>
      <c r="AB42">
        <f>HYPERLINK("https://klasma.github.io/Logging_0562/klagomålsmail/A 51549-2025 FSC-klagomål mail.docx", "A 51549-2025")</f>
        <v/>
      </c>
      <c r="AC42">
        <f>HYPERLINK("https://klasma.github.io/Logging_0562/tillsyn/A 51549-2025 tillsynsbegäran.docx", "A 51549-2025")</f>
        <v/>
      </c>
      <c r="AD42">
        <f>HYPERLINK("https://klasma.github.io/Logging_0562/tillsynsmail/A 51549-2025 tillsynsbegäran mail.docx", "A 51549-2025")</f>
        <v/>
      </c>
    </row>
    <row r="43" ht="15" customHeight="1">
      <c r="A43" t="inlineStr">
        <is>
          <t>A 42388-2025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46296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Skarp dropptaggsvamp
Stor aspticka</t>
        </is>
      </c>
      <c r="W43">
        <f>HYPERLINK("https://klasma.github.io/Logging_0562/artfynd/A 42388-2025 artfynd.xlsx", "A 42388-2025")</f>
        <v/>
      </c>
      <c r="X43">
        <f>HYPERLINK("https://klasma.github.io/Logging_0562/kartor/A 42388-2025 karta.png", "A 42388-2025")</f>
        <v/>
      </c>
      <c r="Y43">
        <f>HYPERLINK("https://klasma.github.io/Logging_0562/kartor_geotiff/A 42388-2025 georefererad karta.tif", "A 42388-2025")</f>
        <v/>
      </c>
      <c r="AA43">
        <f>HYPERLINK("https://klasma.github.io/Logging_0562/klagomål/A 42388-2025 FSC-klagomål.docx", "A 42388-2025")</f>
        <v/>
      </c>
      <c r="AB43">
        <f>HYPERLINK("https://klasma.github.io/Logging_0562/klagomålsmail/A 42388-2025 FSC-klagomål mail.docx", "A 42388-2025")</f>
        <v/>
      </c>
      <c r="AC43">
        <f>HYPERLINK("https://klasma.github.io/Logging_0562/tillsyn/A 42388-2025 tillsynsbegäran.docx", "A 42388-2025")</f>
        <v/>
      </c>
      <c r="AD43">
        <f>HYPERLINK("https://klasma.github.io/Logging_0562/tillsynsmail/A 42388-2025 tillsynsbegäran mail.docx", "A 42388-2025")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46296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Backruta
Fläcknycklar</t>
        </is>
      </c>
      <c r="W44">
        <f>HYPERLINK("https://klasma.github.io/Logging_0562/artfynd/A 24834-2026 artfynd.xlsx", "A 24834-2026")</f>
        <v/>
      </c>
      <c r="X44">
        <f>HYPERLINK("https://klasma.github.io/Logging_0562/kartor/A 24834-2026 karta.png", "A 24834-2026")</f>
        <v/>
      </c>
      <c r="Y44">
        <f>HYPERLINK("https://klasma.github.io/Logging_0562/kartor_geotiff/A 24834-2026 georefererad karta.tif", "A 24834-2026")</f>
        <v/>
      </c>
      <c r="AA44">
        <f>HYPERLINK("https://klasma.github.io/Logging_0562/klagomål/A 24834-2026 FSC-klagomål.docx", "A 24834-2026")</f>
        <v/>
      </c>
      <c r="AB44">
        <f>HYPERLINK("https://klasma.github.io/Logging_0562/klagomålsmail/A 24834-2026 FSC-klagomål mail.docx", "A 24834-2026")</f>
        <v/>
      </c>
      <c r="AC44">
        <f>HYPERLINK("https://klasma.github.io/Logging_0562/tillsyn/A 24834-2026 tillsynsbegäran.docx", "A 24834-2026")</f>
        <v/>
      </c>
      <c r="AD44">
        <f>HYPERLINK("https://klasma.github.io/Logging_0562/tillsynsmail/A 24834-2026 tillsynsbegäran mail.docx", "A 24834-2026")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46296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46296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59061-2024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45636</v>
      </c>
      <c r="E52" s="1" t="n">
        <v>46296</v>
      </c>
      <c r="F52" t="inlineStr">
        <is>
          <t>ÖSTERGÖTLANDS LÄN</t>
        </is>
      </c>
      <c r="G52" t="inlineStr">
        <is>
          <t>FINSPÅNG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HYPERLINK("https://klasma.github.io/Logging_0562/artfynd/A 59061-2024 artfynd.xlsx", "A 59061-2024")</f>
        <v/>
      </c>
      <c r="X52">
        <f>HYPERLINK("https://klasma.github.io/Logging_0562/kartor/A 59061-2024 karta.png", "A 59061-2024")</f>
        <v/>
      </c>
      <c r="Y52">
        <f>HYPERLINK("https://klasma.github.io/Logging_0562/kartor_geotiff/A 59061-2024 georefererad karta.tif", "A 59061-2024")</f>
        <v/>
      </c>
      <c r="AA52">
        <f>HYPERLINK("https://klasma.github.io/Logging_0562/klagomål/A 59061-2024 FSC-klagomål.docx", "A 59061-2024")</f>
        <v/>
      </c>
      <c r="AB52">
        <f>HYPERLINK("https://klasma.github.io/Logging_0562/klagomålsmail/A 59061-2024 FSC-klagomål mail.docx", "A 59061-2024")</f>
        <v/>
      </c>
      <c r="AC52">
        <f>HYPERLINK("https://klasma.github.io/Logging_0562/tillsyn/A 59061-2024 tillsynsbegäran.docx", "A 59061-2024")</f>
        <v/>
      </c>
      <c r="AD52">
        <f>HYPERLINK("https://klasma.github.io/Logging_0562/tillsynsmail/A 59061-2024 tillsynsbegäran mail.docx", "A 59061-2024")</f>
        <v/>
      </c>
    </row>
    <row r="53" ht="15" customHeight="1">
      <c r="A53" t="inlineStr">
        <is>
          <t>A 4644-2024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46296</v>
      </c>
      <c r="F53" t="inlineStr">
        <is>
          <t>ÖSTERGÖTLANDS LÄN</t>
        </is>
      </c>
      <c r="G53" t="inlineStr">
        <is>
          <t>FINSPÅNG</t>
        </is>
      </c>
      <c r="I53" t="n">
        <v>5.3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Kungsörn</t>
        </is>
      </c>
      <c r="W53">
        <f>HYPERLINK("https://klasma.github.io/Logging_0562/artfynd/A 4644-2024 artfynd.xlsx", "A 4644-2024")</f>
        <v/>
      </c>
      <c r="X53">
        <f>HYPERLINK("https://klasma.github.io/Logging_0562/kartor/A 4644-2024 karta.png", "A 4644-2024")</f>
        <v/>
      </c>
      <c r="Y53">
        <f>HYPERLINK("https://klasma.github.io/Logging_0562/kartor_geotiff/A 4644-2024 georefererad karta.tif", "A 4644-2024")</f>
        <v/>
      </c>
      <c r="AA53">
        <f>HYPERLINK("https://klasma.github.io/Logging_0562/klagomål/A 4644-2024 FSC-klagomål.docx", "A 4644-2024")</f>
        <v/>
      </c>
      <c r="AB53">
        <f>HYPERLINK("https://klasma.github.io/Logging_0562/klagomålsmail/A 4644-2024 FSC-klagomål mail.docx", "A 4644-2024")</f>
        <v/>
      </c>
      <c r="AC53">
        <f>HYPERLINK("https://klasma.github.io/Logging_0562/tillsyn/A 4644-2024 tillsynsbegäran.docx", "A 4644-2024")</f>
        <v/>
      </c>
      <c r="AD53">
        <f>HYPERLINK("https://klasma.github.io/Logging_0562/tillsynsmail/A 4644-2024 tillsynsbegäran mail.docx", "A 4644-2024")</f>
        <v/>
      </c>
      <c r="AE53">
        <f>HYPERLINK("https://klasma.github.io/Logging_0562/fåglar/A 4644-2024 prioriterade fågelarter.docx", "A 4644-2024")</f>
        <v/>
      </c>
    </row>
    <row r="54" ht="15" customHeight="1">
      <c r="A54" t="inlineStr">
        <is>
          <t>A 10203-2022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44622</v>
      </c>
      <c r="E54" s="1" t="n">
        <v>46296</v>
      </c>
      <c r="F54" t="inlineStr">
        <is>
          <t>ÖSTERGÖTLANDS LÄN</t>
        </is>
      </c>
      <c r="G54" t="inlineStr">
        <is>
          <t>FINSPÅNG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backsmörblomma</t>
        </is>
      </c>
      <c r="W54">
        <f>HYPERLINK("https://klasma.github.io/Logging_0562/artfynd/A 10203-2022 artfynd.xlsx", "A 10203-2022")</f>
        <v/>
      </c>
      <c r="X54">
        <f>HYPERLINK("https://klasma.github.io/Logging_0562/kartor/A 10203-2022 karta.png", "A 10203-2022")</f>
        <v/>
      </c>
      <c r="Y54">
        <f>HYPERLINK("https://klasma.github.io/Logging_0562/kartor_geotiff/A 10203-2022 georefererad karta.tif", "A 10203-2022")</f>
        <v/>
      </c>
      <c r="AA54">
        <f>HYPERLINK("https://klasma.github.io/Logging_0562/klagomål/A 10203-2022 FSC-klagomål.docx", "A 10203-2022")</f>
        <v/>
      </c>
      <c r="AB54">
        <f>HYPERLINK("https://klasma.github.io/Logging_0562/klagomålsmail/A 10203-2022 FSC-klagomål mail.docx", "A 10203-2022")</f>
        <v/>
      </c>
      <c r="AC54">
        <f>HYPERLINK("https://klasma.github.io/Logging_0562/tillsyn/A 10203-2022 tillsynsbegäran.docx", "A 10203-2022")</f>
        <v/>
      </c>
      <c r="AD54">
        <f>HYPERLINK("https://klasma.github.io/Logging_0562/tillsynsmail/A 10203-2022 tillsynsbegäran mail.docx", "A 10203-2022")</f>
        <v/>
      </c>
    </row>
    <row r="55" ht="15" customHeight="1">
      <c r="A55" t="inlineStr">
        <is>
          <t>A 11140-2023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46296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Grönvit nattviol</t>
        </is>
      </c>
      <c r="W55">
        <f>HYPERLINK("https://klasma.github.io/Logging_0562/artfynd/A 11140-2023 artfynd.xlsx", "A 11140-2023")</f>
        <v/>
      </c>
      <c r="X55">
        <f>HYPERLINK("https://klasma.github.io/Logging_0562/kartor/A 11140-2023 karta.png", "A 11140-2023")</f>
        <v/>
      </c>
      <c r="Y55">
        <f>HYPERLINK("https://klasma.github.io/Logging_0562/kartor_geotiff/A 11140-2023 georefererad karta.tif", "A 11140-2023")</f>
        <v/>
      </c>
      <c r="AA55">
        <f>HYPERLINK("https://klasma.github.io/Logging_0562/klagomål/A 11140-2023 FSC-klagomål.docx", "A 11140-2023")</f>
        <v/>
      </c>
      <c r="AB55">
        <f>HYPERLINK("https://klasma.github.io/Logging_0562/klagomålsmail/A 11140-2023 FSC-klagomål mail.docx", "A 11140-2023")</f>
        <v/>
      </c>
      <c r="AC55">
        <f>HYPERLINK("https://klasma.github.io/Logging_0562/tillsyn/A 11140-2023 tillsynsbegäran.docx", "A 11140-2023")</f>
        <v/>
      </c>
      <c r="AD55">
        <f>HYPERLINK("https://klasma.github.io/Logging_0562/tillsynsmail/A 11140-2023 tillsynsbegäran mail.docx", "A 11140-2023")</f>
        <v/>
      </c>
    </row>
    <row r="56" ht="15" customHeight="1">
      <c r="A56" t="inlineStr">
        <is>
          <t>A 6035-2022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46296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Naturvårdsverket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Bred kärrtrollslända</t>
        </is>
      </c>
      <c r="W56">
        <f>HYPERLINK("https://klasma.github.io/Logging_0562/artfynd/A 6035-2022 artfynd.xlsx", "A 6035-2022")</f>
        <v/>
      </c>
      <c r="X56">
        <f>HYPERLINK("https://klasma.github.io/Logging_0562/kartor/A 6035-2022 karta.png", "A 6035-2022")</f>
        <v/>
      </c>
      <c r="Y56">
        <f>HYPERLINK("https://klasma.github.io/Logging_0562/kartor_geotiff/A 6035-2022 georefererad karta.tif", "A 6035-2022")</f>
        <v/>
      </c>
      <c r="AA56">
        <f>HYPERLINK("https://klasma.github.io/Logging_0562/klagomål/A 6035-2022 FSC-klagomål.docx", "A 6035-2022")</f>
        <v/>
      </c>
      <c r="AB56">
        <f>HYPERLINK("https://klasma.github.io/Logging_0562/klagomålsmail/A 6035-2022 FSC-klagomål mail.docx", "A 6035-2022")</f>
        <v/>
      </c>
      <c r="AC56">
        <f>HYPERLINK("https://klasma.github.io/Logging_0562/tillsyn/A 6035-2022 tillsynsbegäran.docx", "A 6035-2022")</f>
        <v/>
      </c>
      <c r="AD56">
        <f>HYPERLINK("https://klasma.github.io/Logging_0562/tillsynsmail/A 6035-2022 tillsynsbegäran mail.docx", "A 6035-2022")</f>
        <v/>
      </c>
    </row>
    <row r="57" ht="15" customHeight="1">
      <c r="A57" t="inlineStr">
        <is>
          <t>A 42947-2024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46296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42947-2024 artfynd.xlsx", "A 42947-2024")</f>
        <v/>
      </c>
      <c r="X57">
        <f>HYPERLINK("https://klasma.github.io/Logging_0562/kartor/A 42947-2024 karta.png", "A 42947-2024")</f>
        <v/>
      </c>
      <c r="Y57">
        <f>HYPERLINK("https://klasma.github.io/Logging_0562/kartor_geotiff/A 42947-2024 georefererad karta.tif", "A 42947-2024")</f>
        <v/>
      </c>
      <c r="Z57">
        <f>HYPERLINK("https://klasma.github.io/Logging_0562/knärot/A 42947-2024 karta knärot.png", "A 42947-2024")</f>
        <v/>
      </c>
      <c r="AA57">
        <f>HYPERLINK("https://klasma.github.io/Logging_0562/klagomål/A 42947-2024 FSC-klagomål.docx", "A 42947-2024")</f>
        <v/>
      </c>
      <c r="AB57">
        <f>HYPERLINK("https://klasma.github.io/Logging_0562/klagomålsmail/A 42947-2024 FSC-klagomål mail.docx", "A 42947-2024")</f>
        <v/>
      </c>
      <c r="AC57">
        <f>HYPERLINK("https://klasma.github.io/Logging_0562/tillsyn/A 42947-2024 tillsynsbegäran.docx", "A 42947-2024")</f>
        <v/>
      </c>
      <c r="AD57">
        <f>HYPERLINK("https://klasma.github.io/Logging_0562/tillsynsmail/A 42947-2024 tillsynsbegäran mail.docx", "A 42947-2024")</f>
        <v/>
      </c>
    </row>
    <row r="58" ht="15" customHeight="1">
      <c r="A58" t="inlineStr">
        <is>
          <t>A 53673-2024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46296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HYPERLINK("https://klasma.github.io/Logging_0562/artfynd/A 53673-2024 artfynd.xlsx", "A 53673-2024")</f>
        <v/>
      </c>
      <c r="X58">
        <f>HYPERLINK("https://klasma.github.io/Logging_0562/kartor/A 53673-2024 karta.png", "A 53673-2024")</f>
        <v/>
      </c>
      <c r="Y58">
        <f>HYPERLINK("https://klasma.github.io/Logging_0562/kartor_geotiff/A 53673-2024 georefererad karta.tif", "A 53673-2024")</f>
        <v/>
      </c>
      <c r="Z58">
        <f>HYPERLINK("https://klasma.github.io/Logging_0562/knärot/A 53673-2024 karta knärot.png", "A 53673-2024")</f>
        <v/>
      </c>
      <c r="AA58">
        <f>HYPERLINK("https://klasma.github.io/Logging_0562/klagomål/A 53673-2024 FSC-klagomål.docx", "A 53673-2024")</f>
        <v/>
      </c>
      <c r="AB58">
        <f>HYPERLINK("https://klasma.github.io/Logging_0562/klagomålsmail/A 53673-2024 FSC-klagomål mail.docx", "A 53673-2024")</f>
        <v/>
      </c>
      <c r="AC58">
        <f>HYPERLINK("https://klasma.github.io/Logging_0562/tillsyn/A 53673-2024 tillsynsbegäran.docx", "A 53673-2024")</f>
        <v/>
      </c>
      <c r="AD58">
        <f>HYPERLINK("https://klasma.github.io/Logging_0562/tillsynsmail/A 53673-2024 tillsynsbegäran mail.docx", "A 53673-2024")</f>
        <v/>
      </c>
    </row>
    <row r="59" ht="15" customHeight="1">
      <c r="A59" t="inlineStr">
        <is>
          <t>A 40385-2024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45555</v>
      </c>
      <c r="E59" s="1" t="n">
        <v>46296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HYPERLINK("https://klasma.github.io/Logging_0562/artfynd/A 40385-2024 artfynd.xlsx", "A 40385-2024")</f>
        <v/>
      </c>
      <c r="X59">
        <f>HYPERLINK("https://klasma.github.io/Logging_0562/kartor/A 40385-2024 karta.png", "A 40385-2024")</f>
        <v/>
      </c>
      <c r="Y59">
        <f>HYPERLINK("https://klasma.github.io/Logging_0562/kartor_geotiff/A 40385-2024 georefererad karta.tif", "A 40385-2024")</f>
        <v/>
      </c>
      <c r="AA59">
        <f>HYPERLINK("https://klasma.github.io/Logging_0562/klagomål/A 40385-2024 FSC-klagomål.docx", "A 40385-2024")</f>
        <v/>
      </c>
      <c r="AB59">
        <f>HYPERLINK("https://klasma.github.io/Logging_0562/klagomålsmail/A 40385-2024 FSC-klagomål mail.docx", "A 40385-2024")</f>
        <v/>
      </c>
      <c r="AC59">
        <f>HYPERLINK("https://klasma.github.io/Logging_0562/tillsyn/A 40385-2024 tillsynsbegäran.docx", "A 40385-2024")</f>
        <v/>
      </c>
      <c r="AD59">
        <f>HYPERLINK("https://klasma.github.io/Logging_0562/tillsynsmail/A 40385-2024 tillsynsbegäran mail.docx", "A 40385-2024")</f>
        <v/>
      </c>
      <c r="AE59">
        <f>HYPERLINK("https://klasma.github.io/Logging_0562/fåglar/A 40385-2024 prioriterade fågelarter.docx", "A 40385-2024")</f>
        <v/>
      </c>
    </row>
    <row r="60" ht="15" customHeight="1">
      <c r="A60" t="inlineStr">
        <is>
          <t>A 39078-2022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46296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Skogsklocka</t>
        </is>
      </c>
      <c r="W60">
        <f>HYPERLINK("https://klasma.github.io/Logging_0562/artfynd/A 39078-2022 artfynd.xlsx", "A 39078-2022")</f>
        <v/>
      </c>
      <c r="X60">
        <f>HYPERLINK("https://klasma.github.io/Logging_0562/kartor/A 39078-2022 karta.png", "A 39078-2022")</f>
        <v/>
      </c>
      <c r="Y60">
        <f>HYPERLINK("https://klasma.github.io/Logging_0562/kartor_geotiff/A 39078-2022 georefererad karta.tif", "A 39078-2022")</f>
        <v/>
      </c>
      <c r="AA60">
        <f>HYPERLINK("https://klasma.github.io/Logging_0562/klagomål/A 39078-2022 FSC-klagomål.docx", "A 39078-2022")</f>
        <v/>
      </c>
      <c r="AB60">
        <f>HYPERLINK("https://klasma.github.io/Logging_0562/klagomålsmail/A 39078-2022 FSC-klagomål mail.docx", "A 39078-2022")</f>
        <v/>
      </c>
      <c r="AC60">
        <f>HYPERLINK("https://klasma.github.io/Logging_0562/tillsyn/A 39078-2022 tillsynsbegäran.docx", "A 39078-2022")</f>
        <v/>
      </c>
      <c r="AD60">
        <f>HYPERLINK("https://klasma.github.io/Logging_0562/tillsynsmail/A 39078-2022 tillsynsbegäran mail.docx", "A 39078-2022")</f>
        <v/>
      </c>
    </row>
    <row r="61" ht="15" customHeight="1">
      <c r="A61" t="inlineStr">
        <is>
          <t>A 22259-2024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46296</v>
      </c>
      <c r="F61" t="inlineStr">
        <is>
          <t>ÖSTERGÖTLANDS LÄN</t>
        </is>
      </c>
      <c r="G61" t="inlineStr">
        <is>
          <t>FINSPÅNG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Gullklöver</t>
        </is>
      </c>
      <c r="W61">
        <f>HYPERLINK("https://klasma.github.io/Logging_0562/artfynd/A 22259-2024 artfynd.xlsx", "A 22259-2024")</f>
        <v/>
      </c>
      <c r="X61">
        <f>HYPERLINK("https://klasma.github.io/Logging_0562/kartor/A 22259-2024 karta.png", "A 22259-2024")</f>
        <v/>
      </c>
      <c r="Y61">
        <f>HYPERLINK("https://klasma.github.io/Logging_0562/kartor_geotiff/A 22259-2024 georefererad karta.tif", "A 22259-2024")</f>
        <v/>
      </c>
      <c r="AA61">
        <f>HYPERLINK("https://klasma.github.io/Logging_0562/klagomål/A 22259-2024 FSC-klagomål.docx", "A 22259-2024")</f>
        <v/>
      </c>
      <c r="AB61">
        <f>HYPERLINK("https://klasma.github.io/Logging_0562/klagomålsmail/A 22259-2024 FSC-klagomål mail.docx", "A 22259-2024")</f>
        <v/>
      </c>
      <c r="AC61">
        <f>HYPERLINK("https://klasma.github.io/Logging_0562/tillsyn/A 22259-2024 tillsynsbegäran.docx", "A 22259-2024")</f>
        <v/>
      </c>
      <c r="AD61">
        <f>HYPERLINK("https://klasma.github.io/Logging_0562/tillsynsmail/A 22259-2024 tillsynsbegäran mail.docx", "A 22259-2024")</f>
        <v/>
      </c>
    </row>
    <row r="62" ht="15" customHeight="1">
      <c r="A62" t="inlineStr">
        <is>
          <t>A 6407-2023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46296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HYPERLINK("https://klasma.github.io/Logging_0562/artfynd/A 6407-2023 artfynd.xlsx", "A 6407-2023")</f>
        <v/>
      </c>
      <c r="X62">
        <f>HYPERLINK("https://klasma.github.io/Logging_0562/kartor/A 6407-2023 karta.png", "A 6407-2023")</f>
        <v/>
      </c>
      <c r="Y62">
        <f>HYPERLINK("https://klasma.github.io/Logging_0562/kartor_geotiff/A 6407-2023 georefererad karta.tif", "A 6407-2023")</f>
        <v/>
      </c>
      <c r="AA62">
        <f>HYPERLINK("https://klasma.github.io/Logging_0562/klagomål/A 6407-2023 FSC-klagomål.docx", "A 6407-2023")</f>
        <v/>
      </c>
      <c r="AB62">
        <f>HYPERLINK("https://klasma.github.io/Logging_0562/klagomålsmail/A 6407-2023 FSC-klagomål mail.docx", "A 6407-2023")</f>
        <v/>
      </c>
      <c r="AC62">
        <f>HYPERLINK("https://klasma.github.io/Logging_0562/tillsyn/A 6407-2023 tillsynsbegäran.docx", "A 6407-2023")</f>
        <v/>
      </c>
      <c r="AD62">
        <f>HYPERLINK("https://klasma.github.io/Logging_0562/tillsynsmail/A 6407-2023 tillsynsbegäran mail.docx", "A 6407-2023")</f>
        <v/>
      </c>
      <c r="AE62">
        <f>HYPERLINK("https://klasma.github.io/Logging_0562/fåglar/A 6407-2023 prioriterade fågelarter.docx", "A 6407-2023")</f>
        <v/>
      </c>
    </row>
    <row r="63" ht="15" customHeight="1">
      <c r="A63" t="inlineStr">
        <is>
          <t>A 24411-2023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46296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Blåmossa</t>
        </is>
      </c>
      <c r="W63">
        <f>HYPERLINK("https://klasma.github.io/Logging_0562/artfynd/A 24411-2023 artfynd.xlsx", "A 24411-2023")</f>
        <v/>
      </c>
      <c r="X63">
        <f>HYPERLINK("https://klasma.github.io/Logging_0562/kartor/A 24411-2023 karta.png", "A 24411-2023")</f>
        <v/>
      </c>
      <c r="Y63">
        <f>HYPERLINK("https://klasma.github.io/Logging_0562/kartor_geotiff/A 24411-2023 georefererad karta.tif", "A 24411-2023")</f>
        <v/>
      </c>
      <c r="AA63">
        <f>HYPERLINK("https://klasma.github.io/Logging_0562/klagomål/A 24411-2023 FSC-klagomål.docx", "A 24411-2023")</f>
        <v/>
      </c>
      <c r="AB63">
        <f>HYPERLINK("https://klasma.github.io/Logging_0562/klagomålsmail/A 24411-2023 FSC-klagomål mail.docx", "A 24411-2023")</f>
        <v/>
      </c>
      <c r="AC63">
        <f>HYPERLINK("https://klasma.github.io/Logging_0562/tillsyn/A 24411-2023 tillsynsbegäran.docx", "A 24411-2023")</f>
        <v/>
      </c>
      <c r="AD63">
        <f>HYPERLINK("https://klasma.github.io/Logging_0562/tillsynsmail/A 24411-2023 tillsynsbegäran mail.docx", "A 24411-2023")</f>
        <v/>
      </c>
    </row>
    <row r="64" ht="15" customHeight="1">
      <c r="A64" t="inlineStr">
        <is>
          <t>A 61104-2022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44915</v>
      </c>
      <c r="E64" s="1" t="n">
        <v>46296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3.4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HYPERLINK("https://klasma.github.io/Logging_0562/artfynd/A 61104-2022 artfynd.xlsx", "A 61104-2022")</f>
        <v/>
      </c>
      <c r="X64">
        <f>HYPERLINK("https://klasma.github.io/Logging_0562/kartor/A 61104-2022 karta.png", "A 61104-2022")</f>
        <v/>
      </c>
      <c r="Y64">
        <f>HYPERLINK("https://klasma.github.io/Logging_0562/kartor_geotiff/A 61104-2022 georefererad karta.tif", "A 61104-2022")</f>
        <v/>
      </c>
      <c r="AA64">
        <f>HYPERLINK("https://klasma.github.io/Logging_0562/klagomål/A 61104-2022 FSC-klagomål.docx", "A 61104-2022")</f>
        <v/>
      </c>
      <c r="AB64">
        <f>HYPERLINK("https://klasma.github.io/Logging_0562/klagomålsmail/A 61104-2022 FSC-klagomål mail.docx", "A 61104-2022")</f>
        <v/>
      </c>
      <c r="AC64">
        <f>HYPERLINK("https://klasma.github.io/Logging_0562/tillsyn/A 61104-2022 tillsynsbegäran.docx", "A 61104-2022")</f>
        <v/>
      </c>
      <c r="AD64">
        <f>HYPERLINK("https://klasma.github.io/Logging_0562/tillsynsmail/A 61104-2022 tillsynsbegäran mail.docx", "A 61104-2022")</f>
        <v/>
      </c>
    </row>
    <row r="65" ht="15" customHeight="1">
      <c r="A65" t="inlineStr">
        <is>
          <t>A 36128-2023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46296</v>
      </c>
      <c r="F65" t="inlineStr">
        <is>
          <t>ÖSTERGÖTLANDS LÄN</t>
        </is>
      </c>
      <c r="G65" t="inlineStr">
        <is>
          <t>FINSPÅNG</t>
        </is>
      </c>
      <c r="I65" t="n">
        <v>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HYPERLINK("https://klasma.github.io/Logging_0562/artfynd/A 36128-2023 artfynd.xlsx", "A 36128-2023")</f>
        <v/>
      </c>
      <c r="X65">
        <f>HYPERLINK("https://klasma.github.io/Logging_0562/kartor/A 36128-2023 karta.png", "A 36128-2023")</f>
        <v/>
      </c>
      <c r="Y65">
        <f>HYPERLINK("https://klasma.github.io/Logging_0562/kartor_geotiff/A 36128-2023 georefererad karta.tif", "A 36128-2023")</f>
        <v/>
      </c>
      <c r="AA65">
        <f>HYPERLINK("https://klasma.github.io/Logging_0562/klagomål/A 36128-2023 FSC-klagomål.docx", "A 36128-2023")</f>
        <v/>
      </c>
      <c r="AB65">
        <f>HYPERLINK("https://klasma.github.io/Logging_0562/klagomålsmail/A 36128-2023 FSC-klagomål mail.docx", "A 36128-2023")</f>
        <v/>
      </c>
      <c r="AC65">
        <f>HYPERLINK("https://klasma.github.io/Logging_0562/tillsyn/A 36128-2023 tillsynsbegäran.docx", "A 36128-2023")</f>
        <v/>
      </c>
      <c r="AD65">
        <f>HYPERLINK("https://klasma.github.io/Logging_0562/tillsynsmail/A 36128-2023 tillsynsbegäran mail.docx", "A 36128-2023")</f>
        <v/>
      </c>
      <c r="AE65">
        <f>HYPERLINK("https://klasma.github.io/Logging_0562/fåglar/A 36128-2023 prioriterade fågelarter.docx", "A 36128-2023")</f>
        <v/>
      </c>
    </row>
    <row r="66" ht="15" customHeight="1">
      <c r="A66" t="inlineStr">
        <is>
          <t>A 42837-2024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45566</v>
      </c>
      <c r="E66" s="1" t="n">
        <v>46296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HYPERLINK("https://klasma.github.io/Logging_0562/artfynd/A 42837-2024 artfynd.xlsx", "A 42837-2024")</f>
        <v/>
      </c>
      <c r="X66">
        <f>HYPERLINK("https://klasma.github.io/Logging_0562/kartor/A 42837-2024 karta.png", "A 42837-2024")</f>
        <v/>
      </c>
      <c r="Y66">
        <f>HYPERLINK("https://klasma.github.io/Logging_0562/kartor_geotiff/A 42837-2024 georefererad karta.tif", "A 42837-2024")</f>
        <v/>
      </c>
      <c r="Z66">
        <f>HYPERLINK("https://klasma.github.io/Logging_0562/knärot/A 42837-2024 karta knärot.png", "A 42837-2024")</f>
        <v/>
      </c>
      <c r="AA66">
        <f>HYPERLINK("https://klasma.github.io/Logging_0562/klagomål/A 42837-2024 FSC-klagomål.docx", "A 42837-2024")</f>
        <v/>
      </c>
      <c r="AB66">
        <f>HYPERLINK("https://klasma.github.io/Logging_0562/klagomålsmail/A 42837-2024 FSC-klagomål mail.docx", "A 42837-2024")</f>
        <v/>
      </c>
      <c r="AC66">
        <f>HYPERLINK("https://klasma.github.io/Logging_0562/tillsyn/A 42837-2024 tillsynsbegäran.docx", "A 42837-2024")</f>
        <v/>
      </c>
      <c r="AD66">
        <f>HYPERLINK("https://klasma.github.io/Logging_0562/tillsynsmail/A 42837-2024 tillsynsbegäran mail.docx", "A 42837-2024")</f>
        <v/>
      </c>
    </row>
    <row r="67" ht="15" customHeight="1">
      <c r="A67" t="inlineStr">
        <is>
          <t>A 22439-2023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46296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Hasselsnok</t>
        </is>
      </c>
      <c r="W67">
        <f>HYPERLINK("https://klasma.github.io/Logging_0562/artfynd/A 22439-2023 artfynd.xlsx", "A 22439-2023")</f>
        <v/>
      </c>
      <c r="X67">
        <f>HYPERLINK("https://klasma.github.io/Logging_0562/kartor/A 22439-2023 karta.png", "A 22439-2023")</f>
        <v/>
      </c>
      <c r="Y67">
        <f>HYPERLINK("https://klasma.github.io/Logging_0562/kartor_geotiff/A 22439-2023 georefererad karta.tif", "A 22439-2023")</f>
        <v/>
      </c>
      <c r="AA67">
        <f>HYPERLINK("https://klasma.github.io/Logging_0562/klagomål/A 22439-2023 FSC-klagomål.docx", "A 22439-2023")</f>
        <v/>
      </c>
      <c r="AB67">
        <f>HYPERLINK("https://klasma.github.io/Logging_0562/klagomålsmail/A 22439-2023 FSC-klagomål mail.docx", "A 22439-2023")</f>
        <v/>
      </c>
      <c r="AC67">
        <f>HYPERLINK("https://klasma.github.io/Logging_0562/tillsyn/A 22439-2023 tillsynsbegäran.docx", "A 22439-2023")</f>
        <v/>
      </c>
      <c r="AD67">
        <f>HYPERLINK("https://klasma.github.io/Logging_0562/tillsynsmail/A 22439-2023 tillsynsbegäran mail.docx", "A 22439-2023")</f>
        <v/>
      </c>
    </row>
    <row r="68" ht="15" customHeight="1">
      <c r="A68" t="inlineStr">
        <is>
          <t>A 663-2023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44930</v>
      </c>
      <c r="E68" s="1" t="n">
        <v>46296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HYPERLINK("https://klasma.github.io/Logging_0562/artfynd/A 663-2023 artfynd.xlsx", "A 663-2023")</f>
        <v/>
      </c>
      <c r="X68">
        <f>HYPERLINK("https://klasma.github.io/Logging_0562/kartor/A 663-2023 karta.png", "A 663-2023")</f>
        <v/>
      </c>
      <c r="Y68">
        <f>HYPERLINK("https://klasma.github.io/Logging_0562/kartor_geotiff/A 663-2023 georefererad karta.tif", "A 663-2023")</f>
        <v/>
      </c>
      <c r="AA68">
        <f>HYPERLINK("https://klasma.github.io/Logging_0562/klagomål/A 663-2023 FSC-klagomål.docx", "A 663-2023")</f>
        <v/>
      </c>
      <c r="AB68">
        <f>HYPERLINK("https://klasma.github.io/Logging_0562/klagomålsmail/A 663-2023 FSC-klagomål mail.docx", "A 663-2023")</f>
        <v/>
      </c>
      <c r="AC68">
        <f>HYPERLINK("https://klasma.github.io/Logging_0562/tillsyn/A 663-2023 tillsynsbegäran.docx", "A 663-2023")</f>
        <v/>
      </c>
      <c r="AD68">
        <f>HYPERLINK("https://klasma.github.io/Logging_0562/tillsynsmail/A 663-2023 tillsynsbegäran mail.docx", "A 663-2023")</f>
        <v/>
      </c>
    </row>
    <row r="69" ht="15" customHeight="1">
      <c r="A69" t="inlineStr">
        <is>
          <t>A 34220-2025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45845</v>
      </c>
      <c r="E69" s="1" t="n">
        <v>46296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0.6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Tibast</t>
        </is>
      </c>
      <c r="W69">
        <f>HYPERLINK("https://klasma.github.io/Logging_0562/artfynd/A 34220-2025 artfynd.xlsx", "A 34220-2025")</f>
        <v/>
      </c>
      <c r="X69">
        <f>HYPERLINK("https://klasma.github.io/Logging_0562/kartor/A 34220-2025 karta.png", "A 34220-2025")</f>
        <v/>
      </c>
      <c r="Y69">
        <f>HYPERLINK("https://klasma.github.io/Logging_0562/kartor_geotiff/A 34220-2025 georefererad karta.tif", "A 34220-2025")</f>
        <v/>
      </c>
      <c r="AA69">
        <f>HYPERLINK("https://klasma.github.io/Logging_0562/klagomål/A 34220-2025 FSC-klagomål.docx", "A 34220-2025")</f>
        <v/>
      </c>
      <c r="AB69">
        <f>HYPERLINK("https://klasma.github.io/Logging_0562/klagomålsmail/A 34220-2025 FSC-klagomål mail.docx", "A 34220-2025")</f>
        <v/>
      </c>
      <c r="AC69">
        <f>HYPERLINK("https://klasma.github.io/Logging_0562/tillsyn/A 34220-2025 tillsynsbegäran.docx", "A 34220-2025")</f>
        <v/>
      </c>
      <c r="AD69">
        <f>HYPERLINK("https://klasma.github.io/Logging_0562/tillsynsmail/A 34220-2025 tillsynsbegäran mail.docx", "A 34220-2025")</f>
        <v/>
      </c>
    </row>
    <row r="70" ht="15" customHeight="1">
      <c r="A70" t="inlineStr">
        <is>
          <t>A 53265-2023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46296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HYPERLINK("https://klasma.github.io/Logging_0562/artfynd/A 53265-2023 artfynd.xlsx", "A 53265-2023")</f>
        <v/>
      </c>
      <c r="X70">
        <f>HYPERLINK("https://klasma.github.io/Logging_0562/kartor/A 53265-2023 karta.png", "A 53265-2023")</f>
        <v/>
      </c>
      <c r="Y70">
        <f>HYPERLINK("https://klasma.github.io/Logging_0562/kartor_geotiff/A 53265-2023 georefererad karta.tif", "A 53265-2023")</f>
        <v/>
      </c>
      <c r="AA70">
        <f>HYPERLINK("https://klasma.github.io/Logging_0562/klagomål/A 53265-2023 FSC-klagomål.docx", "A 53265-2023")</f>
        <v/>
      </c>
      <c r="AB70">
        <f>HYPERLINK("https://klasma.github.io/Logging_0562/klagomålsmail/A 53265-2023 FSC-klagomål mail.docx", "A 53265-2023")</f>
        <v/>
      </c>
      <c r="AC70">
        <f>HYPERLINK("https://klasma.github.io/Logging_0562/tillsyn/A 53265-2023 tillsynsbegäran.docx", "A 53265-2023")</f>
        <v/>
      </c>
      <c r="AD70">
        <f>HYPERLINK("https://klasma.github.io/Logging_0562/tillsynsmail/A 53265-2023 tillsynsbegäran mail.docx", "A 53265-2023")</f>
        <v/>
      </c>
    </row>
    <row r="71" ht="15" customHeight="1">
      <c r="A71" t="inlineStr">
        <is>
          <t>A 34310-2025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45846</v>
      </c>
      <c r="E71" s="1" t="n">
        <v>46296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HYPERLINK("https://klasma.github.io/Logging_0562/artfynd/A 34310-2025 artfynd.xlsx", "A 34310-2025")</f>
        <v/>
      </c>
      <c r="X71">
        <f>HYPERLINK("https://klasma.github.io/Logging_0562/kartor/A 34310-2025 karta.png", "A 34310-2025")</f>
        <v/>
      </c>
      <c r="Y71">
        <f>HYPERLINK("https://klasma.github.io/Logging_0562/kartor_geotiff/A 34310-2025 georefererad karta.tif", "A 34310-2025")</f>
        <v/>
      </c>
      <c r="AA71">
        <f>HYPERLINK("https://klasma.github.io/Logging_0562/klagomål/A 34310-2025 FSC-klagomål.docx", "A 34310-2025")</f>
        <v/>
      </c>
      <c r="AB71">
        <f>HYPERLINK("https://klasma.github.io/Logging_0562/klagomålsmail/A 34310-2025 FSC-klagomål mail.docx", "A 34310-2025")</f>
        <v/>
      </c>
      <c r="AC71">
        <f>HYPERLINK("https://klasma.github.io/Logging_0562/tillsyn/A 34310-2025 tillsynsbegäran.docx", "A 34310-2025")</f>
        <v/>
      </c>
      <c r="AD71">
        <f>HYPERLINK("https://klasma.github.io/Logging_0562/tillsynsmail/A 34310-2025 tillsynsbegäran mail.docx", "A 34310-2025")</f>
        <v/>
      </c>
    </row>
    <row r="72" ht="15" customHeight="1">
      <c r="A72" t="inlineStr">
        <is>
          <t>A 57662-2022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44897</v>
      </c>
      <c r="E72" s="1" t="n">
        <v>46296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Järnsparv</t>
        </is>
      </c>
      <c r="W72">
        <f>HYPERLINK("https://klasma.github.io/Logging_0562/artfynd/A 57662-2022 artfynd.xlsx", "A 57662-2022")</f>
        <v/>
      </c>
      <c r="X72">
        <f>HYPERLINK("https://klasma.github.io/Logging_0562/kartor/A 57662-2022 karta.png", "A 57662-2022")</f>
        <v/>
      </c>
      <c r="Y72">
        <f>HYPERLINK("https://klasma.github.io/Logging_0562/kartor_geotiff/A 57662-2022 georefererad karta.tif", "A 57662-2022")</f>
        <v/>
      </c>
      <c r="AA72">
        <f>HYPERLINK("https://klasma.github.io/Logging_0562/klagomål/A 57662-2022 FSC-klagomål.docx", "A 57662-2022")</f>
        <v/>
      </c>
      <c r="AB72">
        <f>HYPERLINK("https://klasma.github.io/Logging_0562/klagomålsmail/A 57662-2022 FSC-klagomål mail.docx", "A 57662-2022")</f>
        <v/>
      </c>
      <c r="AC72">
        <f>HYPERLINK("https://klasma.github.io/Logging_0562/tillsyn/A 57662-2022 tillsynsbegäran.docx", "A 57662-2022")</f>
        <v/>
      </c>
      <c r="AD72">
        <f>HYPERLINK("https://klasma.github.io/Logging_0562/tillsynsmail/A 57662-2022 tillsynsbegäran mail.docx", "A 57662-2022")</f>
        <v/>
      </c>
      <c r="AE72">
        <f>HYPERLINK("https://klasma.github.io/Logging_0562/fåglar/A 57662-2022 prioriterade fågelarter.docx", "A 57662-2022")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46296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61695-2021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44501</v>
      </c>
      <c r="E74" s="1" t="n">
        <v>46296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Sveaskog</t>
        </is>
      </c>
      <c r="I74" t="n">
        <v>1.7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Kornknutmossa</t>
        </is>
      </c>
      <c r="W74">
        <f>HYPERLINK("https://klasma.github.io/Logging_0562/artfynd/A 61695-2021 artfynd.xlsx", "A 61695-2021")</f>
        <v/>
      </c>
      <c r="X74">
        <f>HYPERLINK("https://klasma.github.io/Logging_0562/kartor/A 61695-2021 karta.png", "A 61695-2021")</f>
        <v/>
      </c>
      <c r="Y74">
        <f>HYPERLINK("https://klasma.github.io/Logging_0562/kartor_geotiff/A 61695-2021 georefererad karta.tif", "A 61695-2021")</f>
        <v/>
      </c>
      <c r="AA74">
        <f>HYPERLINK("https://klasma.github.io/Logging_0562/klagomål/A 61695-2021 FSC-klagomål.docx", "A 61695-2021")</f>
        <v/>
      </c>
      <c r="AB74">
        <f>HYPERLINK("https://klasma.github.io/Logging_0562/klagomålsmail/A 61695-2021 FSC-klagomål mail.docx", "A 61695-2021")</f>
        <v/>
      </c>
      <c r="AC74">
        <f>HYPERLINK("https://klasma.github.io/Logging_0562/tillsyn/A 61695-2021 tillsynsbegäran.docx", "A 61695-2021")</f>
        <v/>
      </c>
      <c r="AD74">
        <f>HYPERLINK("https://klasma.github.io/Logging_0562/tillsynsmail/A 61695-2021 tillsynsbegäran mail.docx", "A 61695-2021")</f>
        <v/>
      </c>
    </row>
    <row r="75" ht="15" customHeight="1">
      <c r="A75" t="inlineStr">
        <is>
          <t>A 1177-2024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45302</v>
      </c>
      <c r="E75" s="1" t="n">
        <v>46296</v>
      </c>
      <c r="F75" t="inlineStr">
        <is>
          <t>ÖSTERGÖTLANDS LÄN</t>
        </is>
      </c>
      <c r="G75" t="inlineStr">
        <is>
          <t>FINSPÅNG</t>
        </is>
      </c>
      <c r="I75" t="n">
        <v>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HYPERLINK("https://klasma.github.io/Logging_0562/artfynd/A 1177-2024 artfynd.xlsx", "A 1177-2024")</f>
        <v/>
      </c>
      <c r="X75">
        <f>HYPERLINK("https://klasma.github.io/Logging_0562/kartor/A 1177-2024 karta.png", "A 1177-2024")</f>
        <v/>
      </c>
      <c r="Y75">
        <f>HYPERLINK("https://klasma.github.io/Logging_0562/kartor_geotiff/A 1177-2024 georefererad karta.tif", "A 1177-2024")</f>
        <v/>
      </c>
      <c r="Z75">
        <f>HYPERLINK("https://klasma.github.io/Logging_0562/knärot/A 1177-2024 karta knärot.png", "A 1177-2024")</f>
        <v/>
      </c>
      <c r="AA75">
        <f>HYPERLINK("https://klasma.github.io/Logging_0562/klagomål/A 1177-2024 FSC-klagomål.docx", "A 1177-2024")</f>
        <v/>
      </c>
      <c r="AB75">
        <f>HYPERLINK("https://klasma.github.io/Logging_0562/klagomålsmail/A 1177-2024 FSC-klagomål mail.docx", "A 1177-2024")</f>
        <v/>
      </c>
      <c r="AC75">
        <f>HYPERLINK("https://klasma.github.io/Logging_0562/tillsyn/A 1177-2024 tillsynsbegäran.docx", "A 1177-2024")</f>
        <v/>
      </c>
      <c r="AD75">
        <f>HYPERLINK("https://klasma.github.io/Logging_0562/tillsynsmail/A 1177-2024 tillsynsbegäran mail.docx", "A 1177-2024")</f>
        <v/>
      </c>
    </row>
    <row r="76" ht="15" customHeight="1">
      <c r="A76" t="inlineStr">
        <is>
          <t>A 54302-2023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46296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Lopplummer (aggregat)</t>
        </is>
      </c>
      <c r="W76">
        <f>HYPERLINK("https://klasma.github.io/Logging_0562/artfynd/A 54302-2023 artfynd.xlsx", "A 54302-2023")</f>
        <v/>
      </c>
      <c r="X76">
        <f>HYPERLINK("https://klasma.github.io/Logging_0562/kartor/A 54302-2023 karta.png", "A 54302-2023")</f>
        <v/>
      </c>
      <c r="Y76">
        <f>HYPERLINK("https://klasma.github.io/Logging_0562/kartor_geotiff/A 54302-2023 georefererad karta.tif", "A 54302-2023")</f>
        <v/>
      </c>
      <c r="AA76">
        <f>HYPERLINK("https://klasma.github.io/Logging_0562/klagomål/A 54302-2023 FSC-klagomål.docx", "A 54302-2023")</f>
        <v/>
      </c>
      <c r="AB76">
        <f>HYPERLINK("https://klasma.github.io/Logging_0562/klagomålsmail/A 54302-2023 FSC-klagomål mail.docx", "A 54302-2023")</f>
        <v/>
      </c>
      <c r="AC76">
        <f>HYPERLINK("https://klasma.github.io/Logging_0562/tillsyn/A 54302-2023 tillsynsbegäran.docx", "A 54302-2023")</f>
        <v/>
      </c>
      <c r="AD76">
        <f>HYPERLINK("https://klasma.github.io/Logging_0562/tillsynsmail/A 54302-2023 tillsynsbegäran mail.docx", "A 54302-2023")</f>
        <v/>
      </c>
    </row>
    <row r="77" ht="15" customHeight="1">
      <c r="A77" t="inlineStr">
        <is>
          <t>A 15123-2025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45744</v>
      </c>
      <c r="E77" s="1" t="n">
        <v>46296</v>
      </c>
      <c r="F77" t="inlineStr">
        <is>
          <t>ÖSTERGÖTLANDS LÄN</t>
        </is>
      </c>
      <c r="G77" t="inlineStr">
        <is>
          <t>FINSPÅNG</t>
        </is>
      </c>
      <c r="H77" t="inlineStr">
        <is>
          <t>Naturvårdsverket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HYPERLINK("https://klasma.github.io/Logging_0562/artfynd/A 15123-2025 artfynd.xlsx", "A 15123-2025")</f>
        <v/>
      </c>
      <c r="X77">
        <f>HYPERLINK("https://klasma.github.io/Logging_0562/kartor/A 15123-2025 karta.png", "A 15123-2025")</f>
        <v/>
      </c>
      <c r="Y77">
        <f>HYPERLINK("https://klasma.github.io/Logging_0562/kartor_geotiff/A 15123-2025 georefererad karta.tif", "A 15123-2025")</f>
        <v/>
      </c>
      <c r="AA77">
        <f>HYPERLINK("https://klasma.github.io/Logging_0562/klagomål/A 15123-2025 FSC-klagomål.docx", "A 15123-2025")</f>
        <v/>
      </c>
      <c r="AB77">
        <f>HYPERLINK("https://klasma.github.io/Logging_0562/klagomålsmail/A 15123-2025 FSC-klagomål mail.docx", "A 15123-2025")</f>
        <v/>
      </c>
      <c r="AC77">
        <f>HYPERLINK("https://klasma.github.io/Logging_0562/tillsyn/A 15123-2025 tillsynsbegäran.docx", "A 15123-2025")</f>
        <v/>
      </c>
      <c r="AD77">
        <f>HYPERLINK("https://klasma.github.io/Logging_0562/tillsynsmail/A 15123-2025 tillsynsbegäran mail.docx", "A 15123-2025")</f>
        <v/>
      </c>
      <c r="AE77">
        <f>HYPERLINK("https://klasma.github.io/Logging_0562/fåglar/A 15123-2025 prioriterade fågelarter.docx", "A 15123-2025")</f>
        <v/>
      </c>
    </row>
    <row r="78" ht="15" customHeight="1">
      <c r="A78" t="inlineStr">
        <is>
          <t>A 37748-2025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46296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37748-2025 artfynd.xlsx", "A 37748-2025")</f>
        <v/>
      </c>
      <c r="X78">
        <f>HYPERLINK("https://klasma.github.io/Logging_0562/kartor/A 37748-2025 karta.png", "A 37748-2025")</f>
        <v/>
      </c>
      <c r="Y78">
        <f>HYPERLINK("https://klasma.github.io/Logging_0562/kartor_geotiff/A 37748-2025 georefererad karta.tif", "A 37748-2025")</f>
        <v/>
      </c>
      <c r="AA78">
        <f>HYPERLINK("https://klasma.github.io/Logging_0562/klagomål/A 37748-2025 FSC-klagomål.docx", "A 37748-2025")</f>
        <v/>
      </c>
      <c r="AB78">
        <f>HYPERLINK("https://klasma.github.io/Logging_0562/klagomålsmail/A 37748-2025 FSC-klagomål mail.docx", "A 37748-2025")</f>
        <v/>
      </c>
      <c r="AC78">
        <f>HYPERLINK("https://klasma.github.io/Logging_0562/tillsyn/A 37748-2025 tillsynsbegäran.docx", "A 37748-2025")</f>
        <v/>
      </c>
      <c r="AD78">
        <f>HYPERLINK("https://klasma.github.io/Logging_0562/tillsynsmail/A 37748-2025 tillsynsbegäran mail.docx", "A 37748-2025")</f>
        <v/>
      </c>
    </row>
    <row r="79" ht="15" customHeight="1">
      <c r="A79" t="inlineStr">
        <is>
          <t>A 42366-2025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46296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2.7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Vit vedfingersvamp</t>
        </is>
      </c>
      <c r="W79">
        <f>HYPERLINK("https://klasma.github.io/Logging_0562/artfynd/A 42366-2025 artfynd.xlsx", "A 42366-2025")</f>
        <v/>
      </c>
      <c r="X79">
        <f>HYPERLINK("https://klasma.github.io/Logging_0562/kartor/A 42366-2025 karta.png", "A 42366-2025")</f>
        <v/>
      </c>
      <c r="Y79">
        <f>HYPERLINK("https://klasma.github.io/Logging_0562/kartor_geotiff/A 42366-2025 georefererad karta.tif", "A 42366-2025")</f>
        <v/>
      </c>
      <c r="AA79">
        <f>HYPERLINK("https://klasma.github.io/Logging_0562/klagomål/A 42366-2025 FSC-klagomål.docx", "A 42366-2025")</f>
        <v/>
      </c>
      <c r="AB79">
        <f>HYPERLINK("https://klasma.github.io/Logging_0562/klagomålsmail/A 42366-2025 FSC-klagomål mail.docx", "A 42366-2025")</f>
        <v/>
      </c>
      <c r="AC79">
        <f>HYPERLINK("https://klasma.github.io/Logging_0562/tillsyn/A 42366-2025 tillsynsbegäran.docx", "A 42366-2025")</f>
        <v/>
      </c>
      <c r="AD79">
        <f>HYPERLINK("https://klasma.github.io/Logging_0562/tillsynsmail/A 42366-2025 tillsynsbegäran mail.docx", "A 42366-2025")</f>
        <v/>
      </c>
    </row>
    <row r="80" ht="15" customHeight="1">
      <c r="A80" t="inlineStr">
        <is>
          <t>A 38229-2025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45883</v>
      </c>
      <c r="E80" s="1" t="n">
        <v>46296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5.5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Lake</t>
        </is>
      </c>
      <c r="W80">
        <f>HYPERLINK("https://klasma.github.io/Logging_0562/artfynd/A 38229-2025 artfynd.xlsx", "A 38229-2025")</f>
        <v/>
      </c>
      <c r="X80">
        <f>HYPERLINK("https://klasma.github.io/Logging_0562/kartor/A 38229-2025 karta.png", "A 38229-2025")</f>
        <v/>
      </c>
      <c r="Y80">
        <f>HYPERLINK("https://klasma.github.io/Logging_0562/kartor_geotiff/A 38229-2025 georefererad karta.tif", "A 38229-2025")</f>
        <v/>
      </c>
      <c r="AA80">
        <f>HYPERLINK("https://klasma.github.io/Logging_0562/klagomål/A 38229-2025 FSC-klagomål.docx", "A 38229-2025")</f>
        <v/>
      </c>
      <c r="AB80">
        <f>HYPERLINK("https://klasma.github.io/Logging_0562/klagomålsmail/A 38229-2025 FSC-klagomål mail.docx", "A 38229-2025")</f>
        <v/>
      </c>
      <c r="AC80">
        <f>HYPERLINK("https://klasma.github.io/Logging_0562/tillsyn/A 38229-2025 tillsynsbegäran.docx", "A 38229-2025")</f>
        <v/>
      </c>
      <c r="AD80">
        <f>HYPERLINK("https://klasma.github.io/Logging_0562/tillsynsmail/A 38229-2025 tillsynsbegäran mail.docx", "A 38229-2025")</f>
        <v/>
      </c>
    </row>
    <row r="81" ht="15" customHeight="1">
      <c r="A81" t="inlineStr">
        <is>
          <t>A 7265-2026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46296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2.2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Havsörn</t>
        </is>
      </c>
      <c r="W81">
        <f>HYPERLINK("https://klasma.github.io/Logging_0562/artfynd/A 7265-2026 artfynd.xlsx", "A 7265-2026")</f>
        <v/>
      </c>
      <c r="X81">
        <f>HYPERLINK("https://klasma.github.io/Logging_0562/kartor/A 7265-2026 karta.png", "A 7265-2026")</f>
        <v/>
      </c>
      <c r="Y81">
        <f>HYPERLINK("https://klasma.github.io/Logging_0562/kartor_geotiff/A 7265-2026 georefererad karta.tif", "A 7265-2026")</f>
        <v/>
      </c>
      <c r="AA81">
        <f>HYPERLINK("https://klasma.github.io/Logging_0562/klagomål/A 7265-2026 FSC-klagomål.docx", "A 7265-2026")</f>
        <v/>
      </c>
      <c r="AB81">
        <f>HYPERLINK("https://klasma.github.io/Logging_0562/klagomålsmail/A 7265-2026 FSC-klagomål mail.docx", "A 7265-2026")</f>
        <v/>
      </c>
      <c r="AC81">
        <f>HYPERLINK("https://klasma.github.io/Logging_0562/tillsyn/A 7265-2026 tillsynsbegäran.docx", "A 7265-2026")</f>
        <v/>
      </c>
      <c r="AD81">
        <f>HYPERLINK("https://klasma.github.io/Logging_0562/tillsynsmail/A 7265-2026 tillsynsbegäran mail.docx", "A 7265-2026")</f>
        <v/>
      </c>
      <c r="AE81">
        <f>HYPERLINK("https://klasma.github.io/Logging_0562/fåglar/A 7265-2026 prioriterade fågelarter.docx", "A 7265-2026")</f>
        <v/>
      </c>
    </row>
    <row r="82" ht="15" customHeight="1">
      <c r="A82" t="inlineStr">
        <is>
          <t>A 18915-2026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46129</v>
      </c>
      <c r="E82" s="1" t="n">
        <v>46296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6.1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Havsörn</t>
        </is>
      </c>
      <c r="W82">
        <f>HYPERLINK("https://klasma.github.io/Logging_0562/artfynd/A 18915-2026 artfynd.xlsx", "A 18915-2026")</f>
        <v/>
      </c>
      <c r="X82">
        <f>HYPERLINK("https://klasma.github.io/Logging_0562/kartor/A 18915-2026 karta.png", "A 18915-2026")</f>
        <v/>
      </c>
      <c r="Y82">
        <f>HYPERLINK("https://klasma.github.io/Logging_0562/kartor_geotiff/A 18915-2026 georefererad karta.tif", "A 18915-2026")</f>
        <v/>
      </c>
      <c r="AA82">
        <f>HYPERLINK("https://klasma.github.io/Logging_0562/klagomål/A 18915-2026 FSC-klagomål.docx", "A 18915-2026")</f>
        <v/>
      </c>
      <c r="AB82">
        <f>HYPERLINK("https://klasma.github.io/Logging_0562/klagomålsmail/A 18915-2026 FSC-klagomål mail.docx", "A 18915-2026")</f>
        <v/>
      </c>
      <c r="AC82">
        <f>HYPERLINK("https://klasma.github.io/Logging_0562/tillsyn/A 18915-2026 tillsynsbegäran.docx", "A 18915-2026")</f>
        <v/>
      </c>
      <c r="AD82">
        <f>HYPERLINK("https://klasma.github.io/Logging_0562/tillsynsmail/A 18915-2026 tillsynsbegäran mail.docx", "A 18915-2026")</f>
        <v/>
      </c>
      <c r="AE82">
        <f>HYPERLINK("https://klasma.github.io/Logging_0562/fåglar/A 18915-2026 prioriterade fågelarter.docx", "A 18915-2026")</f>
        <v/>
      </c>
    </row>
    <row r="83" ht="15" customHeight="1">
      <c r="A83" t="inlineStr">
        <is>
          <t>A 22555-2024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45447</v>
      </c>
      <c r="E83" s="1" t="n">
        <v>46296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26.7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Hasselsnok</t>
        </is>
      </c>
      <c r="W83">
        <f>HYPERLINK("https://klasma.github.io/Logging_0562/artfynd/A 22555-2024 artfynd.xlsx", "A 22555-2024")</f>
        <v/>
      </c>
      <c r="X83">
        <f>HYPERLINK("https://klasma.github.io/Logging_0562/kartor/A 22555-2024 karta.png", "A 22555-2024")</f>
        <v/>
      </c>
      <c r="Y83">
        <f>HYPERLINK("https://klasma.github.io/Logging_0562/kartor_geotiff/A 22555-2024 georefererad karta.tif", "A 22555-2024")</f>
        <v/>
      </c>
      <c r="AA83">
        <f>HYPERLINK("https://klasma.github.io/Logging_0562/klagomål/A 22555-2024 FSC-klagomål.docx", "A 22555-2024")</f>
        <v/>
      </c>
      <c r="AB83">
        <f>HYPERLINK("https://klasma.github.io/Logging_0562/klagomålsmail/A 22555-2024 FSC-klagomål mail.docx", "A 22555-2024")</f>
        <v/>
      </c>
      <c r="AC83">
        <f>HYPERLINK("https://klasma.github.io/Logging_0562/tillsyn/A 22555-2024 tillsynsbegäran.docx", "A 22555-2024")</f>
        <v/>
      </c>
      <c r="AD83">
        <f>HYPERLINK("https://klasma.github.io/Logging_0562/tillsynsmail/A 22555-2024 tillsynsbegäran mail.docx", "A 22555-2024")</f>
        <v/>
      </c>
    </row>
    <row r="84" ht="15" customHeight="1">
      <c r="A84" t="inlineStr">
        <is>
          <t>A 3941-2026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46043</v>
      </c>
      <c r="E84" s="1" t="n">
        <v>46296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Trana</t>
        </is>
      </c>
      <c r="W84">
        <f>HYPERLINK("https://klasma.github.io/Logging_0562/artfynd/A 3941-2026 artfynd.xlsx", "A 3941-2026")</f>
        <v/>
      </c>
      <c r="X84">
        <f>HYPERLINK("https://klasma.github.io/Logging_0562/kartor/A 3941-2026 karta.png", "A 3941-2026")</f>
        <v/>
      </c>
      <c r="Y84">
        <f>HYPERLINK("https://klasma.github.io/Logging_0562/kartor_geotiff/A 3941-2026 georefererad karta.tif", "A 3941-2026")</f>
        <v/>
      </c>
      <c r="AA84">
        <f>HYPERLINK("https://klasma.github.io/Logging_0562/klagomål/A 3941-2026 FSC-klagomål.docx", "A 3941-2026")</f>
        <v/>
      </c>
      <c r="AB84">
        <f>HYPERLINK("https://klasma.github.io/Logging_0562/klagomålsmail/A 3941-2026 FSC-klagomål mail.docx", "A 3941-2026")</f>
        <v/>
      </c>
      <c r="AC84">
        <f>HYPERLINK("https://klasma.github.io/Logging_0562/tillsyn/A 3941-2026 tillsynsbegäran.docx", "A 3941-2026")</f>
        <v/>
      </c>
      <c r="AD84">
        <f>HYPERLINK("https://klasma.github.io/Logging_0562/tillsynsmail/A 3941-2026 tillsynsbegäran mail.docx", "A 3941-2026")</f>
        <v/>
      </c>
      <c r="AE84">
        <f>HYPERLINK("https://klasma.github.io/Logging_0562/fåglar/A 3941-2026 prioriterade fågelarter.docx", "A 3941-2026")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46296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27456-2026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46296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27456-2026 artfynd.xlsx", "A 27456-2026")</f>
        <v/>
      </c>
      <c r="X86">
        <f>HYPERLINK("https://klasma.github.io/Logging_0562/kartor/A 27456-2026 karta.png", "A 27456-2026")</f>
        <v/>
      </c>
      <c r="Y86">
        <f>HYPERLINK("https://klasma.github.io/Logging_0562/kartor_geotiff/A 27456-2026 georefererad karta.tif", "A 27456-2026")</f>
        <v/>
      </c>
      <c r="AA86">
        <f>HYPERLINK("https://klasma.github.io/Logging_0562/klagomål/A 27456-2026 FSC-klagomål.docx", "A 27456-2026")</f>
        <v/>
      </c>
      <c r="AB86">
        <f>HYPERLINK("https://klasma.github.io/Logging_0562/klagomålsmail/A 27456-2026 FSC-klagomål mail.docx", "A 27456-2026")</f>
        <v/>
      </c>
      <c r="AC86">
        <f>HYPERLINK("https://klasma.github.io/Logging_0562/tillsyn/A 27456-2026 tillsynsbegäran.docx", "A 27456-2026")</f>
        <v/>
      </c>
      <c r="AD86">
        <f>HYPERLINK("https://klasma.github.io/Logging_0562/tillsynsmail/A 27456-2026 tillsynsbegäran mail.docx", "A 27456-2026")</f>
        <v/>
      </c>
    </row>
    <row r="87" ht="15" customHeight="1">
      <c r="A87" t="inlineStr">
        <is>
          <t>A 34885-2026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46296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4.2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Havsörn</t>
        </is>
      </c>
      <c r="W87">
        <f>HYPERLINK("https://klasma.github.io/Logging_0562/artfynd/A 34885-2026 artfynd.xlsx", "A 34885-2026")</f>
        <v/>
      </c>
      <c r="X87">
        <f>HYPERLINK("https://klasma.github.io/Logging_0562/kartor/A 34885-2026 karta.png", "A 34885-2026")</f>
        <v/>
      </c>
      <c r="Y87">
        <f>HYPERLINK("https://klasma.github.io/Logging_0562/kartor_geotiff/A 34885-2026 georefererad karta.tif", "A 34885-2026")</f>
        <v/>
      </c>
      <c r="AA87">
        <f>HYPERLINK("https://klasma.github.io/Logging_0562/klagomål/A 34885-2026 FSC-klagomål.docx", "A 34885-2026")</f>
        <v/>
      </c>
      <c r="AB87">
        <f>HYPERLINK("https://klasma.github.io/Logging_0562/klagomålsmail/A 34885-2026 FSC-klagomål mail.docx", "A 34885-2026")</f>
        <v/>
      </c>
      <c r="AC87">
        <f>HYPERLINK("https://klasma.github.io/Logging_0562/tillsyn/A 34885-2026 tillsynsbegäran.docx", "A 34885-2026")</f>
        <v/>
      </c>
      <c r="AD87">
        <f>HYPERLINK("https://klasma.github.io/Logging_0562/tillsynsmail/A 34885-2026 tillsynsbegäran mail.docx", "A 34885-2026")</f>
        <v/>
      </c>
      <c r="AE87">
        <f>HYPERLINK("https://klasma.github.io/Logging_0562/fåglar/A 34885-2026 prioriterade fågelarter.docx", "A 34885-2026")</f>
        <v/>
      </c>
    </row>
    <row r="88" ht="15" customHeight="1">
      <c r="A88" t="inlineStr">
        <is>
          <t>A 34886-2026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46296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HYPERLINK("https://klasma.github.io/Logging_0562/artfynd/A 34886-2026 artfynd.xlsx", "A 34886-2026")</f>
        <v/>
      </c>
      <c r="X88">
        <f>HYPERLINK("https://klasma.github.io/Logging_0562/kartor/A 34886-2026 karta.png", "A 34886-2026")</f>
        <v/>
      </c>
      <c r="Y88">
        <f>HYPERLINK("https://klasma.github.io/Logging_0562/kartor_geotiff/A 34886-2026 georefererad karta.tif", "A 34886-2026")</f>
        <v/>
      </c>
      <c r="AA88">
        <f>HYPERLINK("https://klasma.github.io/Logging_0562/klagomål/A 34886-2026 FSC-klagomål.docx", "A 34886-2026")</f>
        <v/>
      </c>
      <c r="AB88">
        <f>HYPERLINK("https://klasma.github.io/Logging_0562/klagomålsmail/A 34886-2026 FSC-klagomål mail.docx", "A 34886-2026")</f>
        <v/>
      </c>
      <c r="AC88">
        <f>HYPERLINK("https://klasma.github.io/Logging_0562/tillsyn/A 34886-2026 tillsynsbegäran.docx", "A 34886-2026")</f>
        <v/>
      </c>
      <c r="AD88">
        <f>HYPERLINK("https://klasma.github.io/Logging_0562/tillsynsmail/A 34886-2026 tillsynsbegäran mail.docx", "A 34886-2026")</f>
        <v/>
      </c>
    </row>
    <row r="89" ht="15" customHeight="1">
      <c r="A89" t="inlineStr">
        <is>
          <t>A 25942-2026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46296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HYPERLINK("https://klasma.github.io/Logging_0562/artfynd/A 25942-2026 artfynd.xlsx", "A 25942-2026")</f>
        <v/>
      </c>
      <c r="X89">
        <f>HYPERLINK("https://klasma.github.io/Logging_0562/kartor/A 25942-2026 karta.png", "A 25942-2026")</f>
        <v/>
      </c>
      <c r="Y89">
        <f>HYPERLINK("https://klasma.github.io/Logging_0562/kartor_geotiff/A 25942-2026 georefererad karta.tif", "A 25942-2026")</f>
        <v/>
      </c>
      <c r="AA89">
        <f>HYPERLINK("https://klasma.github.io/Logging_0562/klagomål/A 25942-2026 FSC-klagomål.docx", "A 25942-2026")</f>
        <v/>
      </c>
      <c r="AB89">
        <f>HYPERLINK("https://klasma.github.io/Logging_0562/klagomålsmail/A 25942-2026 FSC-klagomål mail.docx", "A 25942-2026")</f>
        <v/>
      </c>
      <c r="AC89">
        <f>HYPERLINK("https://klasma.github.io/Logging_0562/tillsyn/A 25942-2026 tillsynsbegäran.docx", "A 25942-2026")</f>
        <v/>
      </c>
      <c r="AD89">
        <f>HYPERLINK("https://klasma.github.io/Logging_0562/tillsynsmail/A 25942-2026 tillsynsbegäran mail.docx", "A 25942-2026")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46296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46296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46296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46296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70407-2021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46296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46296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46296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46296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46296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46296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46296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46296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46296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46296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46296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46296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46296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46296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46296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46296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46296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46296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46296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46296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46296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46296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46296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46296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46296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46296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46296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Övriga Aktiebolag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46296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46296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46296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46296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46296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46296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46296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46296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46296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46296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46296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46296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46296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46296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46296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46296</v>
      </c>
      <c r="F137" t="inlineStr">
        <is>
          <t>ÖSTERGÖTLANDS LÄN</t>
        </is>
      </c>
      <c r="G137" t="inlineStr">
        <is>
          <t>FINSPÅNG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44627</v>
      </c>
      <c r="E138" s="1" t="n">
        <v>46296</v>
      </c>
      <c r="F138" t="inlineStr">
        <is>
          <t>ÖSTERGÖTLANDS LÄN</t>
        </is>
      </c>
      <c r="G138" t="inlineStr">
        <is>
          <t>FINSPÅNG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44860</v>
      </c>
      <c r="E139" s="1" t="n">
        <v>46296</v>
      </c>
      <c r="F139" t="inlineStr">
        <is>
          <t>ÖSTERGÖTLANDS LÄN</t>
        </is>
      </c>
      <c r="G139" t="inlineStr">
        <is>
          <t>FINSPÅNG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46296</v>
      </c>
      <c r="F140" t="inlineStr">
        <is>
          <t>ÖSTERGÖTLANDS LÄN</t>
        </is>
      </c>
      <c r="G140" t="inlineStr">
        <is>
          <t>FINSPÅNG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44587</v>
      </c>
      <c r="E141" s="1" t="n">
        <v>46296</v>
      </c>
      <c r="F141" t="inlineStr">
        <is>
          <t>ÖSTERGÖTLANDS LÄN</t>
        </is>
      </c>
      <c r="G141" t="inlineStr">
        <is>
          <t>FINSPÅNG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46296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44875</v>
      </c>
      <c r="E143" s="1" t="n">
        <v>46296</v>
      </c>
      <c r="F143" t="inlineStr">
        <is>
          <t>ÖSTERGÖTLANDS LÄN</t>
        </is>
      </c>
      <c r="G143" t="inlineStr">
        <is>
          <t>FINSPÅNG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46296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46296</v>
      </c>
      <c r="F145" t="inlineStr">
        <is>
          <t>ÖSTERGÖTLANDS LÄN</t>
        </is>
      </c>
      <c r="G145" t="inlineStr">
        <is>
          <t>FINSPÅNG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46296</v>
      </c>
      <c r="F146" t="inlineStr">
        <is>
          <t>ÖSTERGÖTLANDS LÄN</t>
        </is>
      </c>
      <c r="G146" t="inlineStr">
        <is>
          <t>FINSPÅNG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27657-2022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46296</v>
      </c>
      <c r="F147" t="inlineStr">
        <is>
          <t>ÖSTERGÖTLANDS LÄN</t>
        </is>
      </c>
      <c r="G147" t="inlineStr">
        <is>
          <t>FINSPÅNG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69717-2021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44532</v>
      </c>
      <c r="E148" s="1" t="n">
        <v>46296</v>
      </c>
      <c r="F148" t="inlineStr">
        <is>
          <t>ÖSTERGÖTLANDS LÄN</t>
        </is>
      </c>
      <c r="G148" t="inlineStr">
        <is>
          <t>FINSPÅNG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36075-2022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44802</v>
      </c>
      <c r="E149" s="1" t="n">
        <v>46296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46296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46296</v>
      </c>
      <c r="F151" t="inlineStr">
        <is>
          <t>ÖSTERGÖTLANDS LÄN</t>
        </is>
      </c>
      <c r="G151" t="inlineStr">
        <is>
          <t>FINSPÅNG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44879</v>
      </c>
      <c r="E152" s="1" t="n">
        <v>46296</v>
      </c>
      <c r="F152" t="inlineStr">
        <is>
          <t>ÖSTERGÖTLANDS LÄN</t>
        </is>
      </c>
      <c r="G152" t="inlineStr">
        <is>
          <t>FINSPÅNG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44581</v>
      </c>
      <c r="E153" s="1" t="n">
        <v>46296</v>
      </c>
      <c r="F153" t="inlineStr">
        <is>
          <t>ÖSTERGÖTLANDS LÄN</t>
        </is>
      </c>
      <c r="G153" t="inlineStr">
        <is>
          <t>FINSPÅNG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44588</v>
      </c>
      <c r="E154" s="1" t="n">
        <v>46296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Övriga Aktiebolag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44831</v>
      </c>
      <c r="E155" s="1" t="n">
        <v>46296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44595</v>
      </c>
      <c r="E156" s="1" t="n">
        <v>46296</v>
      </c>
      <c r="F156" t="inlineStr">
        <is>
          <t>ÖSTERGÖTLANDS LÄN</t>
        </is>
      </c>
      <c r="G156" t="inlineStr">
        <is>
          <t>FINSPÅNG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46296</v>
      </c>
      <c r="F157" t="inlineStr">
        <is>
          <t>ÖSTERGÖTLANDS LÄN</t>
        </is>
      </c>
      <c r="G157" t="inlineStr">
        <is>
          <t>FINSPÅNG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44582</v>
      </c>
      <c r="E158" s="1" t="n">
        <v>46296</v>
      </c>
      <c r="F158" t="inlineStr">
        <is>
          <t>ÖSTERGÖTLANDS LÄN</t>
        </is>
      </c>
      <c r="G158" t="inlineStr">
        <is>
          <t>FINSPÅNG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44601</v>
      </c>
      <c r="E159" s="1" t="n">
        <v>46296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63321-2021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46296</v>
      </c>
      <c r="F160" t="inlineStr">
        <is>
          <t>ÖSTERGÖTLANDS LÄN</t>
        </is>
      </c>
      <c r="G160" t="inlineStr">
        <is>
          <t>FINSPÅNG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46296</v>
      </c>
      <c r="F161" t="inlineStr">
        <is>
          <t>ÖSTERGÖTLANDS LÄN</t>
        </is>
      </c>
      <c r="G161" t="inlineStr">
        <is>
          <t>FINSPÅNG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44656</v>
      </c>
      <c r="E162" s="1" t="n">
        <v>46296</v>
      </c>
      <c r="F162" t="inlineStr">
        <is>
          <t>ÖSTERGÖTLANDS LÄN</t>
        </is>
      </c>
      <c r="G162" t="inlineStr">
        <is>
          <t>FINSPÅNG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46296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46296</v>
      </c>
      <c r="F164" t="inlineStr">
        <is>
          <t>ÖSTERGÖTLANDS LÄN</t>
        </is>
      </c>
      <c r="G164" t="inlineStr">
        <is>
          <t>FINSPÅNG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44859</v>
      </c>
      <c r="E165" s="1" t="n">
        <v>46296</v>
      </c>
      <c r="F165" t="inlineStr">
        <is>
          <t>ÖSTERGÖTLANDS LÄN</t>
        </is>
      </c>
      <c r="G165" t="inlineStr">
        <is>
          <t>FINSPÅNG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46296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Holmen skog AB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44630</v>
      </c>
      <c r="E167" s="1" t="n">
        <v>46296</v>
      </c>
      <c r="F167" t="inlineStr">
        <is>
          <t>ÖSTERGÖTLANDS LÄN</t>
        </is>
      </c>
      <c r="G167" t="inlineStr">
        <is>
          <t>FINSPÅNG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46296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46296</v>
      </c>
      <c r="F169" t="inlineStr">
        <is>
          <t>ÖSTERGÖTLANDS LÄN</t>
        </is>
      </c>
      <c r="G169" t="inlineStr">
        <is>
          <t>FINSPÅNG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56727-2021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46296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44635</v>
      </c>
      <c r="E171" s="1" t="n">
        <v>46296</v>
      </c>
      <c r="F171" t="inlineStr">
        <is>
          <t>ÖSTERGÖTLANDS LÄN</t>
        </is>
      </c>
      <c r="G171" t="inlineStr">
        <is>
          <t>FINSPÅNG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46296</v>
      </c>
      <c r="F172" t="inlineStr">
        <is>
          <t>ÖSTERGÖTLANDS LÄN</t>
        </is>
      </c>
      <c r="G172" t="inlineStr">
        <is>
          <t>FINSPÅNG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56883-2021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46296</v>
      </c>
      <c r="F173" t="inlineStr">
        <is>
          <t>ÖSTERGÖTLANDS LÄN</t>
        </is>
      </c>
      <c r="G173" t="inlineStr">
        <is>
          <t>FINSPÅNG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46296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46296</v>
      </c>
      <c r="F175" t="inlineStr">
        <is>
          <t>ÖSTERGÖTLANDS LÄN</t>
        </is>
      </c>
      <c r="G175" t="inlineStr">
        <is>
          <t>FINSPÅNG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69994-2021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44533</v>
      </c>
      <c r="E176" s="1" t="n">
        <v>46296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46296</v>
      </c>
      <c r="F177" t="inlineStr">
        <is>
          <t>ÖSTERGÖTLANDS LÄN</t>
        </is>
      </c>
      <c r="G177" t="inlineStr">
        <is>
          <t>FINSPÅNG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44656</v>
      </c>
      <c r="E178" s="1" t="n">
        <v>46296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44601</v>
      </c>
      <c r="E179" s="1" t="n">
        <v>46296</v>
      </c>
      <c r="F179" t="inlineStr">
        <is>
          <t>ÖSTERGÖTLANDS LÄN</t>
        </is>
      </c>
      <c r="G179" t="inlineStr">
        <is>
          <t>FINSPÅNG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46296</v>
      </c>
      <c r="F180" t="inlineStr">
        <is>
          <t>ÖSTERGÖTLANDS LÄN</t>
        </is>
      </c>
      <c r="G180" t="inlineStr">
        <is>
          <t>FINSPÅNG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44713</v>
      </c>
      <c r="E181" s="1" t="n">
        <v>46296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46296</v>
      </c>
      <c r="F182" t="inlineStr">
        <is>
          <t>ÖSTERGÖTLANDS LÄN</t>
        </is>
      </c>
      <c r="G182" t="inlineStr">
        <is>
          <t>FINSPÅNG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44697</v>
      </c>
      <c r="E183" s="1" t="n">
        <v>46296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45447</v>
      </c>
      <c r="E184" s="1" t="n">
        <v>46296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28722-2023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45103</v>
      </c>
      <c r="E185" s="1" t="n">
        <v>46296</v>
      </c>
      <c r="F185" t="inlineStr">
        <is>
          <t>ÖSTERGÖTLANDS LÄN</t>
        </is>
      </c>
      <c r="G185" t="inlineStr">
        <is>
          <t>FINSPÅNG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44860</v>
      </c>
      <c r="E186" s="1" t="n">
        <v>46296</v>
      </c>
      <c r="F186" t="inlineStr">
        <is>
          <t>ÖSTERGÖTLANDS LÄN</t>
        </is>
      </c>
      <c r="G186" t="inlineStr">
        <is>
          <t>FINSPÅNG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46296</v>
      </c>
      <c r="F187" t="inlineStr">
        <is>
          <t>ÖSTERGÖTLANDS LÄN</t>
        </is>
      </c>
      <c r="G187" t="inlineStr">
        <is>
          <t>FINSPÅNG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44732</v>
      </c>
      <c r="E188" s="1" t="n">
        <v>46296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45456</v>
      </c>
      <c r="E189" s="1" t="n">
        <v>46296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45425</v>
      </c>
      <c r="E190" s="1" t="n">
        <v>46296</v>
      </c>
      <c r="F190" t="inlineStr">
        <is>
          <t>ÖSTERGÖTLANDS LÄN</t>
        </is>
      </c>
      <c r="G190" t="inlineStr">
        <is>
          <t>FINSPÅNG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46296</v>
      </c>
      <c r="F191" t="inlineStr">
        <is>
          <t>ÖSTERGÖTLANDS LÄN</t>
        </is>
      </c>
      <c r="G191" t="inlineStr">
        <is>
          <t>FINSPÅNG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46296</v>
      </c>
      <c r="F192" t="inlineStr">
        <is>
          <t>ÖSTERGÖTLANDS LÄN</t>
        </is>
      </c>
      <c r="G192" t="inlineStr">
        <is>
          <t>FINSPÅNG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45302</v>
      </c>
      <c r="E193" s="1" t="n">
        <v>46296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46296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44564</v>
      </c>
      <c r="E195" s="1" t="n">
        <v>46296</v>
      </c>
      <c r="F195" t="inlineStr">
        <is>
          <t>ÖSTERGÖTLANDS LÄN</t>
        </is>
      </c>
      <c r="G195" t="inlineStr">
        <is>
          <t>FINSPÅNG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46296</v>
      </c>
      <c r="F196" t="inlineStr">
        <is>
          <t>ÖSTERGÖTLANDS LÄN</t>
        </is>
      </c>
      <c r="G196" t="inlineStr">
        <is>
          <t>FINSPÅNG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46296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Naturvårdsverket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46296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46296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46296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46296</v>
      </c>
      <c r="F201" t="inlineStr">
        <is>
          <t>ÖSTERGÖTLANDS LÄN</t>
        </is>
      </c>
      <c r="G201" t="inlineStr">
        <is>
          <t>FINSPÅNG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44966</v>
      </c>
      <c r="E202" s="1" t="n">
        <v>46296</v>
      </c>
      <c r="F202" t="inlineStr">
        <is>
          <t>ÖSTERGÖTLANDS LÄN</t>
        </is>
      </c>
      <c r="G202" t="inlineStr">
        <is>
          <t>FINSPÅNG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46296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46296</v>
      </c>
      <c r="F204" t="inlineStr">
        <is>
          <t>ÖSTERGÖTLANDS LÄN</t>
        </is>
      </c>
      <c r="G204" t="inlineStr">
        <is>
          <t>FINSPÅNG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46296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46296</v>
      </c>
      <c r="F206" t="inlineStr">
        <is>
          <t>ÖSTERGÖTLANDS LÄN</t>
        </is>
      </c>
      <c r="G206" t="inlineStr">
        <is>
          <t>FINSPÅNG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73260-2021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44550</v>
      </c>
      <c r="E207" s="1" t="n">
        <v>46296</v>
      </c>
      <c r="F207" t="inlineStr">
        <is>
          <t>ÖSTERGÖTLANDS LÄN</t>
        </is>
      </c>
      <c r="G207" t="inlineStr">
        <is>
          <t>FINSPÅNG</t>
        </is>
      </c>
      <c r="I207" t="n">
        <v>10.3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45566</v>
      </c>
      <c r="E208" s="1" t="n">
        <v>46296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46296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44677</v>
      </c>
      <c r="E210" s="1" t="n">
        <v>46296</v>
      </c>
      <c r="F210" t="inlineStr">
        <is>
          <t>ÖSTERGÖTLANDS LÄN</t>
        </is>
      </c>
      <c r="G210" t="inlineStr">
        <is>
          <t>FINSPÅNG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44476</v>
      </c>
      <c r="E211" s="1" t="n">
        <v>46296</v>
      </c>
      <c r="F211" t="inlineStr">
        <is>
          <t>ÖSTERGÖTLANDS LÄN</t>
        </is>
      </c>
      <c r="G211" t="inlineStr">
        <is>
          <t>FINSPÅNG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45740</v>
      </c>
      <c r="E212" s="1" t="n">
        <v>46296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11.2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46296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Kyrkan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45178</v>
      </c>
      <c r="E214" s="1" t="n">
        <v>46296</v>
      </c>
      <c r="F214" t="inlineStr">
        <is>
          <t>ÖSTERGÖTLANDS LÄN</t>
        </is>
      </c>
      <c r="G214" t="inlineStr">
        <is>
          <t>FINSPÅNG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45441</v>
      </c>
      <c r="E215" s="1" t="n">
        <v>46296</v>
      </c>
      <c r="F215" t="inlineStr">
        <is>
          <t>ÖSTERGÖTLANDS LÄN</t>
        </is>
      </c>
      <c r="G215" t="inlineStr">
        <is>
          <t>FINSPÅNG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12814-2022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44642</v>
      </c>
      <c r="E216" s="1" t="n">
        <v>46296</v>
      </c>
      <c r="F216" t="inlineStr">
        <is>
          <t>ÖSTERGÖTLANDS LÄN</t>
        </is>
      </c>
      <c r="G216" t="inlineStr">
        <is>
          <t>FINSPÅNG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45374</v>
      </c>
      <c r="E217" s="1" t="n">
        <v>46296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Kyrkan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45002</v>
      </c>
      <c r="E218" s="1" t="n">
        <v>46296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45391</v>
      </c>
      <c r="E219" s="1" t="n">
        <v>46296</v>
      </c>
      <c r="F219" t="inlineStr">
        <is>
          <t>ÖSTERGÖTLANDS LÄN</t>
        </is>
      </c>
      <c r="G219" t="inlineStr">
        <is>
          <t>FINSPÅNG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45770</v>
      </c>
      <c r="E220" s="1" t="n">
        <v>46296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62421-2021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44503</v>
      </c>
      <c r="E221" s="1" t="n">
        <v>46296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45125</v>
      </c>
      <c r="E222" s="1" t="n">
        <v>46296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Övriga Aktiebolag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46296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44898</v>
      </c>
      <c r="E224" s="1" t="n">
        <v>46296</v>
      </c>
      <c r="F224" t="inlineStr">
        <is>
          <t>ÖSTERGÖTLANDS LÄN</t>
        </is>
      </c>
      <c r="G224" t="inlineStr">
        <is>
          <t>FINSPÅNG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45421</v>
      </c>
      <c r="E225" s="1" t="n">
        <v>46296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29078-2022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46296</v>
      </c>
      <c r="F226" t="inlineStr">
        <is>
          <t>ÖSTERGÖTLANDS LÄN</t>
        </is>
      </c>
      <c r="G226" t="inlineStr">
        <is>
          <t>FINSPÅNG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46296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45082</v>
      </c>
      <c r="E228" s="1" t="n">
        <v>46296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44981</v>
      </c>
      <c r="E229" s="1" t="n">
        <v>46296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46296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46296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45206</v>
      </c>
      <c r="E232" s="1" t="n">
        <v>46296</v>
      </c>
      <c r="F232" t="inlineStr">
        <is>
          <t>ÖSTERGÖTLANDS LÄN</t>
        </is>
      </c>
      <c r="G232" t="inlineStr">
        <is>
          <t>FINSPÅNG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45167</v>
      </c>
      <c r="E233" s="1" t="n">
        <v>46296</v>
      </c>
      <c r="F233" t="inlineStr">
        <is>
          <t>ÖSTERGÖTLANDS LÄN</t>
        </is>
      </c>
      <c r="G233" t="inlineStr">
        <is>
          <t>FINSPÅNG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45020</v>
      </c>
      <c r="E234" s="1" t="n">
        <v>46296</v>
      </c>
      <c r="F234" t="inlineStr">
        <is>
          <t>ÖSTERGÖTLANDS LÄN</t>
        </is>
      </c>
      <c r="G234" t="inlineStr">
        <is>
          <t>FINSPÅNG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44840</v>
      </c>
      <c r="E235" s="1" t="n">
        <v>46296</v>
      </c>
      <c r="F235" t="inlineStr">
        <is>
          <t>ÖSTERGÖTLANDS LÄN</t>
        </is>
      </c>
      <c r="G235" t="inlineStr">
        <is>
          <t>FINSPÅNG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45041</v>
      </c>
      <c r="E236" s="1" t="n">
        <v>46296</v>
      </c>
      <c r="F236" t="inlineStr">
        <is>
          <t>ÖSTERGÖTLANDS LÄN</t>
        </is>
      </c>
      <c r="G236" t="inlineStr">
        <is>
          <t>FINSPÅNG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46296</v>
      </c>
      <c r="F237" t="inlineStr">
        <is>
          <t>ÖSTERGÖTLANDS LÄN</t>
        </is>
      </c>
      <c r="G237" t="inlineStr">
        <is>
          <t>FINSPÅNG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44679</v>
      </c>
      <c r="E238" s="1" t="n">
        <v>46296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Övriga Aktiebolag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65742-2021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44516</v>
      </c>
      <c r="E239" s="1" t="n">
        <v>46296</v>
      </c>
      <c r="F239" t="inlineStr">
        <is>
          <t>ÖSTERGÖTLANDS LÄN</t>
        </is>
      </c>
      <c r="G239" t="inlineStr">
        <is>
          <t>FINSPÅNG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46296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44782</v>
      </c>
      <c r="E241" s="1" t="n">
        <v>46296</v>
      </c>
      <c r="F241" t="inlineStr">
        <is>
          <t>ÖSTERGÖTLANDS LÄN</t>
        </is>
      </c>
      <c r="G241" t="inlineStr">
        <is>
          <t>FINSPÅNG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44607</v>
      </c>
      <c r="E242" s="1" t="n">
        <v>46296</v>
      </c>
      <c r="F242" t="inlineStr">
        <is>
          <t>ÖSTERGÖTLANDS LÄN</t>
        </is>
      </c>
      <c r="G242" t="inlineStr">
        <is>
          <t>FINSPÅNG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46296</v>
      </c>
      <c r="F243" t="inlineStr">
        <is>
          <t>ÖSTERGÖTLANDS LÄN</t>
        </is>
      </c>
      <c r="G243" t="inlineStr">
        <is>
          <t>FINSPÅNG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46296</v>
      </c>
      <c r="F244" t="inlineStr">
        <is>
          <t>ÖSTERGÖTLANDS LÄN</t>
        </is>
      </c>
      <c r="G244" t="inlineStr">
        <is>
          <t>FINSPÅNG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40296-2024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45554</v>
      </c>
      <c r="E245" s="1" t="n">
        <v>46296</v>
      </c>
      <c r="F245" t="inlineStr">
        <is>
          <t>ÖSTERGÖTLANDS LÄN</t>
        </is>
      </c>
      <c r="G245" t="inlineStr">
        <is>
          <t>FINSPÅNG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46296</v>
      </c>
      <c r="F246" t="inlineStr">
        <is>
          <t>ÖSTERGÖTLANDS LÄN</t>
        </is>
      </c>
      <c r="G246" t="inlineStr">
        <is>
          <t>FINSPÅNG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44993</v>
      </c>
      <c r="E247" s="1" t="n">
        <v>46296</v>
      </c>
      <c r="F247" t="inlineStr">
        <is>
          <t>ÖSTERGÖTLANDS LÄN</t>
        </is>
      </c>
      <c r="G247" t="inlineStr">
        <is>
          <t>FINSPÅNG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46296</v>
      </c>
      <c r="F248" t="inlineStr">
        <is>
          <t>ÖSTERGÖTLANDS LÄN</t>
        </is>
      </c>
      <c r="G248" t="inlineStr">
        <is>
          <t>FINSPÅNG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49904-2023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45214</v>
      </c>
      <c r="E249" s="1" t="n">
        <v>46296</v>
      </c>
      <c r="F249" t="inlineStr">
        <is>
          <t>ÖSTERGÖTLANDS LÄN</t>
        </is>
      </c>
      <c r="G249" t="inlineStr">
        <is>
          <t>FINSPÅNG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45110</v>
      </c>
      <c r="E250" s="1" t="n">
        <v>46296</v>
      </c>
      <c r="F250" t="inlineStr">
        <is>
          <t>ÖSTERGÖTLANDS LÄN</t>
        </is>
      </c>
      <c r="G250" t="inlineStr">
        <is>
          <t>FINSPÅNG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45660</v>
      </c>
      <c r="E251" s="1" t="n">
        <v>46296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45181</v>
      </c>
      <c r="E252" s="1" t="n">
        <v>46296</v>
      </c>
      <c r="F252" t="inlineStr">
        <is>
          <t>ÖSTERGÖTLANDS LÄN</t>
        </is>
      </c>
      <c r="G252" t="inlineStr">
        <is>
          <t>FINSPÅNG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45225</v>
      </c>
      <c r="E253" s="1" t="n">
        <v>46296</v>
      </c>
      <c r="F253" t="inlineStr">
        <is>
          <t>ÖSTERGÖTLANDS LÄN</t>
        </is>
      </c>
      <c r="G253" t="inlineStr">
        <is>
          <t>FINSPÅNG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39655-2023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45167</v>
      </c>
      <c r="E254" s="1" t="n">
        <v>46296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Kyrkan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44767</v>
      </c>
      <c r="E255" s="1" t="n">
        <v>46296</v>
      </c>
      <c r="F255" t="inlineStr">
        <is>
          <t>ÖSTERGÖTLANDS LÄN</t>
        </is>
      </c>
      <c r="G255" t="inlineStr">
        <is>
          <t>FINSPÅNG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29630-2022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44754</v>
      </c>
      <c r="E256" s="1" t="n">
        <v>46296</v>
      </c>
      <c r="F256" t="inlineStr">
        <is>
          <t>ÖSTERGÖTLANDS LÄN</t>
        </is>
      </c>
      <c r="G256" t="inlineStr">
        <is>
          <t>FINSPÅNG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45421</v>
      </c>
      <c r="E257" s="1" t="n">
        <v>46296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46296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45516</v>
      </c>
      <c r="E259" s="1" t="n">
        <v>46296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Kommuner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44930</v>
      </c>
      <c r="E260" s="1" t="n">
        <v>46296</v>
      </c>
      <c r="F260" t="inlineStr">
        <is>
          <t>ÖSTERGÖTLANDS LÄN</t>
        </is>
      </c>
      <c r="G260" t="inlineStr">
        <is>
          <t>FINSPÅNG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44957</v>
      </c>
      <c r="E261" s="1" t="n">
        <v>46296</v>
      </c>
      <c r="F261" t="inlineStr">
        <is>
          <t>ÖSTERGÖTLANDS LÄN</t>
        </is>
      </c>
      <c r="G261" t="inlineStr">
        <is>
          <t>FINSPÅNG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55812-2021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44476</v>
      </c>
      <c r="E262" s="1" t="n">
        <v>46296</v>
      </c>
      <c r="F262" t="inlineStr">
        <is>
          <t>ÖSTERGÖTLANDS LÄN</t>
        </is>
      </c>
      <c r="G262" t="inlineStr">
        <is>
          <t>FINSPÅNG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46296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15473-2022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44662</v>
      </c>
      <c r="E264" s="1" t="n">
        <v>46296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44672</v>
      </c>
      <c r="E265" s="1" t="n">
        <v>46296</v>
      </c>
      <c r="F265" t="inlineStr">
        <is>
          <t>ÖSTERGÖTLANDS LÄN</t>
        </is>
      </c>
      <c r="G265" t="inlineStr">
        <is>
          <t>FINSPÅNG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46296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Övriga Aktiebolag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45551</v>
      </c>
      <c r="E267" s="1" t="n">
        <v>46296</v>
      </c>
      <c r="F267" t="inlineStr">
        <is>
          <t>ÖSTERGÖTLANDS LÄN</t>
        </is>
      </c>
      <c r="G267" t="inlineStr">
        <is>
          <t>FINSPÅNG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45530</v>
      </c>
      <c r="E268" s="1" t="n">
        <v>46296</v>
      </c>
      <c r="F268" t="inlineStr">
        <is>
          <t>ÖSTERGÖTLANDS LÄN</t>
        </is>
      </c>
      <c r="G268" t="inlineStr">
        <is>
          <t>FINSPÅNG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23821-2023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45078</v>
      </c>
      <c r="E269" s="1" t="n">
        <v>46296</v>
      </c>
      <c r="F269" t="inlineStr">
        <is>
          <t>ÖSTERGÖTLANDS LÄN</t>
        </is>
      </c>
      <c r="G269" t="inlineStr">
        <is>
          <t>FINSPÅNG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45463</v>
      </c>
      <c r="E270" s="1" t="n">
        <v>46296</v>
      </c>
      <c r="F270" t="inlineStr">
        <is>
          <t>ÖSTERGÖTLANDS LÄN</t>
        </is>
      </c>
      <c r="G270" t="inlineStr">
        <is>
          <t>FINSPÅNG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46296</v>
      </c>
      <c r="F271" t="inlineStr">
        <is>
          <t>ÖSTERGÖTLANDS LÄN</t>
        </is>
      </c>
      <c r="G271" t="inlineStr">
        <is>
          <t>FINSPÅNG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44595</v>
      </c>
      <c r="E272" s="1" t="n">
        <v>46296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Övriga Aktiebolag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46296</v>
      </c>
      <c r="F273" t="inlineStr">
        <is>
          <t>ÖSTERGÖTLANDS LÄN</t>
        </is>
      </c>
      <c r="G273" t="inlineStr">
        <is>
          <t>FINSPÅNG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45311-2023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45191</v>
      </c>
      <c r="E274" s="1" t="n">
        <v>46296</v>
      </c>
      <c r="F274" t="inlineStr">
        <is>
          <t>ÖSTERGÖTLANDS LÄN</t>
        </is>
      </c>
      <c r="G274" t="inlineStr">
        <is>
          <t>FINSPÅNG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46296</v>
      </c>
      <c r="F275" t="inlineStr">
        <is>
          <t>ÖSTERGÖTLANDS LÄN</t>
        </is>
      </c>
      <c r="G275" t="inlineStr">
        <is>
          <t>FINSPÅNG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61998-2022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44918</v>
      </c>
      <c r="E276" s="1" t="n">
        <v>46296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46296</v>
      </c>
      <c r="F277" t="inlineStr">
        <is>
          <t>ÖSTERGÖTLANDS LÄN</t>
        </is>
      </c>
      <c r="G277" t="inlineStr">
        <is>
          <t>FINSPÅNG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44732</v>
      </c>
      <c r="E278" s="1" t="n">
        <v>46296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46296</v>
      </c>
      <c r="F279" t="inlineStr">
        <is>
          <t>ÖSTERGÖTLANDS LÄN</t>
        </is>
      </c>
      <c r="G279" t="inlineStr">
        <is>
          <t>FINSPÅNG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10184-2023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44986</v>
      </c>
      <c r="E280" s="1" t="n">
        <v>46296</v>
      </c>
      <c r="F280" t="inlineStr">
        <is>
          <t>ÖSTERGÖTLANDS LÄN</t>
        </is>
      </c>
      <c r="G280" t="inlineStr">
        <is>
          <t>FINSPÅNG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73655-2021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44551</v>
      </c>
      <c r="E281" s="1" t="n">
        <v>46296</v>
      </c>
      <c r="F281" t="inlineStr">
        <is>
          <t>ÖSTERGÖTLANDS LÄN</t>
        </is>
      </c>
      <c r="G281" t="inlineStr">
        <is>
          <t>FINSPÅNG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45086</v>
      </c>
      <c r="E282" s="1" t="n">
        <v>46296</v>
      </c>
      <c r="F282" t="inlineStr">
        <is>
          <t>ÖSTERGÖTLANDS LÄN</t>
        </is>
      </c>
      <c r="G282" t="inlineStr">
        <is>
          <t>FINSPÅNG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44770</v>
      </c>
      <c r="E283" s="1" t="n">
        <v>46296</v>
      </c>
      <c r="F283" t="inlineStr">
        <is>
          <t>ÖSTERGÖTLANDS LÄN</t>
        </is>
      </c>
      <c r="G283" t="inlineStr">
        <is>
          <t>FINSPÅNG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46296</v>
      </c>
      <c r="F284" t="inlineStr">
        <is>
          <t>ÖSTERGÖTLANDS LÄN</t>
        </is>
      </c>
      <c r="G284" t="inlineStr">
        <is>
          <t>FINSPÅNG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44914</v>
      </c>
      <c r="E285" s="1" t="n">
        <v>46296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43051-2022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44833</v>
      </c>
      <c r="E286" s="1" t="n">
        <v>46296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42785-2024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45566</v>
      </c>
      <c r="E287" s="1" t="n">
        <v>46296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46296</v>
      </c>
      <c r="F288" t="inlineStr">
        <is>
          <t>ÖSTERGÖTLANDS LÄN</t>
        </is>
      </c>
      <c r="G288" t="inlineStr">
        <is>
          <t>FINSPÅNG</t>
        </is>
      </c>
      <c r="I288" t="n">
        <v>11.1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45618</v>
      </c>
      <c r="E289" s="1" t="n">
        <v>46296</v>
      </c>
      <c r="F289" t="inlineStr">
        <is>
          <t>ÖSTERGÖTLANDS LÄN</t>
        </is>
      </c>
      <c r="G289" t="inlineStr">
        <is>
          <t>FINSPÅNG</t>
        </is>
      </c>
      <c r="I289" t="n">
        <v>11.8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70505-2021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46296</v>
      </c>
      <c r="F290" t="inlineStr">
        <is>
          <t>ÖSTERGÖTLANDS LÄN</t>
        </is>
      </c>
      <c r="G290" t="inlineStr">
        <is>
          <t>FINSPÅNG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59702-2024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46296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45299</v>
      </c>
      <c r="E292" s="1" t="n">
        <v>46296</v>
      </c>
      <c r="F292" t="inlineStr">
        <is>
          <t>ÖSTERGÖTLANDS LÄN</t>
        </is>
      </c>
      <c r="G292" t="inlineStr">
        <is>
          <t>FINSPÅNG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45301</v>
      </c>
      <c r="E293" s="1" t="n">
        <v>46296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26087-2022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44734</v>
      </c>
      <c r="E294" s="1" t="n">
        <v>46296</v>
      </c>
      <c r="F294" t="inlineStr">
        <is>
          <t>ÖSTERGÖTLANDS LÄN</t>
        </is>
      </c>
      <c r="G294" t="inlineStr">
        <is>
          <t>FINSPÅNG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46296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45601</v>
      </c>
      <c r="E296" s="1" t="n">
        <v>46296</v>
      </c>
      <c r="F296" t="inlineStr">
        <is>
          <t>ÖSTERGÖTLANDS LÄN</t>
        </is>
      </c>
      <c r="G296" t="inlineStr">
        <is>
          <t>FINSPÅNG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45442</v>
      </c>
      <c r="E297" s="1" t="n">
        <v>46296</v>
      </c>
      <c r="F297" t="inlineStr">
        <is>
          <t>ÖSTERGÖTLANDS LÄN</t>
        </is>
      </c>
      <c r="G297" t="inlineStr">
        <is>
          <t>FINSPÅNG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22714-2022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44714</v>
      </c>
      <c r="E298" s="1" t="n">
        <v>46296</v>
      </c>
      <c r="F298" t="inlineStr">
        <is>
          <t>ÖSTERGÖTLANDS LÄN</t>
        </is>
      </c>
      <c r="G298" t="inlineStr">
        <is>
          <t>FINSPÅNG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44622</v>
      </c>
      <c r="E299" s="1" t="n">
        <v>46296</v>
      </c>
      <c r="F299" t="inlineStr">
        <is>
          <t>ÖSTERGÖTLANDS LÄN</t>
        </is>
      </c>
      <c r="G299" t="inlineStr">
        <is>
          <t>FINSPÅNG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56246-2022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44887</v>
      </c>
      <c r="E300" s="1" t="n">
        <v>46296</v>
      </c>
      <c r="F300" t="inlineStr">
        <is>
          <t>ÖSTERGÖTLANDS LÄN</t>
        </is>
      </c>
      <c r="G300" t="inlineStr">
        <is>
          <t>FINSPÅNG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17321-2022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44678</v>
      </c>
      <c r="E301" s="1" t="n">
        <v>46296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46296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60619-2023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45260</v>
      </c>
      <c r="E303" s="1" t="n">
        <v>46296</v>
      </c>
      <c r="F303" t="inlineStr">
        <is>
          <t>ÖSTERGÖTLANDS LÄN</t>
        </is>
      </c>
      <c r="G303" t="inlineStr">
        <is>
          <t>FINSPÅNG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44637</v>
      </c>
      <c r="E304" s="1" t="n">
        <v>46296</v>
      </c>
      <c r="F304" t="inlineStr">
        <is>
          <t>ÖSTERGÖTLANDS LÄN</t>
        </is>
      </c>
      <c r="G304" t="inlineStr">
        <is>
          <t>FINSPÅNG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46296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8937-2022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44614</v>
      </c>
      <c r="E306" s="1" t="n">
        <v>46296</v>
      </c>
      <c r="F306" t="inlineStr">
        <is>
          <t>ÖSTERGÖTLANDS LÄN</t>
        </is>
      </c>
      <c r="G306" t="inlineStr">
        <is>
          <t>FINSPÅNG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46296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45107</v>
      </c>
      <c r="E308" s="1" t="n">
        <v>46296</v>
      </c>
      <c r="F308" t="inlineStr">
        <is>
          <t>ÖSTERGÖTLANDS LÄN</t>
        </is>
      </c>
      <c r="G308" t="inlineStr">
        <is>
          <t>FINSPÅNG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44767</v>
      </c>
      <c r="E309" s="1" t="n">
        <v>46296</v>
      </c>
      <c r="F309" t="inlineStr">
        <is>
          <t>ÖSTERGÖTLANDS LÄN</t>
        </is>
      </c>
      <c r="G309" t="inlineStr">
        <is>
          <t>FINSPÅNG</t>
        </is>
      </c>
      <c r="I309" t="n">
        <v>10.6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45468</v>
      </c>
      <c r="E310" s="1" t="n">
        <v>46296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45293</v>
      </c>
      <c r="E311" s="1" t="n">
        <v>46296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56288-2022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44887</v>
      </c>
      <c r="E312" s="1" t="n">
        <v>46296</v>
      </c>
      <c r="F312" t="inlineStr">
        <is>
          <t>ÖSTERGÖTLANDS LÄN</t>
        </is>
      </c>
      <c r="G312" t="inlineStr">
        <is>
          <t>FINSPÅNG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43221-2022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44833</v>
      </c>
      <c r="E313" s="1" t="n">
        <v>46296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Övriga Aktiebolag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45422</v>
      </c>
      <c r="E314" s="1" t="n">
        <v>46296</v>
      </c>
      <c r="F314" t="inlineStr">
        <is>
          <t>ÖSTERGÖTLANDS LÄN</t>
        </is>
      </c>
      <c r="G314" t="inlineStr">
        <is>
          <t>FINSPÅNG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44622</v>
      </c>
      <c r="E315" s="1" t="n">
        <v>46296</v>
      </c>
      <c r="F315" t="inlineStr">
        <is>
          <t>ÖSTERGÖTLANDS LÄN</t>
        </is>
      </c>
      <c r="G315" t="inlineStr">
        <is>
          <t>FINSPÅNG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64103-2023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45279</v>
      </c>
      <c r="E316" s="1" t="n">
        <v>46296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45314-2023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45191</v>
      </c>
      <c r="E317" s="1" t="n">
        <v>46296</v>
      </c>
      <c r="F317" t="inlineStr">
        <is>
          <t>ÖSTERGÖTLANDS LÄN</t>
        </is>
      </c>
      <c r="G317" t="inlineStr">
        <is>
          <t>FINSPÅNG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52561-2024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45609</v>
      </c>
      <c r="E318" s="1" t="n">
        <v>46296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44595</v>
      </c>
      <c r="E319" s="1" t="n">
        <v>46296</v>
      </c>
      <c r="F319" t="inlineStr">
        <is>
          <t>ÖSTERGÖTLANDS LÄN</t>
        </is>
      </c>
      <c r="G319" t="inlineStr">
        <is>
          <t>FINSPÅNG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46296</v>
      </c>
      <c r="F320" t="inlineStr">
        <is>
          <t>ÖSTERGÖTLANDS LÄN</t>
        </is>
      </c>
      <c r="G320" t="inlineStr">
        <is>
          <t>FINSPÅNG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44589</v>
      </c>
      <c r="E321" s="1" t="n">
        <v>46296</v>
      </c>
      <c r="F321" t="inlineStr">
        <is>
          <t>ÖSTERGÖTLANDS LÄN</t>
        </is>
      </c>
      <c r="G321" t="inlineStr">
        <is>
          <t>FINSPÅNG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22437-2023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45070</v>
      </c>
      <c r="E322" s="1" t="n">
        <v>46296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45330</v>
      </c>
      <c r="E323" s="1" t="n">
        <v>46296</v>
      </c>
      <c r="F323" t="inlineStr">
        <is>
          <t>ÖSTERGÖTLANDS LÄN</t>
        </is>
      </c>
      <c r="G323" t="inlineStr">
        <is>
          <t>FINSPÅNG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7743-2023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44973</v>
      </c>
      <c r="E324" s="1" t="n">
        <v>46296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44891</v>
      </c>
      <c r="E325" s="1" t="n">
        <v>46296</v>
      </c>
      <c r="F325" t="inlineStr">
        <is>
          <t>ÖSTERGÖTLANDS LÄN</t>
        </is>
      </c>
      <c r="G325" t="inlineStr">
        <is>
          <t>FINSPÅNG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39356-2022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44817</v>
      </c>
      <c r="E326" s="1" t="n">
        <v>46296</v>
      </c>
      <c r="F326" t="inlineStr">
        <is>
          <t>ÖSTERGÖTLANDS LÄN</t>
        </is>
      </c>
      <c r="G326" t="inlineStr">
        <is>
          <t>FINSPÅNG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45616</v>
      </c>
      <c r="E327" s="1" t="n">
        <v>46296</v>
      </c>
      <c r="F327" t="inlineStr">
        <is>
          <t>ÖSTERGÖTLANDS LÄN</t>
        </is>
      </c>
      <c r="G327" t="inlineStr">
        <is>
          <t>FINSPÅNG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45308</v>
      </c>
      <c r="E328" s="1" t="n">
        <v>46296</v>
      </c>
      <c r="F328" t="inlineStr">
        <is>
          <t>ÖSTERGÖTLANDS LÄN</t>
        </is>
      </c>
      <c r="G328" t="inlineStr">
        <is>
          <t>FINSPÅNG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46296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62168-2022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44922</v>
      </c>
      <c r="E330" s="1" t="n">
        <v>46296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46296</v>
      </c>
      <c r="F331" t="inlineStr">
        <is>
          <t>ÖSTERGÖTLANDS LÄN</t>
        </is>
      </c>
      <c r="G331" t="inlineStr">
        <is>
          <t>FINSPÅNG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46296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31801-2023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45118</v>
      </c>
      <c r="E333" s="1" t="n">
        <v>46296</v>
      </c>
      <c r="F333" t="inlineStr">
        <is>
          <t>ÖSTERGÖTLANDS LÄN</t>
        </is>
      </c>
      <c r="G333" t="inlineStr">
        <is>
          <t>FINSPÅNG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44949</v>
      </c>
      <c r="E334" s="1" t="n">
        <v>46296</v>
      </c>
      <c r="F334" t="inlineStr">
        <is>
          <t>ÖSTERGÖTLANDS LÄN</t>
        </is>
      </c>
      <c r="G334" t="inlineStr">
        <is>
          <t>FINSPÅNG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36110-2023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45149</v>
      </c>
      <c r="E335" s="1" t="n">
        <v>46296</v>
      </c>
      <c r="F335" t="inlineStr">
        <is>
          <t>ÖSTERGÖTLANDS LÄN</t>
        </is>
      </c>
      <c r="G335" t="inlineStr">
        <is>
          <t>FINSPÅNG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46296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Övriga Aktiebolag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45467</v>
      </c>
      <c r="E337" s="1" t="n">
        <v>46296</v>
      </c>
      <c r="F337" t="inlineStr">
        <is>
          <t>ÖSTERGÖTLANDS LÄN</t>
        </is>
      </c>
      <c r="G337" t="inlineStr">
        <is>
          <t>FINSPÅNG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46296</v>
      </c>
      <c r="F338" t="inlineStr">
        <is>
          <t>ÖSTERGÖTLANDS LÄN</t>
        </is>
      </c>
      <c r="G338" t="inlineStr">
        <is>
          <t>FINSPÅNG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44953</v>
      </c>
      <c r="E339" s="1" t="n">
        <v>46296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26247-2022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44735</v>
      </c>
      <c r="E340" s="1" t="n">
        <v>46296</v>
      </c>
      <c r="F340" t="inlineStr">
        <is>
          <t>ÖSTERGÖTLANDS LÄN</t>
        </is>
      </c>
      <c r="G340" t="inlineStr">
        <is>
          <t>FINSPÅNG</t>
        </is>
      </c>
      <c r="I340" t="n">
        <v>10.1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45762</v>
      </c>
      <c r="E341" s="1" t="n">
        <v>46296</v>
      </c>
      <c r="F341" t="inlineStr">
        <is>
          <t>ÖSTERGÖTLANDS LÄN</t>
        </is>
      </c>
      <c r="G341" t="inlineStr">
        <is>
          <t>FINSPÅNG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40319-2022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44823</v>
      </c>
      <c r="E342" s="1" t="n">
        <v>46296</v>
      </c>
      <c r="F342" t="inlineStr">
        <is>
          <t>ÖSTERGÖTLANDS LÄN</t>
        </is>
      </c>
      <c r="G342" t="inlineStr">
        <is>
          <t>FINSPÅNG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46296</v>
      </c>
      <c r="F343" t="inlineStr">
        <is>
          <t>ÖSTERGÖTLANDS LÄN</t>
        </is>
      </c>
      <c r="G343" t="inlineStr">
        <is>
          <t>FINSPÅNG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39358-2022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44817</v>
      </c>
      <c r="E344" s="1" t="n">
        <v>46296</v>
      </c>
      <c r="F344" t="inlineStr">
        <is>
          <t>ÖSTERGÖTLANDS LÄN</t>
        </is>
      </c>
      <c r="G344" t="inlineStr">
        <is>
          <t>FINSPÅNG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45555</v>
      </c>
      <c r="E345" s="1" t="n">
        <v>46296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45623</v>
      </c>
      <c r="E346" s="1" t="n">
        <v>46296</v>
      </c>
      <c r="F346" t="inlineStr">
        <is>
          <t>ÖSTERGÖTLANDS LÄN</t>
        </is>
      </c>
      <c r="G346" t="inlineStr">
        <is>
          <t>FINSPÅNG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46296</v>
      </c>
      <c r="F347" t="inlineStr">
        <is>
          <t>ÖSTERGÖTLANDS LÄN</t>
        </is>
      </c>
      <c r="G347" t="inlineStr">
        <is>
          <t>FINSPÅNG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45428</v>
      </c>
      <c r="E348" s="1" t="n">
        <v>46296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45206</v>
      </c>
      <c r="E349" s="1" t="n">
        <v>46296</v>
      </c>
      <c r="F349" t="inlineStr">
        <is>
          <t>ÖSTERGÖTLANDS LÄN</t>
        </is>
      </c>
      <c r="G349" t="inlineStr">
        <is>
          <t>FINSPÅNG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45379</v>
      </c>
      <c r="E350" s="1" t="n">
        <v>46296</v>
      </c>
      <c r="F350" t="inlineStr">
        <is>
          <t>ÖSTERGÖTLANDS LÄN</t>
        </is>
      </c>
      <c r="G350" t="inlineStr">
        <is>
          <t>FINSPÅNG</t>
        </is>
      </c>
      <c r="I350" t="n">
        <v>11.9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45229</v>
      </c>
      <c r="E351" s="1" t="n">
        <v>46296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45149</v>
      </c>
      <c r="E352" s="1" t="n">
        <v>46296</v>
      </c>
      <c r="F352" t="inlineStr">
        <is>
          <t>ÖSTERGÖTLANDS LÄN</t>
        </is>
      </c>
      <c r="G352" t="inlineStr">
        <is>
          <t>FINSPÅNG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46296</v>
      </c>
      <c r="F353" t="inlineStr">
        <is>
          <t>ÖSTERGÖTLANDS LÄN</t>
        </is>
      </c>
      <c r="G353" t="inlineStr">
        <is>
          <t>FINSPÅNG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19160-2024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45428</v>
      </c>
      <c r="E354" s="1" t="n">
        <v>46296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55457-2024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45622</v>
      </c>
      <c r="E355" s="1" t="n">
        <v>46296</v>
      </c>
      <c r="F355" t="inlineStr">
        <is>
          <t>ÖSTERGÖTLANDS LÄN</t>
        </is>
      </c>
      <c r="G355" t="inlineStr">
        <is>
          <t>FINSPÅNG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58142-2022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46296</v>
      </c>
      <c r="F356" t="inlineStr">
        <is>
          <t>ÖSTERGÖTLANDS LÄN</t>
        </is>
      </c>
      <c r="G356" t="inlineStr">
        <is>
          <t>FINSPÅNG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46296</v>
      </c>
      <c r="F357" t="inlineStr">
        <is>
          <t>ÖSTERGÖTLANDS LÄN</t>
        </is>
      </c>
      <c r="G357" t="inlineStr">
        <is>
          <t>FINSPÅNG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46296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45082</v>
      </c>
      <c r="E359" s="1" t="n">
        <v>46296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45174</v>
      </c>
      <c r="E360" s="1" t="n">
        <v>46296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Kyrkan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45299</v>
      </c>
      <c r="E361" s="1" t="n">
        <v>46296</v>
      </c>
      <c r="F361" t="inlineStr">
        <is>
          <t>ÖSTERGÖTLANDS LÄN</t>
        </is>
      </c>
      <c r="G361" t="inlineStr">
        <is>
          <t>FINSPÅNG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45006</v>
      </c>
      <c r="E362" s="1" t="n">
        <v>46296</v>
      </c>
      <c r="F362" t="inlineStr">
        <is>
          <t>ÖSTERGÖTLANDS LÄN</t>
        </is>
      </c>
      <c r="G362" t="inlineStr">
        <is>
          <t>FINSPÅNG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45642</v>
      </c>
      <c r="E363" s="1" t="n">
        <v>46296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45770</v>
      </c>
      <c r="E364" s="1" t="n">
        <v>46296</v>
      </c>
      <c r="F364" t="inlineStr">
        <is>
          <t>ÖSTERGÖTLANDS LÄN</t>
        </is>
      </c>
      <c r="G364" t="inlineStr">
        <is>
          <t>FINSPÅNG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45095</v>
      </c>
      <c r="E365" s="1" t="n">
        <v>46296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Övriga Aktiebolag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11481-2023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44993</v>
      </c>
      <c r="E366" s="1" t="n">
        <v>46296</v>
      </c>
      <c r="F366" t="inlineStr">
        <is>
          <t>ÖSTERGÖTLANDS LÄN</t>
        </is>
      </c>
      <c r="G366" t="inlineStr">
        <is>
          <t>FINSPÅNG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54727-2023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45236</v>
      </c>
      <c r="E367" s="1" t="n">
        <v>46296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46296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45554</v>
      </c>
      <c r="E369" s="1" t="n">
        <v>46296</v>
      </c>
      <c r="F369" t="inlineStr">
        <is>
          <t>ÖSTERGÖTLANDS LÄN</t>
        </is>
      </c>
      <c r="G369" t="inlineStr">
        <is>
          <t>FINSPÅNG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45379</v>
      </c>
      <c r="E370" s="1" t="n">
        <v>46296</v>
      </c>
      <c r="F370" t="inlineStr">
        <is>
          <t>ÖSTERGÖTLANDS LÄN</t>
        </is>
      </c>
      <c r="G370" t="inlineStr">
        <is>
          <t>FINSPÅNG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44571-2022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44840</v>
      </c>
      <c r="E371" s="1" t="n">
        <v>46296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45095</v>
      </c>
      <c r="E372" s="1" t="n">
        <v>46296</v>
      </c>
      <c r="F372" t="inlineStr">
        <is>
          <t>ÖSTERGÖTLANDS LÄN</t>
        </is>
      </c>
      <c r="G372" t="inlineStr">
        <is>
          <t>FINSPÅNG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48691-2024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45593</v>
      </c>
      <c r="E373" s="1" t="n">
        <v>46296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Övriga Aktiebolag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17992-2023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46296</v>
      </c>
      <c r="F374" t="inlineStr">
        <is>
          <t>ÖSTERGÖTLANDS LÄN</t>
        </is>
      </c>
      <c r="G374" t="inlineStr">
        <is>
          <t>FINSPÅNG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63585-2023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45275</v>
      </c>
      <c r="E375" s="1" t="n">
        <v>46296</v>
      </c>
      <c r="F375" t="inlineStr">
        <is>
          <t>ÖSTERGÖTLANDS LÄN</t>
        </is>
      </c>
      <c r="G375" t="inlineStr">
        <is>
          <t>FINSPÅNG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44564</v>
      </c>
      <c r="E376" s="1" t="n">
        <v>46296</v>
      </c>
      <c r="F376" t="inlineStr">
        <is>
          <t>ÖSTERGÖTLANDS LÄN</t>
        </is>
      </c>
      <c r="G376" t="inlineStr">
        <is>
          <t>FINSPÅNG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45744</v>
      </c>
      <c r="E377" s="1" t="n">
        <v>46296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Naturvårdsverket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23249-2023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46296</v>
      </c>
      <c r="F378" t="inlineStr">
        <is>
          <t>ÖSTERGÖTLANDS LÄN</t>
        </is>
      </c>
      <c r="G378" t="inlineStr">
        <is>
          <t>FINSPÅNG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46296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45357</v>
      </c>
      <c r="E380" s="1" t="n">
        <v>46296</v>
      </c>
      <c r="F380" t="inlineStr">
        <is>
          <t>ÖSTERGÖTLANDS LÄN</t>
        </is>
      </c>
      <c r="G380" t="inlineStr">
        <is>
          <t>FINSPÅNG</t>
        </is>
      </c>
      <c r="I380" t="n">
        <v>7.6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16229-2024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45407</v>
      </c>
      <c r="E381" s="1" t="n">
        <v>46296</v>
      </c>
      <c r="F381" t="inlineStr">
        <is>
          <t>ÖSTERGÖTLANDS LÄN</t>
        </is>
      </c>
      <c r="G381" t="inlineStr">
        <is>
          <t>FINSPÅNG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46296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46296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24192-2022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44725</v>
      </c>
      <c r="E384" s="1" t="n">
        <v>46296</v>
      </c>
      <c r="F384" t="inlineStr">
        <is>
          <t>ÖSTERGÖTLANDS LÄN</t>
        </is>
      </c>
      <c r="G384" t="inlineStr">
        <is>
          <t>FINSPÅNG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46296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45055</v>
      </c>
      <c r="E386" s="1" t="n">
        <v>46296</v>
      </c>
      <c r="F386" t="inlineStr">
        <is>
          <t>ÖSTERGÖTLANDS LÄN</t>
        </is>
      </c>
      <c r="G386" t="inlineStr">
        <is>
          <t>FINSPÅNG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45257</v>
      </c>
      <c r="E387" s="1" t="n">
        <v>46296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45022</v>
      </c>
      <c r="E388" s="1" t="n">
        <v>46296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59827-2023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45257</v>
      </c>
      <c r="E389" s="1" t="n">
        <v>46296</v>
      </c>
      <c r="F389" t="inlineStr">
        <is>
          <t>ÖSTERGÖTLANDS LÄN</t>
        </is>
      </c>
      <c r="G389" t="inlineStr">
        <is>
          <t>FINSPÅNG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45688</v>
      </c>
      <c r="E390" s="1" t="n">
        <v>46296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46296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45250</v>
      </c>
      <c r="E392" s="1" t="n">
        <v>46296</v>
      </c>
      <c r="F392" t="inlineStr">
        <is>
          <t>ÖSTERGÖTLANDS LÄN</t>
        </is>
      </c>
      <c r="G392" t="inlineStr">
        <is>
          <t>FINSPÅNG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45566</v>
      </c>
      <c r="E393" s="1" t="n">
        <v>46296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42678-2024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45566</v>
      </c>
      <c r="E394" s="1" t="n">
        <v>46296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33804-2023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45133</v>
      </c>
      <c r="E395" s="1" t="n">
        <v>46296</v>
      </c>
      <c r="F395" t="inlineStr">
        <is>
          <t>ÖSTERGÖTLANDS LÄN</t>
        </is>
      </c>
      <c r="G395" t="inlineStr">
        <is>
          <t>FINSPÅNG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45566</v>
      </c>
      <c r="E396" s="1" t="n">
        <v>46296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58984-2022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44903</v>
      </c>
      <c r="E397" s="1" t="n">
        <v>46296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46296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13457-2025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45736</v>
      </c>
      <c r="E399" s="1" t="n">
        <v>46296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44816</v>
      </c>
      <c r="E400" s="1" t="n">
        <v>46296</v>
      </c>
      <c r="F400" t="inlineStr">
        <is>
          <t>ÖSTERGÖTLANDS LÄN</t>
        </is>
      </c>
      <c r="G400" t="inlineStr">
        <is>
          <t>FINSPÅNG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39114-2024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45548</v>
      </c>
      <c r="E401" s="1" t="n">
        <v>46296</v>
      </c>
      <c r="F401" t="inlineStr">
        <is>
          <t>ÖSTERGÖTLANDS LÄN</t>
        </is>
      </c>
      <c r="G401" t="inlineStr">
        <is>
          <t>FINSPÅNG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46296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45314</v>
      </c>
      <c r="E403" s="1" t="n">
        <v>46296</v>
      </c>
      <c r="F403" t="inlineStr">
        <is>
          <t>ÖSTERGÖTLANDS LÄN</t>
        </is>
      </c>
      <c r="G403" t="inlineStr">
        <is>
          <t>FINSPÅNG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14022-2023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45008</v>
      </c>
      <c r="E404" s="1" t="n">
        <v>46296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60249-2024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45642</v>
      </c>
      <c r="E405" s="1" t="n">
        <v>46296</v>
      </c>
      <c r="F405" t="inlineStr">
        <is>
          <t>ÖSTERGÖTLANDS LÄN</t>
        </is>
      </c>
      <c r="G405" t="inlineStr">
        <is>
          <t>FINSPÅNG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54609-2021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44473</v>
      </c>
      <c r="E406" s="1" t="n">
        <v>46296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Sveaskog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45530</v>
      </c>
      <c r="E407" s="1" t="n">
        <v>46296</v>
      </c>
      <c r="F407" t="inlineStr">
        <is>
          <t>ÖSTERGÖTLANDS LÄN</t>
        </is>
      </c>
      <c r="G407" t="inlineStr">
        <is>
          <t>FINSPÅNG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40194-2022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44820</v>
      </c>
      <c r="E408" s="1" t="n">
        <v>46296</v>
      </c>
      <c r="F408" t="inlineStr">
        <is>
          <t>ÖSTERGÖTLANDS LÄN</t>
        </is>
      </c>
      <c r="G408" t="inlineStr">
        <is>
          <t>FINSPÅNG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36406-2024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45535</v>
      </c>
      <c r="E409" s="1" t="n">
        <v>46296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Kommuner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7269-2024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45344</v>
      </c>
      <c r="E410" s="1" t="n">
        <v>46296</v>
      </c>
      <c r="F410" t="inlineStr">
        <is>
          <t>ÖSTERGÖTLANDS LÄN</t>
        </is>
      </c>
      <c r="G410" t="inlineStr">
        <is>
          <t>FINSPÅNG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46296</v>
      </c>
      <c r="F411" t="inlineStr">
        <is>
          <t>ÖSTERGÖTLANDS LÄN</t>
        </is>
      </c>
      <c r="G411" t="inlineStr">
        <is>
          <t>FINSPÅNG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46296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45252</v>
      </c>
      <c r="E413" s="1" t="n">
        <v>46296</v>
      </c>
      <c r="F413" t="inlineStr">
        <is>
          <t>ÖSTERGÖTLANDS LÄN</t>
        </is>
      </c>
      <c r="G413" t="inlineStr">
        <is>
          <t>FINSPÅNG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45209</v>
      </c>
      <c r="E414" s="1" t="n">
        <v>46296</v>
      </c>
      <c r="F414" t="inlineStr">
        <is>
          <t>ÖSTERGÖTLANDS LÄN</t>
        </is>
      </c>
      <c r="G414" t="inlineStr">
        <is>
          <t>FINSPÅNG</t>
        </is>
      </c>
      <c r="I414" t="n">
        <v>14.6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48793-2023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45209</v>
      </c>
      <c r="E415" s="1" t="n">
        <v>46296</v>
      </c>
      <c r="F415" t="inlineStr">
        <is>
          <t>ÖSTERGÖTLANDS LÄN</t>
        </is>
      </c>
      <c r="G415" t="inlineStr">
        <is>
          <t>FINSPÅNG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35343-2024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45530</v>
      </c>
      <c r="E416" s="1" t="n">
        <v>46296</v>
      </c>
      <c r="F416" t="inlineStr">
        <is>
          <t>ÖSTERGÖTLANDS LÄN</t>
        </is>
      </c>
      <c r="G416" t="inlineStr">
        <is>
          <t>FINSPÅNG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58367-2023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45250</v>
      </c>
      <c r="E417" s="1" t="n">
        <v>46296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45371</v>
      </c>
      <c r="E418" s="1" t="n">
        <v>46296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Kyrkan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45197</v>
      </c>
      <c r="E419" s="1" t="n">
        <v>46296</v>
      </c>
      <c r="F419" t="inlineStr">
        <is>
          <t>ÖSTERGÖTLANDS LÄN</t>
        </is>
      </c>
      <c r="G419" t="inlineStr">
        <is>
          <t>FINSPÅNG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42782-2024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45566</v>
      </c>
      <c r="E420" s="1" t="n">
        <v>46296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44966</v>
      </c>
      <c r="E421" s="1" t="n">
        <v>46296</v>
      </c>
      <c r="F421" t="inlineStr">
        <is>
          <t>ÖSTERGÖTLANDS LÄN</t>
        </is>
      </c>
      <c r="G421" t="inlineStr">
        <is>
          <t>FINSPÅNG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15824-2022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44664</v>
      </c>
      <c r="E422" s="1" t="n">
        <v>46296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36994-2022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44806</v>
      </c>
      <c r="E423" s="1" t="n">
        <v>46296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11523-2025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46296</v>
      </c>
      <c r="F424" t="inlineStr">
        <is>
          <t>ÖSTERGÖTLANDS LÄN</t>
        </is>
      </c>
      <c r="G424" t="inlineStr">
        <is>
          <t>FINSPÅNG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44946</v>
      </c>
      <c r="E425" s="1" t="n">
        <v>46296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44946</v>
      </c>
      <c r="E426" s="1" t="n">
        <v>46296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46296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60749-2022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44914</v>
      </c>
      <c r="E428" s="1" t="n">
        <v>46296</v>
      </c>
      <c r="F428" t="inlineStr">
        <is>
          <t>ÖSTERGÖTLANDS LÄN</t>
        </is>
      </c>
      <c r="G428" t="inlineStr">
        <is>
          <t>FINSPÅNG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45113</v>
      </c>
      <c r="E429" s="1" t="n">
        <v>46296</v>
      </c>
      <c r="F429" t="inlineStr">
        <is>
          <t>ÖSTERGÖTLANDS LÄN</t>
        </is>
      </c>
      <c r="G429" t="inlineStr">
        <is>
          <t>FINSPÅNG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44944</v>
      </c>
      <c r="E430" s="1" t="n">
        <v>46296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45009</v>
      </c>
      <c r="E431" s="1" t="n">
        <v>46296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46296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58011-2023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45247</v>
      </c>
      <c r="E433" s="1" t="n">
        <v>46296</v>
      </c>
      <c r="F433" t="inlineStr">
        <is>
          <t>ÖSTERGÖTLANDS LÄN</t>
        </is>
      </c>
      <c r="G433" t="inlineStr">
        <is>
          <t>FINSPÅNG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11867-2025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45728</v>
      </c>
      <c r="E434" s="1" t="n">
        <v>46296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45095</v>
      </c>
      <c r="E435" s="1" t="n">
        <v>46296</v>
      </c>
      <c r="F435" t="inlineStr">
        <is>
          <t>ÖSTERGÖTLANDS LÄN</t>
        </is>
      </c>
      <c r="G435" t="inlineStr">
        <is>
          <t>FINSPÅNG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45749</v>
      </c>
      <c r="E436" s="1" t="n">
        <v>46296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45407-2022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44844</v>
      </c>
      <c r="E437" s="1" t="n">
        <v>46296</v>
      </c>
      <c r="F437" t="inlineStr">
        <is>
          <t>ÖSTERGÖTLANDS LÄN</t>
        </is>
      </c>
      <c r="G437" t="inlineStr">
        <is>
          <t>FINSPÅNG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45411-2022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44844</v>
      </c>
      <c r="E438" s="1" t="n">
        <v>46296</v>
      </c>
      <c r="F438" t="inlineStr">
        <is>
          <t>ÖSTERGÖTLANDS LÄN</t>
        </is>
      </c>
      <c r="G438" t="inlineStr">
        <is>
          <t>FINSPÅNG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40063-2024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45554</v>
      </c>
      <c r="E439" s="1" t="n">
        <v>46296</v>
      </c>
      <c r="F439" t="inlineStr">
        <is>
          <t>ÖSTERGÖTLANDS LÄN</t>
        </is>
      </c>
      <c r="G439" t="inlineStr">
        <is>
          <t>FINSPÅNG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45523</v>
      </c>
      <c r="E440" s="1" t="n">
        <v>46296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24328-2025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45797</v>
      </c>
      <c r="E441" s="1" t="n">
        <v>46296</v>
      </c>
      <c r="F441" t="inlineStr">
        <is>
          <t>ÖSTERGÖTLANDS LÄN</t>
        </is>
      </c>
      <c r="G441" t="inlineStr">
        <is>
          <t>FINSPÅNG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24363-2025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45797</v>
      </c>
      <c r="E442" s="1" t="n">
        <v>46296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45796</v>
      </c>
      <c r="E443" s="1" t="n">
        <v>46296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Naturvårdsverket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44960</v>
      </c>
      <c r="E444" s="1" t="n">
        <v>46296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9009-2024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45357</v>
      </c>
      <c r="E445" s="1" t="n">
        <v>46296</v>
      </c>
      <c r="F445" t="inlineStr">
        <is>
          <t>ÖSTERGÖTLANDS LÄN</t>
        </is>
      </c>
      <c r="G445" t="inlineStr">
        <is>
          <t>FINSPÅNG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14031-2025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45740</v>
      </c>
      <c r="E446" s="1" t="n">
        <v>46296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45688</v>
      </c>
      <c r="E447" s="1" t="n">
        <v>46296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18171-2024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45420</v>
      </c>
      <c r="E448" s="1" t="n">
        <v>46296</v>
      </c>
      <c r="F448" t="inlineStr">
        <is>
          <t>ÖSTERGÖTLANDS LÄN</t>
        </is>
      </c>
      <c r="G448" t="inlineStr">
        <is>
          <t>FINSPÅNG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44767</v>
      </c>
      <c r="E449" s="1" t="n">
        <v>46296</v>
      </c>
      <c r="F449" t="inlineStr">
        <is>
          <t>ÖSTERGÖTLANDS LÄN</t>
        </is>
      </c>
      <c r="G449" t="inlineStr">
        <is>
          <t>FINSPÅNG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43318-2022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44834</v>
      </c>
      <c r="E450" s="1" t="n">
        <v>46296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21532-2024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45441</v>
      </c>
      <c r="E451" s="1" t="n">
        <v>46296</v>
      </c>
      <c r="F451" t="inlineStr">
        <is>
          <t>ÖSTERGÖTLANDS LÄN</t>
        </is>
      </c>
      <c r="G451" t="inlineStr">
        <is>
          <t>FINSPÅNG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46296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30271-2022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44759</v>
      </c>
      <c r="E453" s="1" t="n">
        <v>46296</v>
      </c>
      <c r="F453" t="inlineStr">
        <is>
          <t>ÖSTERGÖTLANDS LÄN</t>
        </is>
      </c>
      <c r="G453" t="inlineStr">
        <is>
          <t>FINSPÅNG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45616</v>
      </c>
      <c r="E454" s="1" t="n">
        <v>46296</v>
      </c>
      <c r="F454" t="inlineStr">
        <is>
          <t>ÖSTERGÖTLANDS LÄN</t>
        </is>
      </c>
      <c r="G454" t="inlineStr">
        <is>
          <t>FINSPÅNG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24806-2023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46296</v>
      </c>
      <c r="F455" t="inlineStr">
        <is>
          <t>ÖSTERGÖTLANDS LÄN</t>
        </is>
      </c>
      <c r="G455" t="inlineStr">
        <is>
          <t>FINSPÅNG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54404-2023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45233</v>
      </c>
      <c r="E456" s="1" t="n">
        <v>46296</v>
      </c>
      <c r="F456" t="inlineStr">
        <is>
          <t>ÖSTERGÖTLANDS LÄN</t>
        </is>
      </c>
      <c r="G456" t="inlineStr">
        <is>
          <t>FINSPÅNG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60038-2023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45258</v>
      </c>
      <c r="E457" s="1" t="n">
        <v>46296</v>
      </c>
      <c r="F457" t="inlineStr">
        <is>
          <t>ÖSTERGÖTLANDS LÄN</t>
        </is>
      </c>
      <c r="G457" t="inlineStr">
        <is>
          <t>FINSPÅNG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24310-2025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45797</v>
      </c>
      <c r="E458" s="1" t="n">
        <v>46296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32044-2022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44778</v>
      </c>
      <c r="E459" s="1" t="n">
        <v>46296</v>
      </c>
      <c r="F459" t="inlineStr">
        <is>
          <t>ÖSTERGÖTLANDS LÄN</t>
        </is>
      </c>
      <c r="G459" t="inlineStr">
        <is>
          <t>FINSPÅNG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50341-2022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44865</v>
      </c>
      <c r="E460" s="1" t="n">
        <v>46296</v>
      </c>
      <c r="F460" t="inlineStr">
        <is>
          <t>ÖSTERGÖTLANDS LÄN</t>
        </is>
      </c>
      <c r="G460" t="inlineStr">
        <is>
          <t>FINSPÅNG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45253</v>
      </c>
      <c r="E461" s="1" t="n">
        <v>46296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44953</v>
      </c>
      <c r="E462" s="1" t="n">
        <v>46296</v>
      </c>
      <c r="F462" t="inlineStr">
        <is>
          <t>ÖSTERGÖTLANDS LÄN</t>
        </is>
      </c>
      <c r="G462" t="inlineStr">
        <is>
          <t>FINSPÅNG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54505-2024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45617</v>
      </c>
      <c r="E463" s="1" t="n">
        <v>46296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45149</v>
      </c>
      <c r="E464" s="1" t="n">
        <v>46296</v>
      </c>
      <c r="F464" t="inlineStr">
        <is>
          <t>ÖSTERGÖTLANDS LÄN</t>
        </is>
      </c>
      <c r="G464" t="inlineStr">
        <is>
          <t>FINSPÅNG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53610-2022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44879</v>
      </c>
      <c r="E465" s="1" t="n">
        <v>46296</v>
      </c>
      <c r="F465" t="inlineStr">
        <is>
          <t>ÖSTERGÖTLANDS LÄN</t>
        </is>
      </c>
      <c r="G465" t="inlineStr">
        <is>
          <t>FINSPÅNG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45796</v>
      </c>
      <c r="E466" s="1" t="n">
        <v>46296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Naturvårdsverket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45258</v>
      </c>
      <c r="E467" s="1" t="n">
        <v>46296</v>
      </c>
      <c r="F467" t="inlineStr">
        <is>
          <t>ÖSTERGÖTLANDS LÄN</t>
        </is>
      </c>
      <c r="G467" t="inlineStr">
        <is>
          <t>FINSPÅNG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49494-2022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44861</v>
      </c>
      <c r="E468" s="1" t="n">
        <v>46296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Naturvårdsverket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58141-2022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44900</v>
      </c>
      <c r="E469" s="1" t="n">
        <v>46296</v>
      </c>
      <c r="F469" t="inlineStr">
        <is>
          <t>ÖSTERGÖTLANDS LÄN</t>
        </is>
      </c>
      <c r="G469" t="inlineStr">
        <is>
          <t>FINSPÅNG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45702</v>
      </c>
      <c r="E470" s="1" t="n">
        <v>46296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44617</v>
      </c>
      <c r="E471" s="1" t="n">
        <v>46296</v>
      </c>
      <c r="F471" t="inlineStr">
        <is>
          <t>ÖSTERGÖTLANDS LÄN</t>
        </is>
      </c>
      <c r="G471" t="inlineStr">
        <is>
          <t>FINSPÅNG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45677</v>
      </c>
      <c r="E472" s="1" t="n">
        <v>46296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44942</v>
      </c>
      <c r="E473" s="1" t="n">
        <v>46296</v>
      </c>
      <c r="F473" t="inlineStr">
        <is>
          <t>ÖSTERGÖTLANDS LÄN</t>
        </is>
      </c>
      <c r="G473" t="inlineStr">
        <is>
          <t>FINSPÅNG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46296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Övriga Aktiebolag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45713</v>
      </c>
      <c r="E475" s="1" t="n">
        <v>46296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45042</v>
      </c>
      <c r="E476" s="1" t="n">
        <v>46296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44937</v>
      </c>
      <c r="E477" s="1" t="n">
        <v>46296</v>
      </c>
      <c r="F477" t="inlineStr">
        <is>
          <t>ÖSTERGÖTLANDS LÄN</t>
        </is>
      </c>
      <c r="G477" t="inlineStr">
        <is>
          <t>FINSPÅNG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46296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49677-2022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44862</v>
      </c>
      <c r="E479" s="1" t="n">
        <v>46296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45095</v>
      </c>
      <c r="E480" s="1" t="n">
        <v>46296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Övriga Aktiebolag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45095</v>
      </c>
      <c r="E481" s="1" t="n">
        <v>46296</v>
      </c>
      <c r="F481" t="inlineStr">
        <is>
          <t>ÖSTERGÖTLANDS LÄN</t>
        </is>
      </c>
      <c r="G481" t="inlineStr">
        <is>
          <t>FINSPÅNG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45709</v>
      </c>
      <c r="E482" s="1" t="n">
        <v>46296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56309-2022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44887</v>
      </c>
      <c r="E483" s="1" t="n">
        <v>46296</v>
      </c>
      <c r="F483" t="inlineStr">
        <is>
          <t>ÖSTERGÖTLANDS LÄN</t>
        </is>
      </c>
      <c r="G483" t="inlineStr">
        <is>
          <t>FINSPÅNG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56264-2022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44887</v>
      </c>
      <c r="E484" s="1" t="n">
        <v>46296</v>
      </c>
      <c r="F484" t="inlineStr">
        <is>
          <t>ÖSTERGÖTLANDS LÄN</t>
        </is>
      </c>
      <c r="G484" t="inlineStr">
        <is>
          <t>FINSPÅNG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18657-2024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45426</v>
      </c>
      <c r="E485" s="1" t="n">
        <v>46296</v>
      </c>
      <c r="F485" t="inlineStr">
        <is>
          <t>ÖSTERGÖTLANDS LÄN</t>
        </is>
      </c>
      <c r="G485" t="inlineStr">
        <is>
          <t>FINSPÅNG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11541-2023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44993</v>
      </c>
      <c r="E486" s="1" t="n">
        <v>46296</v>
      </c>
      <c r="F486" t="inlineStr">
        <is>
          <t>ÖSTERGÖTLANDS LÄN</t>
        </is>
      </c>
      <c r="G486" t="inlineStr">
        <is>
          <t>FINSPÅNG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45095</v>
      </c>
      <c r="E487" s="1" t="n">
        <v>46296</v>
      </c>
      <c r="F487" t="inlineStr">
        <is>
          <t>ÖSTERGÖTLANDS LÄN</t>
        </is>
      </c>
      <c r="G487" t="inlineStr">
        <is>
          <t>FINSPÅNG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9339-2022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44616</v>
      </c>
      <c r="E488" s="1" t="n">
        <v>46296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28556-2023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45103</v>
      </c>
      <c r="E489" s="1" t="n">
        <v>46296</v>
      </c>
      <c r="F489" t="inlineStr">
        <is>
          <t>ÖSTERGÖTLANDS LÄN</t>
        </is>
      </c>
      <c r="G489" t="inlineStr">
        <is>
          <t>FINSPÅNG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45800</v>
      </c>
      <c r="E490" s="1" t="n">
        <v>46296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Naturvårdsverket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45800</v>
      </c>
      <c r="E491" s="1" t="n">
        <v>46296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Naturvårdsverket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25319-2025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45800</v>
      </c>
      <c r="E492" s="1" t="n">
        <v>46296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Naturvårdsverket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45800</v>
      </c>
      <c r="E493" s="1" t="n">
        <v>46296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Naturvårdsverket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39205-2022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44817</v>
      </c>
      <c r="E494" s="1" t="n">
        <v>46296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44949</v>
      </c>
      <c r="E495" s="1" t="n">
        <v>46296</v>
      </c>
      <c r="F495" t="inlineStr">
        <is>
          <t>ÖSTERGÖTLANDS LÄN</t>
        </is>
      </c>
      <c r="G495" t="inlineStr">
        <is>
          <t>FINSPÅNG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11974-2023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44995</v>
      </c>
      <c r="E496" s="1" t="n">
        <v>46296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38613-2022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44813</v>
      </c>
      <c r="E497" s="1" t="n">
        <v>46296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44564</v>
      </c>
      <c r="E498" s="1" t="n">
        <v>46296</v>
      </c>
      <c r="F498" t="inlineStr">
        <is>
          <t>ÖSTERGÖTLANDS LÄN</t>
        </is>
      </c>
      <c r="G498" t="inlineStr">
        <is>
          <t>FINSPÅNG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45607</v>
      </c>
      <c r="E499" s="1" t="n">
        <v>46296</v>
      </c>
      <c r="F499" t="inlineStr">
        <is>
          <t>ÖSTERGÖTLANDS LÄN</t>
        </is>
      </c>
      <c r="G499" t="inlineStr">
        <is>
          <t>FINSPÅNG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52008-2024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45607</v>
      </c>
      <c r="E500" s="1" t="n">
        <v>46296</v>
      </c>
      <c r="F500" t="inlineStr">
        <is>
          <t>ÖSTERGÖTLANDS LÄN</t>
        </is>
      </c>
      <c r="G500" t="inlineStr">
        <is>
          <t>FINSPÅNG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52557-2024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45609</v>
      </c>
      <c r="E501" s="1" t="n">
        <v>46296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45665</v>
      </c>
      <c r="E502" s="1" t="n">
        <v>46296</v>
      </c>
      <c r="F502" t="inlineStr">
        <is>
          <t>ÖSTERGÖTLANDS LÄN</t>
        </is>
      </c>
      <c r="G502" t="inlineStr">
        <is>
          <t>FINSPÅNG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45551</v>
      </c>
      <c r="E503" s="1" t="n">
        <v>46296</v>
      </c>
      <c r="F503" t="inlineStr">
        <is>
          <t>ÖSTERGÖTLANDS LÄN</t>
        </is>
      </c>
      <c r="G503" t="inlineStr">
        <is>
          <t>FINSPÅNG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31323-2022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44774</v>
      </c>
      <c r="E504" s="1" t="n">
        <v>46296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45744</v>
      </c>
      <c r="E505" s="1" t="n">
        <v>46296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Naturvårdsverket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45259</v>
      </c>
      <c r="E506" s="1" t="n">
        <v>46296</v>
      </c>
      <c r="F506" t="inlineStr">
        <is>
          <t>ÖSTERGÖTLANDS LÄN</t>
        </is>
      </c>
      <c r="G506" t="inlineStr">
        <is>
          <t>FINSPÅNG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45013</v>
      </c>
      <c r="E507" s="1" t="n">
        <v>46296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27208-2025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45812</v>
      </c>
      <c r="E508" s="1" t="n">
        <v>46296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34941-2023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45142</v>
      </c>
      <c r="E509" s="1" t="n">
        <v>46296</v>
      </c>
      <c r="F509" t="inlineStr">
        <is>
          <t>ÖSTERGÖTLANDS LÄN</t>
        </is>
      </c>
      <c r="G509" t="inlineStr">
        <is>
          <t>FINSPÅNG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46296</v>
      </c>
      <c r="F510" t="inlineStr">
        <is>
          <t>ÖSTERGÖTLANDS LÄN</t>
        </is>
      </c>
      <c r="G510" t="inlineStr">
        <is>
          <t>FINSPÅNG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14454-2022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44653</v>
      </c>
      <c r="E511" s="1" t="n">
        <v>46296</v>
      </c>
      <c r="F511" t="inlineStr">
        <is>
          <t>ÖSTERGÖTLANDS LÄN</t>
        </is>
      </c>
      <c r="G511" t="inlineStr">
        <is>
          <t>FINSPÅNG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45812</v>
      </c>
      <c r="E512" s="1" t="n">
        <v>46296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45688</v>
      </c>
      <c r="E513" s="1" t="n">
        <v>46296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19263-2024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45428</v>
      </c>
      <c r="E514" s="1" t="n">
        <v>46296</v>
      </c>
      <c r="F514" t="inlineStr">
        <is>
          <t>ÖSTERGÖTLANDS LÄN</t>
        </is>
      </c>
      <c r="G514" t="inlineStr">
        <is>
          <t>FINSPÅNG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15097-2025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45744</v>
      </c>
      <c r="E515" s="1" t="n">
        <v>46296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61114-2024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45645</v>
      </c>
      <c r="E516" s="1" t="n">
        <v>46296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48767-2024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45593</v>
      </c>
      <c r="E517" s="1" t="n">
        <v>46296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59701-2024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45639</v>
      </c>
      <c r="E518" s="1" t="n">
        <v>46296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10420-2023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44987</v>
      </c>
      <c r="E519" s="1" t="n">
        <v>46296</v>
      </c>
      <c r="F519" t="inlineStr">
        <is>
          <t>ÖSTERGÖTLANDS LÄN</t>
        </is>
      </c>
      <c r="G519" t="inlineStr">
        <is>
          <t>FINSPÅNG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40410-2024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46296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45639</v>
      </c>
      <c r="E521" s="1" t="n">
        <v>46296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28428-2025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45819</v>
      </c>
      <c r="E522" s="1" t="n">
        <v>46296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45314</v>
      </c>
      <c r="E523" s="1" t="n">
        <v>46296</v>
      </c>
      <c r="F523" t="inlineStr">
        <is>
          <t>ÖSTERGÖTLANDS LÄN</t>
        </is>
      </c>
      <c r="G523" t="inlineStr">
        <is>
          <t>FINSPÅNG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45819</v>
      </c>
      <c r="E524" s="1" t="n">
        <v>46296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45447</v>
      </c>
      <c r="E525" s="1" t="n">
        <v>46296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23724-2023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45077</v>
      </c>
      <c r="E526" s="1" t="n">
        <v>46296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13229-2023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45002</v>
      </c>
      <c r="E527" s="1" t="n">
        <v>46296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Kyrkan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45068</v>
      </c>
      <c r="E528" s="1" t="n">
        <v>46296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55956-2024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45623</v>
      </c>
      <c r="E529" s="1" t="n">
        <v>46296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50811-2022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44867</v>
      </c>
      <c r="E530" s="1" t="n">
        <v>46296</v>
      </c>
      <c r="F530" t="inlineStr">
        <is>
          <t>ÖSTERGÖTLANDS LÄN</t>
        </is>
      </c>
      <c r="G530" t="inlineStr">
        <is>
          <t>FINSPÅNG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25195-2022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44729</v>
      </c>
      <c r="E531" s="1" t="n">
        <v>46296</v>
      </c>
      <c r="F531" t="inlineStr">
        <is>
          <t>ÖSTERGÖTLANDS LÄN</t>
        </is>
      </c>
      <c r="G531" t="inlineStr">
        <is>
          <t>FINSPÅNG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45410-2022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44844</v>
      </c>
      <c r="E532" s="1" t="n">
        <v>46296</v>
      </c>
      <c r="F532" t="inlineStr">
        <is>
          <t>ÖSTERGÖTLANDS LÄN</t>
        </is>
      </c>
      <c r="G532" t="inlineStr">
        <is>
          <t>FINSPÅNG</t>
        </is>
      </c>
      <c r="I532" t="n">
        <v>16.6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29441-2025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45824</v>
      </c>
      <c r="E533" s="1" t="n">
        <v>46296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53821-2022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44880</v>
      </c>
      <c r="E534" s="1" t="n">
        <v>46296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44973</v>
      </c>
      <c r="E535" s="1" t="n">
        <v>46296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61359-2023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45264</v>
      </c>
      <c r="E536" s="1" t="n">
        <v>46296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29419-2025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45824</v>
      </c>
      <c r="E537" s="1" t="n">
        <v>46296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45824</v>
      </c>
      <c r="E538" s="1" t="n">
        <v>46296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23350-2023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45076</v>
      </c>
      <c r="E539" s="1" t="n">
        <v>46296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27892-2023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45095</v>
      </c>
      <c r="E540" s="1" t="n">
        <v>46296</v>
      </c>
      <c r="F540" t="inlineStr">
        <is>
          <t>ÖSTERGÖTLANDS LÄN</t>
        </is>
      </c>
      <c r="G540" t="inlineStr">
        <is>
          <t>FINSPÅNG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59672-2024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45639</v>
      </c>
      <c r="E541" s="1" t="n">
        <v>46296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29430-2025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45824</v>
      </c>
      <c r="E542" s="1" t="n">
        <v>46296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54923-2022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44886</v>
      </c>
      <c r="E543" s="1" t="n">
        <v>46296</v>
      </c>
      <c r="F543" t="inlineStr">
        <is>
          <t>ÖSTERGÖTLANDS LÄN</t>
        </is>
      </c>
      <c r="G543" t="inlineStr">
        <is>
          <t>FINSPÅNG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59062-2024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45636</v>
      </c>
      <c r="E544" s="1" t="n">
        <v>46296</v>
      </c>
      <c r="F544" t="inlineStr">
        <is>
          <t>ÖSTERGÖTLANDS LÄN</t>
        </is>
      </c>
      <c r="G544" t="inlineStr">
        <is>
          <t>FINSPÅNG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68122-2021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46296</v>
      </c>
      <c r="F545" t="inlineStr">
        <is>
          <t>ÖSTERGÖTLANDS LÄN</t>
        </is>
      </c>
      <c r="G545" t="inlineStr">
        <is>
          <t>FINSPÅNG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61994-2022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44918</v>
      </c>
      <c r="E546" s="1" t="n">
        <v>46296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46296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64408-2023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45280</v>
      </c>
      <c r="E548" s="1" t="n">
        <v>46296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Övriga Aktiebolag</t>
        </is>
      </c>
      <c r="I548" t="n">
        <v>13.6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8317-2023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46296</v>
      </c>
      <c r="F549" t="inlineStr">
        <is>
          <t>ÖSTERGÖTLANDS LÄN</t>
        </is>
      </c>
      <c r="G549" t="inlineStr">
        <is>
          <t>FINSPÅNG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45008</v>
      </c>
      <c r="E550" s="1" t="n">
        <v>46296</v>
      </c>
      <c r="F550" t="inlineStr">
        <is>
          <t>ÖSTERGÖTLANDS LÄN</t>
        </is>
      </c>
      <c r="G550" t="inlineStr">
        <is>
          <t>FINSPÅNG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10252-2025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45720</v>
      </c>
      <c r="E551" s="1" t="n">
        <v>46296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62158-2022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44922</v>
      </c>
      <c r="E552" s="1" t="n">
        <v>46296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34758-2022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44795</v>
      </c>
      <c r="E553" s="1" t="n">
        <v>46296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Övriga Aktiebolag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45225</v>
      </c>
      <c r="E554" s="1" t="n">
        <v>46296</v>
      </c>
      <c r="F554" t="inlineStr">
        <is>
          <t>ÖSTERGÖTLANDS LÄN</t>
        </is>
      </c>
      <c r="G554" t="inlineStr">
        <is>
          <t>FINSPÅNG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45260</v>
      </c>
      <c r="E555" s="1" t="n">
        <v>46296</v>
      </c>
      <c r="F555" t="inlineStr">
        <is>
          <t>ÖSTERGÖTLANDS LÄN</t>
        </is>
      </c>
      <c r="G555" t="inlineStr">
        <is>
          <t>FINSPÅNG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59468-2021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44491</v>
      </c>
      <c r="E556" s="1" t="n">
        <v>46296</v>
      </c>
      <c r="F556" t="inlineStr">
        <is>
          <t>ÖSTERGÖTLANDS LÄN</t>
        </is>
      </c>
      <c r="G556" t="inlineStr">
        <is>
          <t>FINSPÅNG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18306-2023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45041</v>
      </c>
      <c r="E557" s="1" t="n">
        <v>46296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Naturvårdsverket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45257</v>
      </c>
      <c r="E558" s="1" t="n">
        <v>46296</v>
      </c>
      <c r="F558" t="inlineStr">
        <is>
          <t>ÖSTERGÖTLANDS LÄN</t>
        </is>
      </c>
      <c r="G558" t="inlineStr">
        <is>
          <t>FINSPÅNG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44987</v>
      </c>
      <c r="E559" s="1" t="n">
        <v>46296</v>
      </c>
      <c r="F559" t="inlineStr">
        <is>
          <t>ÖSTERGÖTLANDS LÄN</t>
        </is>
      </c>
      <c r="G559" t="inlineStr">
        <is>
          <t>FINSPÅNG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45082</v>
      </c>
      <c r="E560" s="1" t="n">
        <v>46296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42651-2024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45566</v>
      </c>
      <c r="E561" s="1" t="n">
        <v>46296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45835</v>
      </c>
      <c r="E562" s="1" t="n">
        <v>46296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45177</v>
      </c>
      <c r="E563" s="1" t="n">
        <v>46296</v>
      </c>
      <c r="F563" t="inlineStr">
        <is>
          <t>ÖSTERGÖTLANDS LÄN</t>
        </is>
      </c>
      <c r="G563" t="inlineStr">
        <is>
          <t>FINSPÅNG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51610-2022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44871</v>
      </c>
      <c r="E564" s="1" t="n">
        <v>46296</v>
      </c>
      <c r="F564" t="inlineStr">
        <is>
          <t>ÖSTERGÖTLANDS LÄN</t>
        </is>
      </c>
      <c r="G564" t="inlineStr">
        <is>
          <t>FINSPÅNG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45391</v>
      </c>
      <c r="E565" s="1" t="n">
        <v>46296</v>
      </c>
      <c r="F565" t="inlineStr">
        <is>
          <t>ÖSTERGÖTLANDS LÄN</t>
        </is>
      </c>
      <c r="G565" t="inlineStr">
        <is>
          <t>FINSPÅNG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11950-2023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44995</v>
      </c>
      <c r="E566" s="1" t="n">
        <v>46296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48652-2024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45593</v>
      </c>
      <c r="E567" s="1" t="n">
        <v>46296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Övriga Aktiebolag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5336-2025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45692</v>
      </c>
      <c r="E568" s="1" t="n">
        <v>46296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45840</v>
      </c>
      <c r="E569" s="1" t="n">
        <v>46296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22354-2023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45070</v>
      </c>
      <c r="E570" s="1" t="n">
        <v>46296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47224-2023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45202</v>
      </c>
      <c r="E571" s="1" t="n">
        <v>46296</v>
      </c>
      <c r="F571" t="inlineStr">
        <is>
          <t>ÖSTERGÖTLANDS LÄN</t>
        </is>
      </c>
      <c r="G571" t="inlineStr">
        <is>
          <t>FINSPÅNG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6527-2023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44966</v>
      </c>
      <c r="E572" s="1" t="n">
        <v>46296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45147</v>
      </c>
      <c r="E573" s="1" t="n">
        <v>46296</v>
      </c>
      <c r="F573" t="inlineStr">
        <is>
          <t>ÖSTERGÖTLANDS LÄN</t>
        </is>
      </c>
      <c r="G573" t="inlineStr">
        <is>
          <t>FINSPÅNG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6733-2023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44966</v>
      </c>
      <c r="E574" s="1" t="n">
        <v>46296</v>
      </c>
      <c r="F574" t="inlineStr">
        <is>
          <t>ÖSTERGÖTLANDS LÄN</t>
        </is>
      </c>
      <c r="G574" t="inlineStr">
        <is>
          <t>FINSPÅNG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46296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35570-2023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45147</v>
      </c>
      <c r="E576" s="1" t="n">
        <v>46296</v>
      </c>
      <c r="F576" t="inlineStr">
        <is>
          <t>ÖSTERGÖTLANDS LÄN</t>
        </is>
      </c>
      <c r="G576" t="inlineStr">
        <is>
          <t>FINSPÅNG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53572-2023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45230</v>
      </c>
      <c r="E577" s="1" t="n">
        <v>46296</v>
      </c>
      <c r="F577" t="inlineStr">
        <is>
          <t>ÖSTERGÖTLANDS LÄN</t>
        </is>
      </c>
      <c r="G577" t="inlineStr">
        <is>
          <t>FINSPÅNG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17994-2023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45040</v>
      </c>
      <c r="E578" s="1" t="n">
        <v>46296</v>
      </c>
      <c r="F578" t="inlineStr">
        <is>
          <t>ÖSTERGÖTLANDS LÄN</t>
        </is>
      </c>
      <c r="G578" t="inlineStr">
        <is>
          <t>FINSPÅNG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18134-2023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45040</v>
      </c>
      <c r="E579" s="1" t="n">
        <v>46296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8611-2025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45710</v>
      </c>
      <c r="E580" s="1" t="n">
        <v>46296</v>
      </c>
      <c r="F580" t="inlineStr">
        <is>
          <t>ÖSTERGÖTLANDS LÄN</t>
        </is>
      </c>
      <c r="G580" t="inlineStr">
        <is>
          <t>FINSPÅNG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40069-2024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45554</v>
      </c>
      <c r="E581" s="1" t="n">
        <v>46296</v>
      </c>
      <c r="F581" t="inlineStr">
        <is>
          <t>ÖSTERGÖTLANDS LÄN</t>
        </is>
      </c>
      <c r="G581" t="inlineStr">
        <is>
          <t>FINSPÅNG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44876</v>
      </c>
      <c r="E582" s="1" t="n">
        <v>46296</v>
      </c>
      <c r="F582" t="inlineStr">
        <is>
          <t>ÖSTERGÖTLANDS LÄN</t>
        </is>
      </c>
      <c r="G582" t="inlineStr">
        <is>
          <t>FINSPÅNG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73260-2021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44550</v>
      </c>
      <c r="E583" s="1" t="n">
        <v>46296</v>
      </c>
      <c r="F583" t="inlineStr">
        <is>
          <t>ÖSTERGÖTLANDS LÄN</t>
        </is>
      </c>
      <c r="G583" t="inlineStr">
        <is>
          <t>FINSPÅNG</t>
        </is>
      </c>
      <c r="I583" t="n">
        <v>10.3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45776</v>
      </c>
      <c r="E584" s="1" t="n">
        <v>46296</v>
      </c>
      <c r="F584" t="inlineStr">
        <is>
          <t>ÖSTERGÖTLANDS LÄN</t>
        </is>
      </c>
      <c r="G584" t="inlineStr">
        <is>
          <t>FINSPÅNG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42202-2023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45179</v>
      </c>
      <c r="E585" s="1" t="n">
        <v>46296</v>
      </c>
      <c r="F585" t="inlineStr">
        <is>
          <t>ÖSTERGÖTLANDS LÄN</t>
        </is>
      </c>
      <c r="G585" t="inlineStr">
        <is>
          <t>FINSPÅNG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45179</v>
      </c>
      <c r="E586" s="1" t="n">
        <v>46296</v>
      </c>
      <c r="F586" t="inlineStr">
        <is>
          <t>ÖSTERGÖTLANDS LÄN</t>
        </is>
      </c>
      <c r="G586" t="inlineStr">
        <is>
          <t>FINSPÅNG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8403-2025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45709</v>
      </c>
      <c r="E587" s="1" t="n">
        <v>46296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35375-2025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45854</v>
      </c>
      <c r="E588" s="1" t="n">
        <v>46296</v>
      </c>
      <c r="F588" t="inlineStr">
        <is>
          <t>ÖSTERGÖTLANDS LÄN</t>
        </is>
      </c>
      <c r="G588" t="inlineStr">
        <is>
          <t>FINSPÅNG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45854</v>
      </c>
      <c r="E589" s="1" t="n">
        <v>46296</v>
      </c>
      <c r="F589" t="inlineStr">
        <is>
          <t>ÖSTERGÖTLANDS LÄN</t>
        </is>
      </c>
      <c r="G589" t="inlineStr">
        <is>
          <t>FINSPÅNG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45337</v>
      </c>
      <c r="E590" s="1" t="n">
        <v>46296</v>
      </c>
      <c r="F590" t="inlineStr">
        <is>
          <t>ÖSTERGÖTLANDS LÄN</t>
        </is>
      </c>
      <c r="G590" t="inlineStr">
        <is>
          <t>FINSPÅNG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45309</v>
      </c>
      <c r="E591" s="1" t="n">
        <v>46296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45309</v>
      </c>
      <c r="E592" s="1" t="n">
        <v>46296</v>
      </c>
      <c r="F592" t="inlineStr">
        <is>
          <t>ÖSTERGÖTLANDS LÄN</t>
        </is>
      </c>
      <c r="G592" t="inlineStr">
        <is>
          <t>FINSPÅNG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45309</v>
      </c>
      <c r="E593" s="1" t="n">
        <v>46296</v>
      </c>
      <c r="F593" t="inlineStr">
        <is>
          <t>ÖSTERGÖTLANDS LÄN</t>
        </is>
      </c>
      <c r="G593" t="inlineStr">
        <is>
          <t>FINSPÅNG</t>
        </is>
      </c>
      <c r="I593" t="n">
        <v>15.1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45853</v>
      </c>
      <c r="E594" s="1" t="n">
        <v>46296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35492-2025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45855</v>
      </c>
      <c r="E595" s="1" t="n">
        <v>46296</v>
      </c>
      <c r="F595" t="inlineStr">
        <is>
          <t>ÖSTERGÖTLANDS LÄN</t>
        </is>
      </c>
      <c r="G595" t="inlineStr">
        <is>
          <t>FINSPÅNG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33997-2024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45523</v>
      </c>
      <c r="E596" s="1" t="n">
        <v>46296</v>
      </c>
      <c r="F596" t="inlineStr">
        <is>
          <t>ÖSTERGÖTLANDS LÄN</t>
        </is>
      </c>
      <c r="G596" t="inlineStr">
        <is>
          <t>FINSPÅNG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44949</v>
      </c>
      <c r="E597" s="1" t="n">
        <v>46296</v>
      </c>
      <c r="F597" t="inlineStr">
        <is>
          <t>ÖSTERGÖTLANDS LÄN</t>
        </is>
      </c>
      <c r="G597" t="inlineStr">
        <is>
          <t>FINSPÅNG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45323</v>
      </c>
      <c r="E598" s="1" t="n">
        <v>46296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45013</v>
      </c>
      <c r="E599" s="1" t="n">
        <v>46296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31043-2025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46296</v>
      </c>
      <c r="F600" t="inlineStr">
        <is>
          <t>ÖSTERGÖTLANDS LÄN</t>
        </is>
      </c>
      <c r="G600" t="inlineStr">
        <is>
          <t>FINSPÅNG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44981</v>
      </c>
      <c r="E601" s="1" t="n">
        <v>46296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611-2023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44930</v>
      </c>
      <c r="E602" s="1" t="n">
        <v>46296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25184-2023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45086</v>
      </c>
      <c r="E603" s="1" t="n">
        <v>46296</v>
      </c>
      <c r="F603" t="inlineStr">
        <is>
          <t>ÖSTERGÖTLANDS LÄN</t>
        </is>
      </c>
      <c r="G603" t="inlineStr">
        <is>
          <t>FINSPÅNG</t>
        </is>
      </c>
      <c r="I603" t="n">
        <v>10.1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45042</v>
      </c>
      <c r="E604" s="1" t="n">
        <v>46296</v>
      </c>
      <c r="F604" t="inlineStr">
        <is>
          <t>ÖSTERGÖTLANDS LÄN</t>
        </is>
      </c>
      <c r="G604" t="inlineStr">
        <is>
          <t>FINSPÅNG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18494-2023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45042</v>
      </c>
      <c r="E605" s="1" t="n">
        <v>46296</v>
      </c>
      <c r="F605" t="inlineStr">
        <is>
          <t>ÖSTERGÖTLANDS LÄN</t>
        </is>
      </c>
      <c r="G605" t="inlineStr">
        <is>
          <t>FINSPÅNG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44939</v>
      </c>
      <c r="E606" s="1" t="n">
        <v>46296</v>
      </c>
      <c r="F606" t="inlineStr">
        <is>
          <t>ÖSTERGÖTLANDS LÄN</t>
        </is>
      </c>
      <c r="G606" t="inlineStr">
        <is>
          <t>FINSPÅNG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52004-2024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45607</v>
      </c>
      <c r="E607" s="1" t="n">
        <v>46296</v>
      </c>
      <c r="F607" t="inlineStr">
        <is>
          <t>ÖSTERGÖTLANDS LÄN</t>
        </is>
      </c>
      <c r="G607" t="inlineStr">
        <is>
          <t>FINSPÅNG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28880-2025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45820</v>
      </c>
      <c r="E608" s="1" t="n">
        <v>46296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36593-2025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45870</v>
      </c>
      <c r="E609" s="1" t="n">
        <v>46296</v>
      </c>
      <c r="F609" t="inlineStr">
        <is>
          <t>ÖSTERGÖTLANDS LÄN</t>
        </is>
      </c>
      <c r="G609" t="inlineStr">
        <is>
          <t>FINSPÅNG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5156-2023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44958</v>
      </c>
      <c r="E610" s="1" t="n">
        <v>46296</v>
      </c>
      <c r="F610" t="inlineStr">
        <is>
          <t>ÖSTERGÖTLANDS LÄN</t>
        </is>
      </c>
      <c r="G610" t="inlineStr">
        <is>
          <t>FINSPÅNG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63482-2023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45274</v>
      </c>
      <c r="E611" s="1" t="n">
        <v>46296</v>
      </c>
      <c r="F611" t="inlineStr">
        <is>
          <t>ÖSTERGÖTLANDS LÄN</t>
        </is>
      </c>
      <c r="G611" t="inlineStr">
        <is>
          <t>FINSPÅNG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58991-2021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44490</v>
      </c>
      <c r="E612" s="1" t="n">
        <v>46296</v>
      </c>
      <c r="F612" t="inlineStr">
        <is>
          <t>ÖSTERGÖTLANDS LÄN</t>
        </is>
      </c>
      <c r="G612" t="inlineStr">
        <is>
          <t>FINSPÅNG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34417-2025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45846</v>
      </c>
      <c r="E613" s="1" t="n">
        <v>46296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45415</v>
      </c>
      <c r="E614" s="1" t="n">
        <v>46296</v>
      </c>
      <c r="F614" t="inlineStr">
        <is>
          <t>ÖSTERGÖTLANDS LÄN</t>
        </is>
      </c>
      <c r="G614" t="inlineStr">
        <is>
          <t>FINSPÅNG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45328</v>
      </c>
      <c r="E615" s="1" t="n">
        <v>46296</v>
      </c>
      <c r="F615" t="inlineStr">
        <is>
          <t>ÖSTERGÖTLANDS LÄN</t>
        </is>
      </c>
      <c r="G615" t="inlineStr">
        <is>
          <t>FINSPÅNG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48455-2025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45935</v>
      </c>
      <c r="E616" s="1" t="n">
        <v>46296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Övriga Aktiebolag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45709</v>
      </c>
      <c r="E617" s="1" t="n">
        <v>46296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28024-2023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45095</v>
      </c>
      <c r="E618" s="1" t="n">
        <v>46296</v>
      </c>
      <c r="F618" t="inlineStr">
        <is>
          <t>ÖSTERGÖTLANDS LÄN</t>
        </is>
      </c>
      <c r="G618" t="inlineStr">
        <is>
          <t>FINSPÅNG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63321-2021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44508</v>
      </c>
      <c r="E619" s="1" t="n">
        <v>46296</v>
      </c>
      <c r="F619" t="inlineStr">
        <is>
          <t>ÖSTERGÖTLANDS LÄN</t>
        </is>
      </c>
      <c r="G619" t="inlineStr">
        <is>
          <t>FINSPÅNG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44950</v>
      </c>
      <c r="E620" s="1" t="n">
        <v>46296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3440-2023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44949</v>
      </c>
      <c r="E621" s="1" t="n">
        <v>46296</v>
      </c>
      <c r="F621" t="inlineStr">
        <is>
          <t>ÖSTERGÖTLANDS LÄN</t>
        </is>
      </c>
      <c r="G621" t="inlineStr">
        <is>
          <t>FINSPÅNG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55231-2024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45621</v>
      </c>
      <c r="E622" s="1" t="n">
        <v>46296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50395-2025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45944</v>
      </c>
      <c r="E623" s="1" t="n">
        <v>46296</v>
      </c>
      <c r="F623" t="inlineStr">
        <is>
          <t>ÖSTERGÖTLANDS LÄN</t>
        </is>
      </c>
      <c r="G623" t="inlineStr">
        <is>
          <t>FINSPÅNG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39137-2025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45888</v>
      </c>
      <c r="E624" s="1" t="n">
        <v>46296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37679-2025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45880</v>
      </c>
      <c r="E625" s="1" t="n">
        <v>46296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37742-2025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45880</v>
      </c>
      <c r="E626" s="1" t="n">
        <v>46296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39826-2025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45891</v>
      </c>
      <c r="E627" s="1" t="n">
        <v>46296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8193-2025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45707</v>
      </c>
      <c r="E628" s="1" t="n">
        <v>46296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Allmännings- och besparingsskogar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37936-2025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45881</v>
      </c>
      <c r="E629" s="1" t="n">
        <v>46296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Naturvårdsverket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38231-2025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46296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38233-2025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46296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40006-2025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45894</v>
      </c>
      <c r="E632" s="1" t="n">
        <v>46296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40472-2025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45895</v>
      </c>
      <c r="E633" s="1" t="n">
        <v>46296</v>
      </c>
      <c r="F633" t="inlineStr">
        <is>
          <t>ÖSTERGÖTLANDS LÄN</t>
        </is>
      </c>
      <c r="G633" t="inlineStr">
        <is>
          <t>FINSPÅNG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40557-2025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45896</v>
      </c>
      <c r="E634" s="1" t="n">
        <v>46296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41204-2025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45898</v>
      </c>
      <c r="E635" s="1" t="n">
        <v>46296</v>
      </c>
      <c r="F635" t="inlineStr">
        <is>
          <t>ÖSTERGÖTLANDS LÄN</t>
        </is>
      </c>
      <c r="G635" t="inlineStr">
        <is>
          <t>FINSPÅNG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51508-2025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45950</v>
      </c>
      <c r="E636" s="1" t="n">
        <v>46296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42045-2025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45903</v>
      </c>
      <c r="E637" s="1" t="n">
        <v>46296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42033-2025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45903</v>
      </c>
      <c r="E638" s="1" t="n">
        <v>46296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42027-2025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45903</v>
      </c>
      <c r="E639" s="1" t="n">
        <v>46296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42030-2025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45903</v>
      </c>
      <c r="E640" s="1" t="n">
        <v>46296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45903</v>
      </c>
      <c r="E641" s="1" t="n">
        <v>46296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52659-2025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45955</v>
      </c>
      <c r="E642" s="1" t="n">
        <v>46296</v>
      </c>
      <c r="F642" t="inlineStr">
        <is>
          <t>ÖSTERGÖTLANDS LÄN</t>
        </is>
      </c>
      <c r="G642" t="inlineStr">
        <is>
          <t>FINSPÅNG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42368-2025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45905</v>
      </c>
      <c r="E643" s="1" t="n">
        <v>46296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42289-2025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45904</v>
      </c>
      <c r="E644" s="1" t="n">
        <v>46296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42373-2025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45905</v>
      </c>
      <c r="E645" s="1" t="n">
        <v>46296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42255-2025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45904</v>
      </c>
      <c r="E646" s="1" t="n">
        <v>46296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42817-2025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45908</v>
      </c>
      <c r="E647" s="1" t="n">
        <v>46296</v>
      </c>
      <c r="F647" t="inlineStr">
        <is>
          <t>ÖSTERGÖTLANDS LÄN</t>
        </is>
      </c>
      <c r="G647" t="inlineStr">
        <is>
          <t>FINSPÅNG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55292-2025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45969</v>
      </c>
      <c r="E648" s="1" t="n">
        <v>46296</v>
      </c>
      <c r="F648" t="inlineStr">
        <is>
          <t>ÖSTERGÖTLANDS LÄN</t>
        </is>
      </c>
      <c r="G648" t="inlineStr">
        <is>
          <t>FINSPÅNG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55431-2025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45971</v>
      </c>
      <c r="E649" s="1" t="n">
        <v>46296</v>
      </c>
      <c r="F649" t="inlineStr">
        <is>
          <t>ÖSTERGÖTLANDS LÄN</t>
        </is>
      </c>
      <c r="G649" t="inlineStr">
        <is>
          <t>FINSPÅNG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46149-2025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45924</v>
      </c>
      <c r="E650" s="1" t="n">
        <v>46296</v>
      </c>
      <c r="F650" t="inlineStr">
        <is>
          <t>ÖSTERGÖTLANDS LÄN</t>
        </is>
      </c>
      <c r="G650" t="inlineStr">
        <is>
          <t>FINSPÅNG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47567-2025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45931</v>
      </c>
      <c r="E651" s="1" t="n">
        <v>46296</v>
      </c>
      <c r="F651" t="inlineStr">
        <is>
          <t>ÖSTERGÖTLANDS LÄN</t>
        </is>
      </c>
      <c r="G651" t="inlineStr">
        <is>
          <t>FINSPÅNG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57290-2025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45979</v>
      </c>
      <c r="E652" s="1" t="n">
        <v>46296</v>
      </c>
      <c r="F652" t="inlineStr">
        <is>
          <t>ÖSTERGÖTLANDS LÄN</t>
        </is>
      </c>
      <c r="G652" t="inlineStr">
        <is>
          <t>FINSPÅNG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45983</v>
      </c>
      <c r="E653" s="1" t="n">
        <v>46296</v>
      </c>
      <c r="F653" t="inlineStr">
        <is>
          <t>ÖSTERGÖTLANDS LÄN</t>
        </is>
      </c>
      <c r="G653" t="inlineStr">
        <is>
          <t>FINSPÅNG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58190-2025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45983</v>
      </c>
      <c r="E654" s="1" t="n">
        <v>46296</v>
      </c>
      <c r="F654" t="inlineStr">
        <is>
          <t>ÖSTERGÖTLANDS LÄN</t>
        </is>
      </c>
      <c r="G654" t="inlineStr">
        <is>
          <t>FINSPÅNG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58189-2025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45983</v>
      </c>
      <c r="E655" s="1" t="n">
        <v>46296</v>
      </c>
      <c r="F655" t="inlineStr">
        <is>
          <t>ÖSTERGÖTLANDS LÄN</t>
        </is>
      </c>
      <c r="G655" t="inlineStr">
        <is>
          <t>FINSPÅNG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58698-2025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45985</v>
      </c>
      <c r="E656" s="1" t="n">
        <v>46296</v>
      </c>
      <c r="F656" t="inlineStr">
        <is>
          <t>ÖSTERGÖTLANDS LÄN</t>
        </is>
      </c>
      <c r="G656" t="inlineStr">
        <is>
          <t>FINSPÅNG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58796-2025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45986</v>
      </c>
      <c r="E657" s="1" t="n">
        <v>46296</v>
      </c>
      <c r="F657" t="inlineStr">
        <is>
          <t>ÖSTERGÖTLANDS LÄN</t>
        </is>
      </c>
      <c r="G657" t="inlineStr">
        <is>
          <t>FINSPÅNG</t>
        </is>
      </c>
      <c r="I657" t="n">
        <v>9.300000000000001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58709-2025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45986</v>
      </c>
      <c r="E658" s="1" t="n">
        <v>46296</v>
      </c>
      <c r="F658" t="inlineStr">
        <is>
          <t>ÖSTERGÖTLANDS LÄN</t>
        </is>
      </c>
      <c r="G658" t="inlineStr">
        <is>
          <t>FINSPÅNG</t>
        </is>
      </c>
      <c r="I658" t="n">
        <v>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61202-2025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46296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61595-2025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46002</v>
      </c>
      <c r="E660" s="1" t="n">
        <v>46296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62235-2025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46003</v>
      </c>
      <c r="E661" s="1" t="n">
        <v>46296</v>
      </c>
      <c r="F661" t="inlineStr">
        <is>
          <t>ÖSTERGÖTLANDS LÄN</t>
        </is>
      </c>
      <c r="G661" t="inlineStr">
        <is>
          <t>FINSPÅNG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46002</v>
      </c>
      <c r="E662" s="1" t="n">
        <v>46296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61605-2025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46002</v>
      </c>
      <c r="E663" s="1" t="n">
        <v>46296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61712-2025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46002</v>
      </c>
      <c r="E664" s="1" t="n">
        <v>46296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62242-2025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46006</v>
      </c>
      <c r="E665" s="1" t="n">
        <v>46296</v>
      </c>
      <c r="F665" t="inlineStr">
        <is>
          <t>ÖSTERGÖTLANDS LÄN</t>
        </is>
      </c>
      <c r="G665" t="inlineStr">
        <is>
          <t>FINSPÅNG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62221-2025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46006</v>
      </c>
      <c r="E666" s="1" t="n">
        <v>46296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62139-2025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46006</v>
      </c>
      <c r="E667" s="1" t="n">
        <v>46296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35276-2025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45853</v>
      </c>
      <c r="E668" s="1" t="n">
        <v>46296</v>
      </c>
      <c r="F668" t="inlineStr">
        <is>
          <t>ÖSTERGÖTLANDS LÄN</t>
        </is>
      </c>
      <c r="G668" t="inlineStr">
        <is>
          <t>FINSPÅNG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46029</v>
      </c>
      <c r="E669" s="1" t="n">
        <v>46296</v>
      </c>
      <c r="F669" t="inlineStr">
        <is>
          <t>ÖSTERGÖTLANDS LÄN</t>
        </is>
      </c>
      <c r="G669" t="inlineStr">
        <is>
          <t>FINSPÅNG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46296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46296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46296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Kyrkan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46296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46296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1577-2026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46296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46036</v>
      </c>
      <c r="E676" s="1" t="n">
        <v>46296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2195-2026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46036</v>
      </c>
      <c r="E677" s="1" t="n">
        <v>46296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3062-2026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46040</v>
      </c>
      <c r="E678" s="1" t="n">
        <v>46296</v>
      </c>
      <c r="F678" t="inlineStr">
        <is>
          <t>ÖSTERGÖTLANDS LÄN</t>
        </is>
      </c>
      <c r="G678" t="inlineStr">
        <is>
          <t>FINSPÅNG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46040</v>
      </c>
      <c r="E679" s="1" t="n">
        <v>46296</v>
      </c>
      <c r="F679" t="inlineStr">
        <is>
          <t>ÖSTERGÖTLANDS LÄN</t>
        </is>
      </c>
      <c r="G679" t="inlineStr">
        <is>
          <t>FINSPÅNG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46048</v>
      </c>
      <c r="E680" s="1" t="n">
        <v>46296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46296</v>
      </c>
      <c r="F681" t="inlineStr">
        <is>
          <t>ÖSTERGÖTLANDS LÄN</t>
        </is>
      </c>
      <c r="G681" t="inlineStr">
        <is>
          <t>FINSPÅNG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4864-2026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46048</v>
      </c>
      <c r="E682" s="1" t="n">
        <v>46296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4853-2026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46296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46050</v>
      </c>
      <c r="E684" s="1" t="n">
        <v>46296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5318-2026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46050</v>
      </c>
      <c r="E685" s="1" t="n">
        <v>46296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6250-2026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46296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5939-2026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46052</v>
      </c>
      <c r="E687" s="1" t="n">
        <v>46296</v>
      </c>
      <c r="F687" t="inlineStr">
        <is>
          <t>ÖSTERGÖTLANDS LÄN</t>
        </is>
      </c>
      <c r="G687" t="inlineStr">
        <is>
          <t>FINSPÅNG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46058</v>
      </c>
      <c r="E688" s="1" t="n">
        <v>46296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Övriga Aktiebolag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7274-2026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46058</v>
      </c>
      <c r="E689" s="1" t="n">
        <v>46296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7193-2026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46058</v>
      </c>
      <c r="E690" s="1" t="n">
        <v>46296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7269-2026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46058</v>
      </c>
      <c r="E691" s="1" t="n">
        <v>46296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Övriga Aktiebolag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7559-2026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46060</v>
      </c>
      <c r="E692" s="1" t="n">
        <v>46296</v>
      </c>
      <c r="F692" t="inlineStr">
        <is>
          <t>ÖSTERGÖTLANDS LÄN</t>
        </is>
      </c>
      <c r="G692" t="inlineStr">
        <is>
          <t>FINSPÅNG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8079-2026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46063</v>
      </c>
      <c r="E693" s="1" t="n">
        <v>46296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46296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8266-2026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46064</v>
      </c>
      <c r="E695" s="1" t="n">
        <v>46296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Sveaskog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8529-2026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46065</v>
      </c>
      <c r="E696" s="1" t="n">
        <v>46296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8553-2026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46065</v>
      </c>
      <c r="E697" s="1" t="n">
        <v>46296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8270-2026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46296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8245-2026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46064</v>
      </c>
      <c r="E699" s="1" t="n">
        <v>46296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8228-2026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46064</v>
      </c>
      <c r="E700" s="1" t="n">
        <v>46296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8247-2026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46064</v>
      </c>
      <c r="E701" s="1" t="n">
        <v>46296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6.9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8238-2026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46064</v>
      </c>
      <c r="E702" s="1" t="n">
        <v>46296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Sveaskog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9084-2026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46069</v>
      </c>
      <c r="E703" s="1" t="n">
        <v>46296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46070</v>
      </c>
      <c r="E704" s="1" t="n">
        <v>46296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9173-2026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46070</v>
      </c>
      <c r="E705" s="1" t="n">
        <v>46296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9934-2026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46073</v>
      </c>
      <c r="E706" s="1" t="n">
        <v>46296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10313-2026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46076</v>
      </c>
      <c r="E707" s="1" t="n">
        <v>46296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6.4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10296-2026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46296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10872-2026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46078</v>
      </c>
      <c r="E709" s="1" t="n">
        <v>46296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46080</v>
      </c>
      <c r="E710" s="1" t="n">
        <v>46296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11244-2026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46080</v>
      </c>
      <c r="E711" s="1" t="n">
        <v>46296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11063-2026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46079</v>
      </c>
      <c r="E712" s="1" t="n">
        <v>46296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11251-2026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46080</v>
      </c>
      <c r="E713" s="1" t="n">
        <v>46296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11248-2026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46080</v>
      </c>
      <c r="E714" s="1" t="n">
        <v>46296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11839-2026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46085</v>
      </c>
      <c r="E715" s="1" t="n">
        <v>46296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11814-2026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46085</v>
      </c>
      <c r="E716" s="1" t="n">
        <v>46296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11813-2026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46085</v>
      </c>
      <c r="E717" s="1" t="n">
        <v>46296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11807-2026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46085</v>
      </c>
      <c r="E718" s="1" t="n">
        <v>46296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13365-2026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46094</v>
      </c>
      <c r="E719" s="1" t="n">
        <v>46296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13768-2026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46097</v>
      </c>
      <c r="E720" s="1" t="n">
        <v>46296</v>
      </c>
      <c r="F720" t="inlineStr">
        <is>
          <t>ÖSTERGÖTLANDS LÄN</t>
        </is>
      </c>
      <c r="G720" t="inlineStr">
        <is>
          <t>FINSPÅNG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14125-2026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46296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Sveaskog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14078-2026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46099</v>
      </c>
      <c r="E722" s="1" t="n">
        <v>46296</v>
      </c>
      <c r="F722" t="inlineStr">
        <is>
          <t>ÖSTERGÖTLANDS LÄN</t>
        </is>
      </c>
      <c r="G722" t="inlineStr">
        <is>
          <t>FINSPÅNG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14117-2026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46296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Sveaskog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14131-2026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46296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Sveaskog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14064-2026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46099</v>
      </c>
      <c r="E725" s="1" t="n">
        <v>46296</v>
      </c>
      <c r="F725" t="inlineStr">
        <is>
          <t>ÖSTERGÖTLANDS LÄN</t>
        </is>
      </c>
      <c r="G725" t="inlineStr">
        <is>
          <t>FINSPÅNG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15490-2026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46106</v>
      </c>
      <c r="E726" s="1" t="n">
        <v>46296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16355-2026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46111</v>
      </c>
      <c r="E727" s="1" t="n">
        <v>46296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16849-2026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46113</v>
      </c>
      <c r="E728" s="1" t="n">
        <v>46296</v>
      </c>
      <c r="F728" t="inlineStr">
        <is>
          <t>ÖSTERGÖTLANDS LÄN</t>
        </is>
      </c>
      <c r="G728" t="inlineStr">
        <is>
          <t>FINSPÅNG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17068-2026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46296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16996-2026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46296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17008-2026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46114</v>
      </c>
      <c r="E731" s="1" t="n">
        <v>46296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16902-2026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46296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17545-2026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46120</v>
      </c>
      <c r="E733" s="1" t="n">
        <v>46296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46121</v>
      </c>
      <c r="E734" s="1" t="n">
        <v>46296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Sveaskog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17769-2026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46122</v>
      </c>
      <c r="E735" s="1" t="n">
        <v>46296</v>
      </c>
      <c r="F735" t="inlineStr">
        <is>
          <t>ÖSTERGÖTLANDS LÄN</t>
        </is>
      </c>
      <c r="G735" t="inlineStr">
        <is>
          <t>FINSPÅNG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46125</v>
      </c>
      <c r="E736" s="1" t="n">
        <v>46296</v>
      </c>
      <c r="F736" t="inlineStr">
        <is>
          <t>ÖSTERGÖTLANDS LÄN</t>
        </is>
      </c>
      <c r="G736" t="inlineStr">
        <is>
          <t>FINSPÅNG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18974-2026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46129</v>
      </c>
      <c r="E737" s="1" t="n">
        <v>46296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18725-2026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46128</v>
      </c>
      <c r="E738" s="1" t="n">
        <v>46296</v>
      </c>
      <c r="F738" t="inlineStr">
        <is>
          <t>ÖSTERGÖTLANDS LÄN</t>
        </is>
      </c>
      <c r="G738" t="inlineStr">
        <is>
          <t>FINSPÅNG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7826-2025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46296</v>
      </c>
      <c r="F739" t="inlineStr">
        <is>
          <t>ÖSTERGÖTLANDS LÄN</t>
        </is>
      </c>
      <c r="G739" t="inlineStr">
        <is>
          <t>FINSPÅNG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7825-2025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45706</v>
      </c>
      <c r="E740" s="1" t="n">
        <v>46296</v>
      </c>
      <c r="F740" t="inlineStr">
        <is>
          <t>ÖSTERGÖTLANDS LÄN</t>
        </is>
      </c>
      <c r="G740" t="inlineStr">
        <is>
          <t>FINSPÅNG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46296</v>
      </c>
      <c r="F741" t="inlineStr">
        <is>
          <t>ÖSTERGÖTLANDS LÄN</t>
        </is>
      </c>
      <c r="G741" t="inlineStr">
        <is>
          <t>FINSPÅNG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25188-2023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45086</v>
      </c>
      <c r="E742" s="1" t="n">
        <v>46296</v>
      </c>
      <c r="F742" t="inlineStr">
        <is>
          <t>ÖSTERGÖTLANDS LÄN</t>
        </is>
      </c>
      <c r="G742" t="inlineStr">
        <is>
          <t>FINSPÅNG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14142-2025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45740</v>
      </c>
      <c r="E743" s="1" t="n">
        <v>46296</v>
      </c>
      <c r="F743" t="inlineStr">
        <is>
          <t>ÖSTERGÖTLANDS LÄN</t>
        </is>
      </c>
      <c r="G743" t="inlineStr">
        <is>
          <t>FINSPÅNG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45783</v>
      </c>
      <c r="E744" s="1" t="n">
        <v>46296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10083-2025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45719</v>
      </c>
      <c r="E745" s="1" t="n">
        <v>46296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31180-2025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45832</v>
      </c>
      <c r="E746" s="1" t="n">
        <v>46296</v>
      </c>
      <c r="F746" t="inlineStr">
        <is>
          <t>ÖSTERGÖTLANDS LÄN</t>
        </is>
      </c>
      <c r="G746" t="inlineStr">
        <is>
          <t>FINSPÅNG</t>
        </is>
      </c>
      <c r="I746" t="n">
        <v>8.300000000000001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32789-2024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45516</v>
      </c>
      <c r="E747" s="1" t="n">
        <v>46296</v>
      </c>
      <c r="F747" t="inlineStr">
        <is>
          <t>ÖSTERGÖTLANDS LÄN</t>
        </is>
      </c>
      <c r="G747" t="inlineStr">
        <is>
          <t>FINSPÅNG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43950-2025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45915</v>
      </c>
      <c r="E748" s="1" t="n">
        <v>46296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6635-2025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45700</v>
      </c>
      <c r="E749" s="1" t="n">
        <v>46296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41513-2024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45560</v>
      </c>
      <c r="E750" s="1" t="n">
        <v>46296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5333-2025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45692</v>
      </c>
      <c r="E751" s="1" t="n">
        <v>46296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35278-2025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45853</v>
      </c>
      <c r="E752" s="1" t="n">
        <v>46296</v>
      </c>
      <c r="F752" t="inlineStr">
        <is>
          <t>ÖSTERGÖTLANDS LÄN</t>
        </is>
      </c>
      <c r="G752" t="inlineStr">
        <is>
          <t>FINSPÅNG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8236-2026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46064</v>
      </c>
      <c r="E753" s="1" t="n">
        <v>46296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Sveaskog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20819-2026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46141</v>
      </c>
      <c r="E754" s="1" t="n">
        <v>46296</v>
      </c>
      <c r="F754" t="inlineStr">
        <is>
          <t>ÖSTERGÖTLANDS LÄN</t>
        </is>
      </c>
      <c r="G754" t="inlineStr">
        <is>
          <t>FINSPÅNG</t>
        </is>
      </c>
      <c r="I754" t="n">
        <v>5.8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43534-2023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45184</v>
      </c>
      <c r="E755" s="1" t="n">
        <v>46296</v>
      </c>
      <c r="F755" t="inlineStr">
        <is>
          <t>ÖSTERGÖTLANDS LÄN</t>
        </is>
      </c>
      <c r="G755" t="inlineStr">
        <is>
          <t>FINSPÅNG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57678-2025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45980</v>
      </c>
      <c r="E756" s="1" t="n">
        <v>46296</v>
      </c>
      <c r="F756" t="inlineStr">
        <is>
          <t>ÖSTERGÖTLANDS LÄN</t>
        </is>
      </c>
      <c r="G756" t="inlineStr">
        <is>
          <t>FINSPÅNG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34119-2025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45845</v>
      </c>
      <c r="E757" s="1" t="n">
        <v>46296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10485-2026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46077</v>
      </c>
      <c r="E758" s="1" t="n">
        <v>46296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Kyrkan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22938-2026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46160</v>
      </c>
      <c r="E759" s="1" t="n">
        <v>46296</v>
      </c>
      <c r="F759" t="inlineStr">
        <is>
          <t>ÖSTERGÖTLANDS LÄN</t>
        </is>
      </c>
      <c r="G759" t="inlineStr">
        <is>
          <t>FINSPÅNG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46174</v>
      </c>
      <c r="E760" s="1" t="n">
        <v>46296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Sveaskog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24835-2026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46174</v>
      </c>
      <c r="E761" s="1" t="n">
        <v>46296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Sveaskog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25860-2026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46296</v>
      </c>
      <c r="F762" t="inlineStr">
        <is>
          <t>ÖSTERGÖTLANDS LÄN</t>
        </is>
      </c>
      <c r="G762" t="inlineStr">
        <is>
          <t>FINSPÅNG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25844-2026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46296</v>
      </c>
      <c r="F763" t="inlineStr">
        <is>
          <t>ÖSTERGÖTLANDS LÄN</t>
        </is>
      </c>
      <c r="G763" t="inlineStr">
        <is>
          <t>FINSPÅNG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25864-2026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46176</v>
      </c>
      <c r="E764" s="1" t="n">
        <v>46296</v>
      </c>
      <c r="F764" t="inlineStr">
        <is>
          <t>ÖSTERGÖTLANDS LÄN</t>
        </is>
      </c>
      <c r="G764" t="inlineStr">
        <is>
          <t>FINSPÅNG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25759-2026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46178</v>
      </c>
      <c r="E765" s="1" t="n">
        <v>46296</v>
      </c>
      <c r="F765" t="inlineStr">
        <is>
          <t>ÖSTERGÖTLANDS LÄN</t>
        </is>
      </c>
      <c r="G765" t="inlineStr">
        <is>
          <t>FINSPÅNG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25766-2026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46296</v>
      </c>
      <c r="F766" t="inlineStr">
        <is>
          <t>ÖSTERGÖTLANDS LÄN</t>
        </is>
      </c>
      <c r="G766" t="inlineStr">
        <is>
          <t>FINSPÅNG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25629-2026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46177</v>
      </c>
      <c r="E767" s="1" t="n">
        <v>46296</v>
      </c>
      <c r="F767" t="inlineStr">
        <is>
          <t>ÖSTERGÖTLANDS LÄN</t>
        </is>
      </c>
      <c r="G767" t="inlineStr">
        <is>
          <t>FINSPÅNG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25760-2026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46296</v>
      </c>
      <c r="F768" t="inlineStr">
        <is>
          <t>ÖSTERGÖTLANDS LÄN</t>
        </is>
      </c>
      <c r="G768" t="inlineStr">
        <is>
          <t>FINSPÅNG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25943-2026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46181</v>
      </c>
      <c r="E769" s="1" t="n">
        <v>46296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Sveaskog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26905-2026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46185</v>
      </c>
      <c r="E770" s="1" t="n">
        <v>46296</v>
      </c>
      <c r="F770" t="inlineStr">
        <is>
          <t>ÖSTERGÖTLANDS LÄN</t>
        </is>
      </c>
      <c r="G770" t="inlineStr">
        <is>
          <t>FINSPÅNG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27018-2026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46296</v>
      </c>
      <c r="F771" t="inlineStr">
        <is>
          <t>ÖSTERGÖTLANDS LÄN</t>
        </is>
      </c>
      <c r="G771" t="inlineStr">
        <is>
          <t>FINSPÅNG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27369-2026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46188</v>
      </c>
      <c r="E772" s="1" t="n">
        <v>46296</v>
      </c>
      <c r="F772" t="inlineStr">
        <is>
          <t>ÖSTERGÖTLANDS LÄN</t>
        </is>
      </c>
      <c r="G772" t="inlineStr">
        <is>
          <t>FINSPÅNG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28386-2026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46196</v>
      </c>
      <c r="E773" s="1" t="n">
        <v>46296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Kommuner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29018-2026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46199</v>
      </c>
      <c r="E774" s="1" t="n">
        <v>46296</v>
      </c>
      <c r="F774" t="inlineStr">
        <is>
          <t>ÖSTERGÖTLANDS LÄN</t>
        </is>
      </c>
      <c r="G774" t="inlineStr">
        <is>
          <t>FINSPÅNG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34309-2025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45846</v>
      </c>
      <c r="E775" s="1" t="n">
        <v>46296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29731-2026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46296</v>
      </c>
      <c r="F776" t="inlineStr">
        <is>
          <t>ÖSTERGÖTLANDS LÄN</t>
        </is>
      </c>
      <c r="G776" t="inlineStr">
        <is>
          <t>FINSPÅNG</t>
        </is>
      </c>
      <c r="I776" t="n">
        <v>18.6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29482-2026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46203</v>
      </c>
      <c r="E777" s="1" t="n">
        <v>46296</v>
      </c>
      <c r="F777" t="inlineStr">
        <is>
          <t>ÖSTERGÖTLANDS LÄN</t>
        </is>
      </c>
      <c r="G777" t="inlineStr">
        <is>
          <t>FINSPÅNG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46296</v>
      </c>
      <c r="F778" t="inlineStr">
        <is>
          <t>ÖSTERGÖTLANDS LÄN</t>
        </is>
      </c>
      <c r="G778" t="inlineStr">
        <is>
          <t>FINSPÅNG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31151-2026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46209</v>
      </c>
      <c r="E779" s="1" t="n">
        <v>46296</v>
      </c>
      <c r="F779" t="inlineStr">
        <is>
          <t>ÖSTERGÖTLANDS LÄN</t>
        </is>
      </c>
      <c r="G779" t="inlineStr">
        <is>
          <t>FINSPÅNG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46209</v>
      </c>
      <c r="E780" s="1" t="n">
        <v>46296</v>
      </c>
      <c r="F780" t="inlineStr">
        <is>
          <t>ÖSTERGÖTLANDS LÄN</t>
        </is>
      </c>
      <c r="G780" t="inlineStr">
        <is>
          <t>FINSPÅNG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34555-2026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46255</v>
      </c>
      <c r="E781" s="1" t="n">
        <v>46296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Sveaskog</t>
        </is>
      </c>
      <c r="I781" t="n">
        <v>8.4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30864-2026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46212</v>
      </c>
      <c r="E782" s="1" t="n">
        <v>46296</v>
      </c>
      <c r="F782" t="inlineStr">
        <is>
          <t>ÖSTERGÖTLANDS LÄN</t>
        </is>
      </c>
      <c r="G782" t="inlineStr">
        <is>
          <t>FINSPÅNG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30633-2026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46211</v>
      </c>
      <c r="E783" s="1" t="n">
        <v>46296</v>
      </c>
      <c r="F783" t="inlineStr">
        <is>
          <t>ÖSTERGÖTLANDS LÄN</t>
        </is>
      </c>
      <c r="G783" t="inlineStr">
        <is>
          <t>FINSPÅNG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34883-2026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46258</v>
      </c>
      <c r="E784" s="1" t="n">
        <v>46296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34884-2026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46258</v>
      </c>
      <c r="E785" s="1" t="n">
        <v>46296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Övriga Aktiebolag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31301-2026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46218</v>
      </c>
      <c r="E786" s="1" t="n">
        <v>46296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Sveaskog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31300-2026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46218</v>
      </c>
      <c r="E787" s="1" t="n">
        <v>46296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Sveaskog</t>
        </is>
      </c>
      <c r="I787" t="n">
        <v>9.5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31307-2026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46219</v>
      </c>
      <c r="E788" s="1" t="n">
        <v>46296</v>
      </c>
      <c r="F788" t="inlineStr">
        <is>
          <t>ÖSTERGÖTLANDS LÄN</t>
        </is>
      </c>
      <c r="G788" t="inlineStr">
        <is>
          <t>FINSPÅNG</t>
        </is>
      </c>
      <c r="I788" t="n">
        <v>6.1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36505-2026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46296</v>
      </c>
      <c r="F789" t="inlineStr">
        <is>
          <t>ÖSTERGÖTLANDS LÄN</t>
        </is>
      </c>
      <c r="G789" t="inlineStr">
        <is>
          <t>FINSPÅNG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36479-2026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46296</v>
      </c>
      <c r="F790" t="inlineStr">
        <is>
          <t>ÖSTERGÖTLANDS LÄN</t>
        </is>
      </c>
      <c r="G790" t="inlineStr">
        <is>
          <t>FINSPÅNG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36267-2026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46268</v>
      </c>
      <c r="E791" s="1" t="n">
        <v>46296</v>
      </c>
      <c r="F791" t="inlineStr">
        <is>
          <t>ÖSTERGÖTLANDS LÄN</t>
        </is>
      </c>
      <c r="G791" t="inlineStr">
        <is>
          <t>FINSPÅNG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31669-2026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46225</v>
      </c>
      <c r="E792" s="1" t="n">
        <v>46296</v>
      </c>
      <c r="F792" t="inlineStr">
        <is>
          <t>ÖSTERGÖTLANDS LÄN</t>
        </is>
      </c>
      <c r="G792" t="inlineStr">
        <is>
          <t>FINSPÅNG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36498-2026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46269</v>
      </c>
      <c r="E793" s="1" t="n">
        <v>46296</v>
      </c>
      <c r="F793" t="inlineStr">
        <is>
          <t>ÖSTERGÖTLANDS LÄN</t>
        </is>
      </c>
      <c r="G793" t="inlineStr">
        <is>
          <t>FINSPÅNG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36503-2026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46269</v>
      </c>
      <c r="E794" s="1" t="n">
        <v>46296</v>
      </c>
      <c r="F794" t="inlineStr">
        <is>
          <t>ÖSTERGÖTLANDS LÄN</t>
        </is>
      </c>
      <c r="G794" t="inlineStr">
        <is>
          <t>FINSPÅNG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31675-2026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46226</v>
      </c>
      <c r="E795" s="1" t="n">
        <v>46296</v>
      </c>
      <c r="F795" t="inlineStr">
        <is>
          <t>ÖSTERGÖTLANDS LÄN</t>
        </is>
      </c>
      <c r="G795" t="inlineStr">
        <is>
          <t>FINSPÅNG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31682-2026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46226</v>
      </c>
      <c r="E796" s="1" t="n">
        <v>46296</v>
      </c>
      <c r="F796" t="inlineStr">
        <is>
          <t>ÖSTERGÖTLANDS LÄN</t>
        </is>
      </c>
      <c r="G796" t="inlineStr">
        <is>
          <t>FINSPÅNG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46296</v>
      </c>
      <c r="F797" t="inlineStr">
        <is>
          <t>ÖSTERGÖTLANDS LÄN</t>
        </is>
      </c>
      <c r="G797" t="inlineStr">
        <is>
          <t>FINSPÅNG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46225</v>
      </c>
      <c r="E798" s="1" t="n">
        <v>46296</v>
      </c>
      <c r="F798" t="inlineStr">
        <is>
          <t>ÖSTERGÖTLANDS LÄN</t>
        </is>
      </c>
      <c r="G798" t="inlineStr">
        <is>
          <t>FINSPÅNG</t>
        </is>
      </c>
      <c r="I798" t="n">
        <v>10.5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32000-2026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46232</v>
      </c>
      <c r="E799" s="1" t="n">
        <v>46296</v>
      </c>
      <c r="F799" t="inlineStr">
        <is>
          <t>ÖSTERGÖTLANDS LÄN</t>
        </is>
      </c>
      <c r="G799" t="inlineStr">
        <is>
          <t>FINSPÅNG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46279</v>
      </c>
      <c r="E800" s="1" t="n">
        <v>46296</v>
      </c>
      <c r="F800" t="inlineStr">
        <is>
          <t>ÖSTERGÖTLANDS LÄN</t>
        </is>
      </c>
      <c r="G800" t="inlineStr">
        <is>
          <t>FINSPÅNG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32081-2026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46233</v>
      </c>
      <c r="E801" s="1" t="n">
        <v>46296</v>
      </c>
      <c r="F801" t="inlineStr">
        <is>
          <t>ÖSTERGÖTLANDS LÄN</t>
        </is>
      </c>
      <c r="G801" t="inlineStr">
        <is>
          <t>FINSPÅNG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37788-2026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46279</v>
      </c>
      <c r="E802" s="1" t="n">
        <v>46296</v>
      </c>
      <c r="F802" t="inlineStr">
        <is>
          <t>ÖSTERGÖTLANDS LÄN</t>
        </is>
      </c>
      <c r="G802" t="inlineStr">
        <is>
          <t>FINSPÅNG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37804-2026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46279</v>
      </c>
      <c r="E803" s="1" t="n">
        <v>46296</v>
      </c>
      <c r="F803" t="inlineStr">
        <is>
          <t>ÖSTERGÖTLANDS LÄN</t>
        </is>
      </c>
      <c r="G803" t="inlineStr">
        <is>
          <t>FINSPÅNG</t>
        </is>
      </c>
      <c r="I803" t="n">
        <v>9.4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38441-2026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46282</v>
      </c>
      <c r="E804" s="1" t="n">
        <v>46296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Sveaskog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38414-2026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46282</v>
      </c>
      <c r="E805" s="1" t="n">
        <v>46296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Sveaskog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38444-2026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46282</v>
      </c>
      <c r="E806" s="1" t="n">
        <v>46296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Sveaskog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38445-2026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46282</v>
      </c>
      <c r="E807" s="1" t="n">
        <v>46296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Sveaskog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38421-2026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46282</v>
      </c>
      <c r="E808" s="1" t="n">
        <v>46296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Sveaskog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38625-2026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46281</v>
      </c>
      <c r="E809" s="1" t="n">
        <v>46296</v>
      </c>
      <c r="F809" t="inlineStr">
        <is>
          <t>ÖSTERGÖTLANDS LÄN</t>
        </is>
      </c>
      <c r="G809" t="inlineStr">
        <is>
          <t>FINSPÅNG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38422-2026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46282</v>
      </c>
      <c r="E810" s="1" t="n">
        <v>46296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Sveaskog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38442-2026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46282</v>
      </c>
      <c r="E811" s="1" t="n">
        <v>46296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Sveaskog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38417-2026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46282</v>
      </c>
      <c r="E812" s="1" t="n">
        <v>46296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Sveaskog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38419-2026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46282</v>
      </c>
      <c r="E813" s="1" t="n">
        <v>46296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Sveaskog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38765-2026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46286</v>
      </c>
      <c r="E814" s="1" t="n">
        <v>46296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Övriga Aktiebolag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35970-2025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45863</v>
      </c>
      <c r="E815" s="1" t="n">
        <v>46296</v>
      </c>
      <c r="F815" t="inlineStr">
        <is>
          <t>ÖSTERGÖTLANDS LÄN</t>
        </is>
      </c>
      <c r="G815" t="inlineStr">
        <is>
          <t>FINSPÅNG</t>
        </is>
      </c>
      <c r="I815" t="n">
        <v>22.6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36592-2025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45870</v>
      </c>
      <c r="E816" s="1" t="n">
        <v>46296</v>
      </c>
      <c r="F816" t="inlineStr">
        <is>
          <t>ÖSTERGÖTLANDS LÄN</t>
        </is>
      </c>
      <c r="G816" t="inlineStr">
        <is>
          <t>FINSPÅNG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40578-2026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46295</v>
      </c>
      <c r="E817" s="1" t="n">
        <v>46296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7.2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40580-2026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46295</v>
      </c>
      <c r="E818" s="1" t="n">
        <v>46296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Sveaskog</t>
        </is>
      </c>
      <c r="I818" t="n">
        <v>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5129-2024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45644</v>
      </c>
      <c r="E819" s="1" t="n">
        <v>46296</v>
      </c>
      <c r="F819" t="inlineStr">
        <is>
          <t>ÖSTERGÖTLANDS LÄN</t>
        </is>
      </c>
      <c r="G819" t="inlineStr">
        <is>
          <t>FINSPÅNG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1605-2024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45428</v>
      </c>
      <c r="E820" s="1" t="n">
        <v>46296</v>
      </c>
      <c r="F820" t="inlineStr">
        <is>
          <t>ÖSTERGÖTLANDS LÄN</t>
        </is>
      </c>
      <c r="G820" t="inlineStr">
        <is>
          <t>FINSPÅNG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1637-2024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45429</v>
      </c>
      <c r="E821" s="1" t="n">
        <v>46296</v>
      </c>
      <c r="F821" t="inlineStr">
        <is>
          <t>ÖSTERGÖTLANDS LÄN</t>
        </is>
      </c>
      <c r="G821" t="inlineStr">
        <is>
          <t>FINSPÅNG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4163-2023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45250</v>
      </c>
      <c r="E822" s="1" t="n">
        <v>46296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Sveaskog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1759-2026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46188</v>
      </c>
      <c r="E823" s="1" t="n">
        <v>46296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Övriga Aktiebolag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2208-2026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46258</v>
      </c>
      <c r="E824" s="1" t="n">
        <v>46296</v>
      </c>
      <c r="F824" t="inlineStr">
        <is>
          <t>ÖSTERGÖTLANDS LÄN</t>
        </is>
      </c>
      <c r="G824" t="inlineStr">
        <is>
          <t>FINSPÅNG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2026-10-01T02:03:47Z</dcterms:created>
  <dcterms:modified xmlns:dcterms="http://purl.org/dc/terms/" xmlns:xsi="http://www.w3.org/2001/XMLSchema-instance" xsi:type="dcterms:W3CDTF">2026-10-01T02:03:48Z</dcterms:modified>
</cp:coreProperties>
</file>