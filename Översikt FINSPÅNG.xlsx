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45761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45761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45761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45761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45761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45761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45761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45761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45761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45761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45761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45761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45761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45761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45761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45761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45761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45761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45761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45761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45761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45761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45761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45761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45761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45761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45761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45761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45761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45761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45761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45761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45761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45761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45761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45761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45761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45761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45761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45761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45761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45761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45761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45761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45761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45761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45761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45761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45761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45761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45761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45761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45761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45761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45761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45761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45761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45761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45761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45761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45761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45761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54832-2020</t>
        </is>
      </c>
      <c r="B64" s="1" t="n">
        <v>44127</v>
      </c>
      <c r="C64" s="1" t="n">
        <v>45761</v>
      </c>
      <c r="D64" t="inlineStr">
        <is>
          <t>ÖSTERGÖTLANDS LÄN</t>
        </is>
      </c>
      <c r="E64" t="inlineStr">
        <is>
          <t>FINSPÅNG</t>
        </is>
      </c>
      <c r="G64" t="n">
        <v>5.6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 aspvedbock</t>
        </is>
      </c>
      <c r="S64">
        <f>HYPERLINK("https://klasma.github.io/Logging_0562/artfynd/A 54832-2020 artfynd.xlsx", "A 54832-2020")</f>
        <v/>
      </c>
      <c r="T64">
        <f>HYPERLINK("https://klasma.github.io/Logging_0562/kartor/A 54832-2020 karta.png", "A 54832-2020")</f>
        <v/>
      </c>
      <c r="V64">
        <f>HYPERLINK("https://klasma.github.io/Logging_0562/klagomål/A 54832-2020 FSC-klagomål.docx", "A 54832-2020")</f>
        <v/>
      </c>
      <c r="W64">
        <f>HYPERLINK("https://klasma.github.io/Logging_0562/klagomålsmail/A 54832-2020 FSC-klagomål mail.docx", "A 54832-2020")</f>
        <v/>
      </c>
      <c r="X64">
        <f>HYPERLINK("https://klasma.github.io/Logging_0562/tillsyn/A 54832-2020 tillsynsbegäran.docx", "A 54832-2020")</f>
        <v/>
      </c>
      <c r="Y64">
        <f>HYPERLINK("https://klasma.github.io/Logging_0562/tillsynsmail/A 54832-2020 tillsynsbegäran mail.docx", "A 54832-2020")</f>
        <v/>
      </c>
    </row>
    <row r="65" ht="15" customHeight="1">
      <c r="A65" t="inlineStr">
        <is>
          <t>A 5534-2021</t>
        </is>
      </c>
      <c r="B65" s="1" t="n">
        <v>44230</v>
      </c>
      <c r="C65" s="1" t="n">
        <v>45761</v>
      </c>
      <c r="D65" t="inlineStr">
        <is>
          <t>ÖSTERGÖTLANDS LÄN</t>
        </is>
      </c>
      <c r="E65" t="inlineStr">
        <is>
          <t>FINSPÅNG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HYPERLINK("https://klasma.github.io/Logging_0562/artfynd/A 5534-2021 artfynd.xlsx", "A 5534-2021")</f>
        <v/>
      </c>
      <c r="T65">
        <f>HYPERLINK("https://klasma.github.io/Logging_0562/kartor/A 5534-2021 karta.png", "A 5534-2021")</f>
        <v/>
      </c>
      <c r="V65">
        <f>HYPERLINK("https://klasma.github.io/Logging_0562/klagomål/A 5534-2021 FSC-klagomål.docx", "A 5534-2021")</f>
        <v/>
      </c>
      <c r="W65">
        <f>HYPERLINK("https://klasma.github.io/Logging_0562/klagomålsmail/A 5534-2021 FSC-klagomål mail.docx", "A 5534-2021")</f>
        <v/>
      </c>
      <c r="X65">
        <f>HYPERLINK("https://klasma.github.io/Logging_0562/tillsyn/A 5534-2021 tillsynsbegäran.docx", "A 5534-2021")</f>
        <v/>
      </c>
      <c r="Y65">
        <f>HYPERLINK("https://klasma.github.io/Logging_0562/tillsynsmail/A 5534-2021 tillsynsbegäran mail.docx", "A 5534-2021")</f>
        <v/>
      </c>
      <c r="Z65">
        <f>HYPERLINK("https://klasma.github.io/Logging_0562/fåglar/A 5534-2021 prioriterade fågelarter.docx", "A 5534-2021")</f>
        <v/>
      </c>
    </row>
    <row r="66" ht="15" customHeight="1">
      <c r="A66" t="inlineStr">
        <is>
          <t>A 12446-2021</t>
        </is>
      </c>
      <c r="B66" s="1" t="n">
        <v>44267</v>
      </c>
      <c r="C66" s="1" t="n">
        <v>45761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Fällmossa</t>
        </is>
      </c>
      <c r="S66">
        <f>HYPERLINK("https://klasma.github.io/Logging_0562/artfynd/A 12446-2021 artfynd.xlsx", "A 12446-2021")</f>
        <v/>
      </c>
      <c r="T66">
        <f>HYPERLINK("https://klasma.github.io/Logging_0562/kartor/A 12446-2021 karta.png", "A 12446-2021")</f>
        <v/>
      </c>
      <c r="V66">
        <f>HYPERLINK("https://klasma.github.io/Logging_0562/klagomål/A 12446-2021 FSC-klagomål.docx", "A 12446-2021")</f>
        <v/>
      </c>
      <c r="W66">
        <f>HYPERLINK("https://klasma.github.io/Logging_0562/klagomålsmail/A 12446-2021 FSC-klagomål mail.docx", "A 12446-2021")</f>
        <v/>
      </c>
      <c r="X66">
        <f>HYPERLINK("https://klasma.github.io/Logging_0562/tillsyn/A 12446-2021 tillsynsbegäran.docx", "A 12446-2021")</f>
        <v/>
      </c>
      <c r="Y66">
        <f>HYPERLINK("https://klasma.github.io/Logging_0562/tillsynsmail/A 12446-2021 tillsynsbegäran mail.docx", "A 12446-2021")</f>
        <v/>
      </c>
    </row>
    <row r="67" ht="15" customHeight="1">
      <c r="A67" t="inlineStr">
        <is>
          <t>A 16747-2021</t>
        </is>
      </c>
      <c r="B67" s="1" t="n">
        <v>44294</v>
      </c>
      <c r="C67" s="1" t="n">
        <v>45761</v>
      </c>
      <c r="D67" t="inlineStr">
        <is>
          <t>ÖSTERGÖTLANDS LÄN</t>
        </is>
      </c>
      <c r="E67" t="inlineStr">
        <is>
          <t>FINSPÅNG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HYPERLINK("https://klasma.github.io/Logging_0562/artfynd/A 16747-2021 artfynd.xlsx", "A 16747-2021")</f>
        <v/>
      </c>
      <c r="T67">
        <f>HYPERLINK("https://klasma.github.io/Logging_0562/kartor/A 16747-2021 karta.png", "A 16747-2021")</f>
        <v/>
      </c>
      <c r="V67">
        <f>HYPERLINK("https://klasma.github.io/Logging_0562/klagomål/A 16747-2021 FSC-klagomål.docx", "A 16747-2021")</f>
        <v/>
      </c>
      <c r="W67">
        <f>HYPERLINK("https://klasma.github.io/Logging_0562/klagomålsmail/A 16747-2021 FSC-klagomål mail.docx", "A 16747-2021")</f>
        <v/>
      </c>
      <c r="X67">
        <f>HYPERLINK("https://klasma.github.io/Logging_0562/tillsyn/A 16747-2021 tillsynsbegäran.docx", "A 16747-2021")</f>
        <v/>
      </c>
      <c r="Y67">
        <f>HYPERLINK("https://klasma.github.io/Logging_0562/tillsynsmail/A 16747-2021 tillsynsbegäran mail.docx", "A 16747-2021")</f>
        <v/>
      </c>
    </row>
    <row r="68" ht="15" customHeight="1">
      <c r="A68" t="inlineStr">
        <is>
          <t>A 38056-2021</t>
        </is>
      </c>
      <c r="B68" s="1" t="n">
        <v>44404</v>
      </c>
      <c r="C68" s="1" t="n">
        <v>45761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38056-2021 artfynd.xlsx", "A 38056-2021")</f>
        <v/>
      </c>
      <c r="T68">
        <f>HYPERLINK("https://klasma.github.io/Logging_0562/kartor/A 38056-2021 karta.png", "A 38056-2021")</f>
        <v/>
      </c>
      <c r="V68">
        <f>HYPERLINK("https://klasma.github.io/Logging_0562/klagomål/A 38056-2021 FSC-klagomål.docx", "A 38056-2021")</f>
        <v/>
      </c>
      <c r="W68">
        <f>HYPERLINK("https://klasma.github.io/Logging_0562/klagomålsmail/A 38056-2021 FSC-klagomål mail.docx", "A 38056-2021")</f>
        <v/>
      </c>
      <c r="X68">
        <f>HYPERLINK("https://klasma.github.io/Logging_0562/tillsyn/A 38056-2021 tillsynsbegäran.docx", "A 38056-2021")</f>
        <v/>
      </c>
      <c r="Y68">
        <f>HYPERLINK("https://klasma.github.io/Logging_0562/tillsynsmail/A 38056-2021 tillsynsbegäran mail.docx", "A 38056-2021")</f>
        <v/>
      </c>
    </row>
    <row r="69" ht="15" customHeight="1">
      <c r="A69" t="inlineStr">
        <is>
          <t>A 68414-2021</t>
        </is>
      </c>
      <c r="B69" s="1" t="n">
        <v>44529</v>
      </c>
      <c r="C69" s="1" t="n">
        <v>45761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HYPERLINK("https://klasma.github.io/Logging_0562/artfynd/A 68414-2021 artfynd.xlsx", "A 68414-2021")</f>
        <v/>
      </c>
      <c r="T69">
        <f>HYPERLINK("https://klasma.github.io/Logging_0562/kartor/A 68414-2021 karta.png", "A 68414-2021")</f>
        <v/>
      </c>
      <c r="V69">
        <f>HYPERLINK("https://klasma.github.io/Logging_0562/klagomål/A 68414-2021 FSC-klagomål.docx", "A 68414-2021")</f>
        <v/>
      </c>
      <c r="W69">
        <f>HYPERLINK("https://klasma.github.io/Logging_0562/klagomålsmail/A 68414-2021 FSC-klagomål mail.docx", "A 68414-2021")</f>
        <v/>
      </c>
      <c r="X69">
        <f>HYPERLINK("https://klasma.github.io/Logging_0562/tillsyn/A 68414-2021 tillsynsbegäran.docx", "A 68414-2021")</f>
        <v/>
      </c>
      <c r="Y69">
        <f>HYPERLINK("https://klasma.github.io/Logging_0562/tillsynsmail/A 68414-2021 tillsynsbegäran mail.docx", "A 68414-2021")</f>
        <v/>
      </c>
    </row>
    <row r="70" ht="15" customHeight="1">
      <c r="A70" t="inlineStr">
        <is>
          <t>A 6035-2022</t>
        </is>
      </c>
      <c r="B70" s="1" t="n">
        <v>44599</v>
      </c>
      <c r="C70" s="1" t="n">
        <v>45761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Bred kärrtrollslända</t>
        </is>
      </c>
      <c r="S70">
        <f>HYPERLINK("https://klasma.github.io/Logging_0562/artfynd/A 6035-2022 artfynd.xlsx", "A 6035-2022")</f>
        <v/>
      </c>
      <c r="T70">
        <f>HYPERLINK("https://klasma.github.io/Logging_0562/kartor/A 6035-2022 karta.png", "A 6035-2022")</f>
        <v/>
      </c>
      <c r="V70">
        <f>HYPERLINK("https://klasma.github.io/Logging_0562/klagomål/A 6035-2022 FSC-klagomål.docx", "A 6035-2022")</f>
        <v/>
      </c>
      <c r="W70">
        <f>HYPERLINK("https://klasma.github.io/Logging_0562/klagomålsmail/A 6035-2022 FSC-klagomål mail.docx", "A 6035-2022")</f>
        <v/>
      </c>
      <c r="X70">
        <f>HYPERLINK("https://klasma.github.io/Logging_0562/tillsyn/A 6035-2022 tillsynsbegäran.docx", "A 6035-2022")</f>
        <v/>
      </c>
      <c r="Y70">
        <f>HYPERLINK("https://klasma.github.io/Logging_0562/tillsynsmail/A 6035-2022 tillsynsbegäran mail.docx", "A 6035-2022")</f>
        <v/>
      </c>
    </row>
    <row r="71" ht="15" customHeight="1">
      <c r="A71" t="inlineStr">
        <is>
          <t>A 10203-2022</t>
        </is>
      </c>
      <c r="B71" s="1" t="n">
        <v>44622</v>
      </c>
      <c r="C71" s="1" t="n">
        <v>45761</v>
      </c>
      <c r="D71" t="inlineStr">
        <is>
          <t>ÖSTERGÖTLANDS LÄN</t>
        </is>
      </c>
      <c r="E71" t="inlineStr">
        <is>
          <t>FINSPÅNG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Vanlig backsmörblomma</t>
        </is>
      </c>
      <c r="S71">
        <f>HYPERLINK("https://klasma.github.io/Logging_0562/artfynd/A 10203-2022 artfynd.xlsx", "A 10203-2022")</f>
        <v/>
      </c>
      <c r="T71">
        <f>HYPERLINK("https://klasma.github.io/Logging_0562/kartor/A 10203-2022 karta.png", "A 10203-2022")</f>
        <v/>
      </c>
      <c r="V71">
        <f>HYPERLINK("https://klasma.github.io/Logging_0562/klagomål/A 10203-2022 FSC-klagomål.docx", "A 10203-2022")</f>
        <v/>
      </c>
      <c r="W71">
        <f>HYPERLINK("https://klasma.github.io/Logging_0562/klagomålsmail/A 10203-2022 FSC-klagomål mail.docx", "A 10203-2022")</f>
        <v/>
      </c>
      <c r="X71">
        <f>HYPERLINK("https://klasma.github.io/Logging_0562/tillsyn/A 10203-2022 tillsynsbegäran.docx", "A 10203-2022")</f>
        <v/>
      </c>
      <c r="Y71">
        <f>HYPERLINK("https://klasma.github.io/Logging_0562/tillsynsmail/A 10203-2022 tillsynsbegäran mail.docx", "A 10203-2022")</f>
        <v/>
      </c>
    </row>
    <row r="72" ht="15" customHeight="1">
      <c r="A72" t="inlineStr">
        <is>
          <t>A 17960-2022</t>
        </is>
      </c>
      <c r="B72" s="1" t="n">
        <v>44683</v>
      </c>
      <c r="C72" s="1" t="n">
        <v>45761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Källpraktmossa</t>
        </is>
      </c>
      <c r="S72">
        <f>HYPERLINK("https://klasma.github.io/Logging_0562/artfynd/A 17960-2022 artfynd.xlsx", "A 17960-2022")</f>
        <v/>
      </c>
      <c r="T72">
        <f>HYPERLINK("https://klasma.github.io/Logging_0562/kartor/A 17960-2022 karta.png", "A 17960-2022")</f>
        <v/>
      </c>
      <c r="V72">
        <f>HYPERLINK("https://klasma.github.io/Logging_0562/klagomål/A 17960-2022 FSC-klagomål.docx", "A 17960-2022")</f>
        <v/>
      </c>
      <c r="W72">
        <f>HYPERLINK("https://klasma.github.io/Logging_0562/klagomålsmail/A 17960-2022 FSC-klagomål mail.docx", "A 17960-2022")</f>
        <v/>
      </c>
      <c r="X72">
        <f>HYPERLINK("https://klasma.github.io/Logging_0562/tillsyn/A 17960-2022 tillsynsbegäran.docx", "A 17960-2022")</f>
        <v/>
      </c>
      <c r="Y72">
        <f>HYPERLINK("https://klasma.github.io/Logging_0562/tillsynsmail/A 17960-2022 tillsynsbegäran mail.docx", "A 17960-2022")</f>
        <v/>
      </c>
    </row>
    <row r="73" ht="15" customHeight="1">
      <c r="A73" t="inlineStr">
        <is>
          <t>A 29467-2022</t>
        </is>
      </c>
      <c r="B73" s="1" t="n">
        <v>44753</v>
      </c>
      <c r="C73" s="1" t="n">
        <v>45761</v>
      </c>
      <c r="D73" t="inlineStr">
        <is>
          <t>ÖSTERGÖTLANDS LÄN</t>
        </is>
      </c>
      <c r="E73" t="inlineStr">
        <is>
          <t>FINSPÅNG</t>
        </is>
      </c>
      <c r="G73" t="n">
        <v>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29467-2022 artfynd.xlsx", "A 29467-2022")</f>
        <v/>
      </c>
      <c r="T73">
        <f>HYPERLINK("https://klasma.github.io/Logging_0562/kartor/A 29467-2022 karta.png", "A 29467-2022")</f>
        <v/>
      </c>
      <c r="V73">
        <f>HYPERLINK("https://klasma.github.io/Logging_0562/klagomål/A 29467-2022 FSC-klagomål.docx", "A 29467-2022")</f>
        <v/>
      </c>
      <c r="W73">
        <f>HYPERLINK("https://klasma.github.io/Logging_0562/klagomålsmail/A 29467-2022 FSC-klagomål mail.docx", "A 29467-2022")</f>
        <v/>
      </c>
      <c r="X73">
        <f>HYPERLINK("https://klasma.github.io/Logging_0562/tillsyn/A 29467-2022 tillsynsbegäran.docx", "A 29467-2022")</f>
        <v/>
      </c>
      <c r="Y73">
        <f>HYPERLINK("https://klasma.github.io/Logging_0562/tillsynsmail/A 29467-2022 tillsynsbegäran mail.docx", "A 29467-2022")</f>
        <v/>
      </c>
    </row>
    <row r="74" ht="15" customHeight="1">
      <c r="A74" t="inlineStr">
        <is>
          <t>A 31750-2022</t>
        </is>
      </c>
      <c r="B74" s="1" t="n">
        <v>44776</v>
      </c>
      <c r="C74" s="1" t="n">
        <v>45761</v>
      </c>
      <c r="D74" t="inlineStr">
        <is>
          <t>ÖSTERGÖTLANDS LÄN</t>
        </is>
      </c>
      <c r="E74" t="inlineStr">
        <is>
          <t>FINSPÅNG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HYPERLINK("https://klasma.github.io/Logging_0562/artfynd/A 31750-2022 artfynd.xlsx", "A 31750-2022")</f>
        <v/>
      </c>
      <c r="T74">
        <f>HYPERLINK("https://klasma.github.io/Logging_0562/kartor/A 31750-2022 karta.png", "A 31750-2022")</f>
        <v/>
      </c>
      <c r="V74">
        <f>HYPERLINK("https://klasma.github.io/Logging_0562/klagomål/A 31750-2022 FSC-klagomål.docx", "A 31750-2022")</f>
        <v/>
      </c>
      <c r="W74">
        <f>HYPERLINK("https://klasma.github.io/Logging_0562/klagomålsmail/A 31750-2022 FSC-klagomål mail.docx", "A 31750-2022")</f>
        <v/>
      </c>
      <c r="X74">
        <f>HYPERLINK("https://klasma.github.io/Logging_0562/tillsyn/A 31750-2022 tillsynsbegäran.docx", "A 31750-2022")</f>
        <v/>
      </c>
      <c r="Y74">
        <f>HYPERLINK("https://klasma.github.io/Logging_0562/tillsynsmail/A 31750-2022 tillsynsbegäran mail.docx", "A 31750-2022")</f>
        <v/>
      </c>
    </row>
    <row r="75" ht="15" customHeight="1">
      <c r="A75" t="inlineStr">
        <is>
          <t>A 45256-2022</t>
        </is>
      </c>
      <c r="B75" s="1" t="n">
        <v>44840</v>
      </c>
      <c r="C75" s="1" t="n">
        <v>45761</v>
      </c>
      <c r="D75" t="inlineStr">
        <is>
          <t>ÖSTERGÖTLANDS LÄN</t>
        </is>
      </c>
      <c r="E75" t="inlineStr">
        <is>
          <t>FINSPÅNG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HYPERLINK("https://klasma.github.io/Logging_0562/artfynd/A 45256-2022 artfynd.xlsx", "A 45256-2022")</f>
        <v/>
      </c>
      <c r="T75">
        <f>HYPERLINK("https://klasma.github.io/Logging_0562/kartor/A 45256-2022 karta.png", "A 45256-2022")</f>
        <v/>
      </c>
      <c r="V75">
        <f>HYPERLINK("https://klasma.github.io/Logging_0562/klagomål/A 45256-2022 FSC-klagomål.docx", "A 45256-2022")</f>
        <v/>
      </c>
      <c r="W75">
        <f>HYPERLINK("https://klasma.github.io/Logging_0562/klagomålsmail/A 45256-2022 FSC-klagomål mail.docx", "A 45256-2022")</f>
        <v/>
      </c>
      <c r="X75">
        <f>HYPERLINK("https://klasma.github.io/Logging_0562/tillsyn/A 45256-2022 tillsynsbegäran.docx", "A 45256-2022")</f>
        <v/>
      </c>
      <c r="Y75">
        <f>HYPERLINK("https://klasma.github.io/Logging_0562/tillsynsmail/A 45256-2022 tillsynsbegäran mail.docx", "A 45256-2022")</f>
        <v/>
      </c>
    </row>
    <row r="76" ht="15" customHeight="1">
      <c r="A76" t="inlineStr">
        <is>
          <t>A 61104-2022</t>
        </is>
      </c>
      <c r="B76" s="1" t="n">
        <v>44915</v>
      </c>
      <c r="C76" s="1" t="n">
        <v>45761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HYPERLINK("https://klasma.github.io/Logging_0562/artfynd/A 61104-2022 artfynd.xlsx", "A 61104-2022")</f>
        <v/>
      </c>
      <c r="T76">
        <f>HYPERLINK("https://klasma.github.io/Logging_0562/kartor/A 61104-2022 karta.png", "A 61104-2022")</f>
        <v/>
      </c>
      <c r="V76">
        <f>HYPERLINK("https://klasma.github.io/Logging_0562/klagomål/A 61104-2022 FSC-klagomål.docx", "A 61104-2022")</f>
        <v/>
      </c>
      <c r="W76">
        <f>HYPERLINK("https://klasma.github.io/Logging_0562/klagomålsmail/A 61104-2022 FSC-klagomål mail.docx", "A 61104-2022")</f>
        <v/>
      </c>
      <c r="X76">
        <f>HYPERLINK("https://klasma.github.io/Logging_0562/tillsyn/A 61104-2022 tillsynsbegäran.docx", "A 61104-2022")</f>
        <v/>
      </c>
      <c r="Y76">
        <f>HYPERLINK("https://klasma.github.io/Logging_0562/tillsynsmail/A 61104-2022 tillsynsbegäran mail.docx", "A 61104-2022")</f>
        <v/>
      </c>
    </row>
    <row r="77" ht="15" customHeight="1">
      <c r="A77" t="inlineStr">
        <is>
          <t>A 663-2023</t>
        </is>
      </c>
      <c r="B77" s="1" t="n">
        <v>44930</v>
      </c>
      <c r="C77" s="1" t="n">
        <v>45761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HYPERLINK("https://klasma.github.io/Logging_0562/artfynd/A 663-2023 artfynd.xlsx", "A 663-2023")</f>
        <v/>
      </c>
      <c r="T77">
        <f>HYPERLINK("https://klasma.github.io/Logging_0562/kartor/A 663-2023 karta.png", "A 663-2023")</f>
        <v/>
      </c>
      <c r="V77">
        <f>HYPERLINK("https://klasma.github.io/Logging_0562/klagomål/A 663-2023 FSC-klagomål.docx", "A 663-2023")</f>
        <v/>
      </c>
      <c r="W77">
        <f>HYPERLINK("https://klasma.github.io/Logging_0562/klagomålsmail/A 663-2023 FSC-klagomål mail.docx", "A 663-2023")</f>
        <v/>
      </c>
      <c r="X77">
        <f>HYPERLINK("https://klasma.github.io/Logging_0562/tillsyn/A 663-2023 tillsynsbegäran.docx", "A 663-2023")</f>
        <v/>
      </c>
      <c r="Y77">
        <f>HYPERLINK("https://klasma.github.io/Logging_0562/tillsynsmail/A 663-2023 tillsynsbegäran mail.docx", "A 663-2023")</f>
        <v/>
      </c>
    </row>
    <row r="78" ht="15" customHeight="1">
      <c r="A78" t="inlineStr">
        <is>
          <t>A 3088-2023</t>
        </is>
      </c>
      <c r="B78" s="1" t="n">
        <v>44946</v>
      </c>
      <c r="C78" s="1" t="n">
        <v>45761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Guldsandbi</t>
        </is>
      </c>
      <c r="S78">
        <f>HYPERLINK("https://klasma.github.io/Logging_0562/artfynd/A 3088-2023 artfynd.xlsx", "A 3088-2023")</f>
        <v/>
      </c>
      <c r="T78">
        <f>HYPERLINK("https://klasma.github.io/Logging_0562/kartor/A 3088-2023 karta.png", "A 3088-2023")</f>
        <v/>
      </c>
      <c r="V78">
        <f>HYPERLINK("https://klasma.github.io/Logging_0562/klagomål/A 3088-2023 FSC-klagomål.docx", "A 3088-2023")</f>
        <v/>
      </c>
      <c r="W78">
        <f>HYPERLINK("https://klasma.github.io/Logging_0562/klagomålsmail/A 3088-2023 FSC-klagomål mail.docx", "A 3088-2023")</f>
        <v/>
      </c>
      <c r="X78">
        <f>HYPERLINK("https://klasma.github.io/Logging_0562/tillsyn/A 3088-2023 tillsynsbegäran.docx", "A 3088-2023")</f>
        <v/>
      </c>
      <c r="Y78">
        <f>HYPERLINK("https://klasma.github.io/Logging_0562/tillsynsmail/A 3088-2023 tillsynsbegäran mail.docx", "A 3088-2023")</f>
        <v/>
      </c>
    </row>
    <row r="79" ht="15" customHeight="1">
      <c r="A79" t="inlineStr">
        <is>
          <t>A 3096-2023</t>
        </is>
      </c>
      <c r="B79" s="1" t="n">
        <v>44946</v>
      </c>
      <c r="C79" s="1" t="n">
        <v>45761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3096-2023 artfynd.xlsx", "A 3096-2023")</f>
        <v/>
      </c>
      <c r="T79">
        <f>HYPERLINK("https://klasma.github.io/Logging_0562/kartor/A 3096-2023 karta.png", "A 3096-2023")</f>
        <v/>
      </c>
      <c r="V79">
        <f>HYPERLINK("https://klasma.github.io/Logging_0562/klagomål/A 3096-2023 FSC-klagomål.docx", "A 3096-2023")</f>
        <v/>
      </c>
      <c r="W79">
        <f>HYPERLINK("https://klasma.github.io/Logging_0562/klagomålsmail/A 3096-2023 FSC-klagomål mail.docx", "A 3096-2023")</f>
        <v/>
      </c>
      <c r="X79">
        <f>HYPERLINK("https://klasma.github.io/Logging_0562/tillsyn/A 3096-2023 tillsynsbegäran.docx", "A 3096-2023")</f>
        <v/>
      </c>
      <c r="Y79">
        <f>HYPERLINK("https://klasma.github.io/Logging_0562/tillsynsmail/A 3096-2023 tillsynsbegäran mail.docx", "A 3096-2023")</f>
        <v/>
      </c>
    </row>
    <row r="80" ht="15" customHeight="1">
      <c r="A80" t="inlineStr">
        <is>
          <t>A 6707-2023</t>
        </is>
      </c>
      <c r="B80" s="1" t="n">
        <v>44966</v>
      </c>
      <c r="C80" s="1" t="n">
        <v>45761</v>
      </c>
      <c r="D80" t="inlineStr">
        <is>
          <t>ÖSTERGÖTLANDS LÄN</t>
        </is>
      </c>
      <c r="E80" t="inlineStr">
        <is>
          <t>FINSPÅNG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HYPERLINK("https://klasma.github.io/Logging_0562/artfynd/A 6707-2023 artfynd.xlsx", "A 6707-2023")</f>
        <v/>
      </c>
      <c r="T80">
        <f>HYPERLINK("https://klasma.github.io/Logging_0562/kartor/A 6707-2023 karta.png", "A 6707-2023")</f>
        <v/>
      </c>
      <c r="V80">
        <f>HYPERLINK("https://klasma.github.io/Logging_0562/klagomål/A 6707-2023 FSC-klagomål.docx", "A 6707-2023")</f>
        <v/>
      </c>
      <c r="W80">
        <f>HYPERLINK("https://klasma.github.io/Logging_0562/klagomålsmail/A 6707-2023 FSC-klagomål mail.docx", "A 6707-2023")</f>
        <v/>
      </c>
      <c r="X80">
        <f>HYPERLINK("https://klasma.github.io/Logging_0562/tillsyn/A 6707-2023 tillsynsbegäran.docx", "A 6707-2023")</f>
        <v/>
      </c>
      <c r="Y80">
        <f>HYPERLINK("https://klasma.github.io/Logging_0562/tillsynsmail/A 6707-2023 tillsynsbegäran mail.docx", "A 6707-2023")</f>
        <v/>
      </c>
    </row>
    <row r="81" ht="15" customHeight="1">
      <c r="A81" t="inlineStr">
        <is>
          <t>A 6729-2023</t>
        </is>
      </c>
      <c r="B81" s="1" t="n">
        <v>44966</v>
      </c>
      <c r="C81" s="1" t="n">
        <v>45761</v>
      </c>
      <c r="D81" t="inlineStr">
        <is>
          <t>ÖSTERGÖTLANDS LÄN</t>
        </is>
      </c>
      <c r="E81" t="inlineStr">
        <is>
          <t>FINSPÅNG</t>
        </is>
      </c>
      <c r="G81" t="n">
        <v>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HYPERLINK("https://klasma.github.io/Logging_0562/artfynd/A 6729-2023 artfynd.xlsx", "A 6729-2023")</f>
        <v/>
      </c>
      <c r="T81">
        <f>HYPERLINK("https://klasma.github.io/Logging_0562/kartor/A 6729-2023 karta.png", "A 6729-2023")</f>
        <v/>
      </c>
      <c r="V81">
        <f>HYPERLINK("https://klasma.github.io/Logging_0562/klagomål/A 6729-2023 FSC-klagomål.docx", "A 6729-2023")</f>
        <v/>
      </c>
      <c r="W81">
        <f>HYPERLINK("https://klasma.github.io/Logging_0562/klagomålsmail/A 6729-2023 FSC-klagomål mail.docx", "A 6729-2023")</f>
        <v/>
      </c>
      <c r="X81">
        <f>HYPERLINK("https://klasma.github.io/Logging_0562/tillsyn/A 6729-2023 tillsynsbegäran.docx", "A 6729-2023")</f>
        <v/>
      </c>
      <c r="Y81">
        <f>HYPERLINK("https://klasma.github.io/Logging_0562/tillsynsmail/A 6729-2023 tillsynsbegäran mail.docx", "A 6729-2023")</f>
        <v/>
      </c>
    </row>
    <row r="82" ht="15" customHeight="1">
      <c r="A82" t="inlineStr">
        <is>
          <t>A 19404-2023</t>
        </is>
      </c>
      <c r="B82" s="1" t="n">
        <v>45049</v>
      </c>
      <c r="C82" s="1" t="n">
        <v>45761</v>
      </c>
      <c r="D82" t="inlineStr">
        <is>
          <t>ÖSTERGÖTLANDS LÄN</t>
        </is>
      </c>
      <c r="E82" t="inlineStr">
        <is>
          <t>FINSPÅNG</t>
        </is>
      </c>
      <c r="F82" t="inlineStr">
        <is>
          <t>Naturvårdsverket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19404-2023 artfynd.xlsx", "A 19404-2023")</f>
        <v/>
      </c>
      <c r="T82">
        <f>HYPERLINK("https://klasma.github.io/Logging_0562/kartor/A 19404-2023 karta.png", "A 19404-2023")</f>
        <v/>
      </c>
      <c r="V82">
        <f>HYPERLINK("https://klasma.github.io/Logging_0562/klagomål/A 19404-2023 FSC-klagomål.docx", "A 19404-2023")</f>
        <v/>
      </c>
      <c r="W82">
        <f>HYPERLINK("https://klasma.github.io/Logging_0562/klagomålsmail/A 19404-2023 FSC-klagomål mail.docx", "A 19404-2023")</f>
        <v/>
      </c>
      <c r="X82">
        <f>HYPERLINK("https://klasma.github.io/Logging_0562/tillsyn/A 19404-2023 tillsynsbegäran.docx", "A 19404-2023")</f>
        <v/>
      </c>
      <c r="Y82">
        <f>HYPERLINK("https://klasma.github.io/Logging_0562/tillsynsmail/A 19404-2023 tillsynsbegäran mail.docx", "A 19404-2023")</f>
        <v/>
      </c>
    </row>
    <row r="83" ht="15" customHeight="1">
      <c r="A83" t="inlineStr">
        <is>
          <t>A 24411-2023</t>
        </is>
      </c>
      <c r="B83" s="1" t="n">
        <v>45082</v>
      </c>
      <c r="C83" s="1" t="n">
        <v>45761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HYPERLINK("https://klasma.github.io/Logging_0562/artfynd/A 24411-2023 artfynd.xlsx", "A 24411-2023")</f>
        <v/>
      </c>
      <c r="T83">
        <f>HYPERLINK("https://klasma.github.io/Logging_0562/kartor/A 24411-2023 karta.png", "A 24411-2023")</f>
        <v/>
      </c>
      <c r="V83">
        <f>HYPERLINK("https://klasma.github.io/Logging_0562/klagomål/A 24411-2023 FSC-klagomål.docx", "A 24411-2023")</f>
        <v/>
      </c>
      <c r="W83">
        <f>HYPERLINK("https://klasma.github.io/Logging_0562/klagomålsmail/A 24411-2023 FSC-klagomål mail.docx", "A 24411-2023")</f>
        <v/>
      </c>
      <c r="X83">
        <f>HYPERLINK("https://klasma.github.io/Logging_0562/tillsyn/A 24411-2023 tillsynsbegäran.docx", "A 24411-2023")</f>
        <v/>
      </c>
      <c r="Y83">
        <f>HYPERLINK("https://klasma.github.io/Logging_0562/tillsynsmail/A 24411-2023 tillsynsbegäran mail.docx", "A 24411-2023")</f>
        <v/>
      </c>
    </row>
    <row r="84" ht="15" customHeight="1">
      <c r="A84" t="inlineStr">
        <is>
          <t>A 32570-2023</t>
        </is>
      </c>
      <c r="B84" s="1" t="n">
        <v>45121</v>
      </c>
      <c r="C84" s="1" t="n">
        <v>45761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7.7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32570-2023 artfynd.xlsx", "A 32570-2023")</f>
        <v/>
      </c>
      <c r="T84">
        <f>HYPERLINK("https://klasma.github.io/Logging_0562/kartor/A 32570-2023 karta.png", "A 32570-2023")</f>
        <v/>
      </c>
      <c r="V84">
        <f>HYPERLINK("https://klasma.github.io/Logging_0562/klagomål/A 32570-2023 FSC-klagomål.docx", "A 32570-2023")</f>
        <v/>
      </c>
      <c r="W84">
        <f>HYPERLINK("https://klasma.github.io/Logging_0562/klagomålsmail/A 32570-2023 FSC-klagomål mail.docx", "A 32570-2023")</f>
        <v/>
      </c>
      <c r="X84">
        <f>HYPERLINK("https://klasma.github.io/Logging_0562/tillsyn/A 32570-2023 tillsynsbegäran.docx", "A 32570-2023")</f>
        <v/>
      </c>
      <c r="Y84">
        <f>HYPERLINK("https://klasma.github.io/Logging_0562/tillsynsmail/A 32570-2023 tillsynsbegäran mail.docx", "A 32570-2023")</f>
        <v/>
      </c>
      <c r="Z84">
        <f>HYPERLINK("https://klasma.github.io/Logging_0562/fåglar/A 32570-2023 prioriterade fågelarter.docx", "A 32570-2023")</f>
        <v/>
      </c>
    </row>
    <row r="85" ht="15" customHeight="1">
      <c r="A85" t="inlineStr">
        <is>
          <t>A 34115-2023</t>
        </is>
      </c>
      <c r="B85" s="1" t="n">
        <v>45135</v>
      </c>
      <c r="C85" s="1" t="n">
        <v>45761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HYPERLINK("https://klasma.github.io/Logging_0562/artfynd/A 34115-2023 artfynd.xlsx", "A 34115-2023")</f>
        <v/>
      </c>
      <c r="T85">
        <f>HYPERLINK("https://klasma.github.io/Logging_0562/kartor/A 34115-2023 karta.png", "A 34115-2023")</f>
        <v/>
      </c>
      <c r="V85">
        <f>HYPERLINK("https://klasma.github.io/Logging_0562/klagomål/A 34115-2023 FSC-klagomål.docx", "A 34115-2023")</f>
        <v/>
      </c>
      <c r="W85">
        <f>HYPERLINK("https://klasma.github.io/Logging_0562/klagomålsmail/A 34115-2023 FSC-klagomål mail.docx", "A 34115-2023")</f>
        <v/>
      </c>
      <c r="X85">
        <f>HYPERLINK("https://klasma.github.io/Logging_0562/tillsyn/A 34115-2023 tillsynsbegäran.docx", "A 34115-2023")</f>
        <v/>
      </c>
      <c r="Y85">
        <f>HYPERLINK("https://klasma.github.io/Logging_0562/tillsynsmail/A 34115-2023 tillsynsbegäran mail.docx", "A 34115-2023")</f>
        <v/>
      </c>
      <c r="Z85">
        <f>HYPERLINK("https://klasma.github.io/Logging_0562/fåglar/A 34115-2023 prioriterade fågelarter.docx", "A 34115-2023")</f>
        <v/>
      </c>
    </row>
    <row r="86" ht="15" customHeight="1">
      <c r="A86" t="inlineStr">
        <is>
          <t>A 53265-2023</t>
        </is>
      </c>
      <c r="B86" s="1" t="n">
        <v>45229</v>
      </c>
      <c r="C86" s="1" t="n">
        <v>45761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HYPERLINK("https://klasma.github.io/Logging_0562/artfynd/A 53265-2023 artfynd.xlsx", "A 53265-2023")</f>
        <v/>
      </c>
      <c r="T86">
        <f>HYPERLINK("https://klasma.github.io/Logging_0562/kartor/A 53265-2023 karta.png", "A 53265-2023")</f>
        <v/>
      </c>
      <c r="V86">
        <f>HYPERLINK("https://klasma.github.io/Logging_0562/klagomål/A 53265-2023 FSC-klagomål.docx", "A 53265-2023")</f>
        <v/>
      </c>
      <c r="W86">
        <f>HYPERLINK("https://klasma.github.io/Logging_0562/klagomålsmail/A 53265-2023 FSC-klagomål mail.docx", "A 53265-2023")</f>
        <v/>
      </c>
      <c r="X86">
        <f>HYPERLINK("https://klasma.github.io/Logging_0562/tillsyn/A 53265-2023 tillsynsbegäran.docx", "A 53265-2023")</f>
        <v/>
      </c>
      <c r="Y86">
        <f>HYPERLINK("https://klasma.github.io/Logging_0562/tillsynsmail/A 53265-2023 tillsynsbegäran mail.docx", "A 53265-2023")</f>
        <v/>
      </c>
    </row>
    <row r="87" ht="15" customHeight="1">
      <c r="A87" t="inlineStr">
        <is>
          <t>A 54379-2023</t>
        </is>
      </c>
      <c r="B87" s="1" t="n">
        <v>45233</v>
      </c>
      <c r="C87" s="1" t="n">
        <v>45761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Flagellkvastmossa</t>
        </is>
      </c>
      <c r="S87">
        <f>HYPERLINK("https://klasma.github.io/Logging_0562/artfynd/A 54379-2023 artfynd.xlsx", "A 54379-2023")</f>
        <v/>
      </c>
      <c r="T87">
        <f>HYPERLINK("https://klasma.github.io/Logging_0562/kartor/A 54379-2023 karta.png", "A 54379-2023")</f>
        <v/>
      </c>
      <c r="V87">
        <f>HYPERLINK("https://klasma.github.io/Logging_0562/klagomål/A 54379-2023 FSC-klagomål.docx", "A 54379-2023")</f>
        <v/>
      </c>
      <c r="W87">
        <f>HYPERLINK("https://klasma.github.io/Logging_0562/klagomålsmail/A 54379-2023 FSC-klagomål mail.docx", "A 54379-2023")</f>
        <v/>
      </c>
      <c r="X87">
        <f>HYPERLINK("https://klasma.github.io/Logging_0562/tillsyn/A 54379-2023 tillsynsbegäran.docx", "A 54379-2023")</f>
        <v/>
      </c>
      <c r="Y87">
        <f>HYPERLINK("https://klasma.github.io/Logging_0562/tillsynsmail/A 54379-2023 tillsynsbegäran mail.docx", "A 54379-2023")</f>
        <v/>
      </c>
    </row>
    <row r="88" ht="15" customHeight="1">
      <c r="A88" t="inlineStr">
        <is>
          <t>A 54756-2023</t>
        </is>
      </c>
      <c r="B88" s="1" t="n">
        <v>45236</v>
      </c>
      <c r="C88" s="1" t="n">
        <v>45761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HYPERLINK("https://klasma.github.io/Logging_0562/artfynd/A 54756-2023 artfynd.xlsx", "A 54756-2023")</f>
        <v/>
      </c>
      <c r="T88">
        <f>HYPERLINK("https://klasma.github.io/Logging_0562/kartor/A 54756-2023 karta.png", "A 54756-2023")</f>
        <v/>
      </c>
      <c r="V88">
        <f>HYPERLINK("https://klasma.github.io/Logging_0562/klagomål/A 54756-2023 FSC-klagomål.docx", "A 54756-2023")</f>
        <v/>
      </c>
      <c r="W88">
        <f>HYPERLINK("https://klasma.github.io/Logging_0562/klagomålsmail/A 54756-2023 FSC-klagomål mail.docx", "A 54756-2023")</f>
        <v/>
      </c>
      <c r="X88">
        <f>HYPERLINK("https://klasma.github.io/Logging_0562/tillsyn/A 54756-2023 tillsynsbegäran.docx", "A 54756-2023")</f>
        <v/>
      </c>
      <c r="Y88">
        <f>HYPERLINK("https://klasma.github.io/Logging_0562/tillsynsmail/A 54756-2023 tillsynsbegäran mail.docx", "A 54756-2023")</f>
        <v/>
      </c>
      <c r="Z88">
        <f>HYPERLINK("https://klasma.github.io/Logging_0562/fåglar/A 54756-2023 prioriterade fågelarter.docx", "A 54756-2023")</f>
        <v/>
      </c>
    </row>
    <row r="89" ht="15" customHeight="1">
      <c r="A89" t="inlineStr">
        <is>
          <t>A 1177-2024</t>
        </is>
      </c>
      <c r="B89" s="1" t="n">
        <v>45302</v>
      </c>
      <c r="C89" s="1" t="n">
        <v>45761</v>
      </c>
      <c r="D89" t="inlineStr">
        <is>
          <t>ÖSTERGÖTLANDS LÄN</t>
        </is>
      </c>
      <c r="E89" t="inlineStr">
        <is>
          <t>FINSPÅNG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1177-2024 artfynd.xlsx", "A 1177-2024")</f>
        <v/>
      </c>
      <c r="T89">
        <f>HYPERLINK("https://klasma.github.io/Logging_0562/kartor/A 1177-2024 karta.png", "A 1177-2024")</f>
        <v/>
      </c>
      <c r="U89">
        <f>HYPERLINK("https://klasma.github.io/Logging_0562/knärot/A 1177-2024 karta knärot.png", "A 1177-2024")</f>
        <v/>
      </c>
      <c r="V89">
        <f>HYPERLINK("https://klasma.github.io/Logging_0562/klagomål/A 1177-2024 FSC-klagomål.docx", "A 1177-2024")</f>
        <v/>
      </c>
      <c r="W89">
        <f>HYPERLINK("https://klasma.github.io/Logging_0562/klagomålsmail/A 1177-2024 FSC-klagomål mail.docx", "A 1177-2024")</f>
        <v/>
      </c>
      <c r="X89">
        <f>HYPERLINK("https://klasma.github.io/Logging_0562/tillsyn/A 1177-2024 tillsynsbegäran.docx", "A 1177-2024")</f>
        <v/>
      </c>
      <c r="Y89">
        <f>HYPERLINK("https://klasma.github.io/Logging_0562/tillsynsmail/A 1177-2024 tillsynsbegäran mail.docx", "A 1177-2024")</f>
        <v/>
      </c>
    </row>
    <row r="90" ht="15" customHeight="1">
      <c r="A90" t="inlineStr">
        <is>
          <t>A 4543-2024</t>
        </is>
      </c>
      <c r="B90" s="1" t="n">
        <v>45327</v>
      </c>
      <c r="C90" s="1" t="n">
        <v>45761</v>
      </c>
      <c r="D90" t="inlineStr">
        <is>
          <t>ÖSTERGÖTLANDS LÄN</t>
        </is>
      </c>
      <c r="E90" t="inlineStr">
        <is>
          <t>FINSPÅNG</t>
        </is>
      </c>
      <c r="G90" t="n">
        <v>12.1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Nätådrig parkmätare</t>
        </is>
      </c>
      <c r="S90">
        <f>HYPERLINK("https://klasma.github.io/Logging_0562/artfynd/A 4543-2024 artfynd.xlsx", "A 4543-2024")</f>
        <v/>
      </c>
      <c r="T90">
        <f>HYPERLINK("https://klasma.github.io/Logging_0562/kartor/A 4543-2024 karta.png", "A 4543-2024")</f>
        <v/>
      </c>
      <c r="V90">
        <f>HYPERLINK("https://klasma.github.io/Logging_0562/klagomål/A 4543-2024 FSC-klagomål.docx", "A 4543-2024")</f>
        <v/>
      </c>
      <c r="W90">
        <f>HYPERLINK("https://klasma.github.io/Logging_0562/klagomålsmail/A 4543-2024 FSC-klagomål mail.docx", "A 4543-2024")</f>
        <v/>
      </c>
      <c r="X90">
        <f>HYPERLINK("https://klasma.github.io/Logging_0562/tillsyn/A 4543-2024 tillsynsbegäran.docx", "A 4543-2024")</f>
        <v/>
      </c>
      <c r="Y90">
        <f>HYPERLINK("https://klasma.github.io/Logging_0562/tillsynsmail/A 4543-2024 tillsynsbegäran mail.docx", "A 4543-2024")</f>
        <v/>
      </c>
    </row>
    <row r="91" ht="15" customHeight="1">
      <c r="A91" t="inlineStr">
        <is>
          <t>A 4644-2024</t>
        </is>
      </c>
      <c r="B91" s="1" t="n">
        <v>45328</v>
      </c>
      <c r="C91" s="1" t="n">
        <v>45761</v>
      </c>
      <c r="D91" t="inlineStr">
        <is>
          <t>ÖSTERGÖTLANDS LÄN</t>
        </is>
      </c>
      <c r="E91" t="inlineStr">
        <is>
          <t>FINSPÅNG</t>
        </is>
      </c>
      <c r="G91" t="n">
        <v>5.3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HYPERLINK("https://klasma.github.io/Logging_0562/artfynd/A 4644-2024 artfynd.xlsx", "A 4644-2024")</f>
        <v/>
      </c>
      <c r="T91">
        <f>HYPERLINK("https://klasma.github.io/Logging_0562/kartor/A 4644-2024 karta.png", "A 4644-2024")</f>
        <v/>
      </c>
      <c r="V91">
        <f>HYPERLINK("https://klasma.github.io/Logging_0562/klagomål/A 4644-2024 FSC-klagomål.docx", "A 4644-2024")</f>
        <v/>
      </c>
      <c r="W91">
        <f>HYPERLINK("https://klasma.github.io/Logging_0562/klagomålsmail/A 4644-2024 FSC-klagomål mail.docx", "A 4644-2024")</f>
        <v/>
      </c>
      <c r="X91">
        <f>HYPERLINK("https://klasma.github.io/Logging_0562/tillsyn/A 4644-2024 tillsynsbegäran.docx", "A 4644-2024")</f>
        <v/>
      </c>
      <c r="Y91">
        <f>HYPERLINK("https://klasma.github.io/Logging_0562/tillsynsmail/A 4644-2024 tillsynsbegäran mail.docx", "A 4644-2024")</f>
        <v/>
      </c>
      <c r="Z91">
        <f>HYPERLINK("https://klasma.github.io/Logging_0562/fåglar/A 4644-2024 prioriterade fågelarter.docx", "A 4644-2024")</f>
        <v/>
      </c>
    </row>
    <row r="92" ht="15" customHeight="1">
      <c r="A92" t="inlineStr">
        <is>
          <t>A 5742-2024</t>
        </is>
      </c>
      <c r="B92" s="1" t="n">
        <v>45335</v>
      </c>
      <c r="C92" s="1" t="n">
        <v>45761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5742-2024 artfynd.xlsx", "A 5742-2024")</f>
        <v/>
      </c>
      <c r="T92">
        <f>HYPERLINK("https://klasma.github.io/Logging_0562/kartor/A 5742-2024 karta.png", "A 5742-2024")</f>
        <v/>
      </c>
      <c r="V92">
        <f>HYPERLINK("https://klasma.github.io/Logging_0562/klagomål/A 5742-2024 FSC-klagomål.docx", "A 5742-2024")</f>
        <v/>
      </c>
      <c r="W92">
        <f>HYPERLINK("https://klasma.github.io/Logging_0562/klagomålsmail/A 5742-2024 FSC-klagomål mail.docx", "A 5742-2024")</f>
        <v/>
      </c>
      <c r="X92">
        <f>HYPERLINK("https://klasma.github.io/Logging_0562/tillsyn/A 5742-2024 tillsynsbegäran.docx", "A 5742-2024")</f>
        <v/>
      </c>
      <c r="Y92">
        <f>HYPERLINK("https://klasma.github.io/Logging_0562/tillsynsmail/A 5742-2024 tillsynsbegäran mail.docx", "A 5742-2024")</f>
        <v/>
      </c>
    </row>
    <row r="93" ht="15" customHeight="1">
      <c r="A93" t="inlineStr">
        <is>
          <t>A 13477-2024</t>
        </is>
      </c>
      <c r="B93" s="1" t="n">
        <v>45387</v>
      </c>
      <c r="C93" s="1" t="n">
        <v>45761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HYPERLINK("https://klasma.github.io/Logging_0562/artfynd/A 13477-2024 artfynd.xlsx", "A 13477-2024")</f>
        <v/>
      </c>
      <c r="T93">
        <f>HYPERLINK("https://klasma.github.io/Logging_0562/kartor/A 13477-2024 karta.png", "A 13477-2024")</f>
        <v/>
      </c>
      <c r="V93">
        <f>HYPERLINK("https://klasma.github.io/Logging_0562/klagomål/A 13477-2024 FSC-klagomål.docx", "A 13477-2024")</f>
        <v/>
      </c>
      <c r="W93">
        <f>HYPERLINK("https://klasma.github.io/Logging_0562/klagomålsmail/A 13477-2024 FSC-klagomål mail.docx", "A 13477-2024")</f>
        <v/>
      </c>
      <c r="X93">
        <f>HYPERLINK("https://klasma.github.io/Logging_0562/tillsyn/A 13477-2024 tillsynsbegäran.docx", "A 13477-2024")</f>
        <v/>
      </c>
      <c r="Y93">
        <f>HYPERLINK("https://klasma.github.io/Logging_0562/tillsynsmail/A 13477-2024 tillsynsbegäran mail.docx", "A 13477-2024")</f>
        <v/>
      </c>
    </row>
    <row r="94" ht="15" customHeight="1">
      <c r="A94" t="inlineStr">
        <is>
          <t>A 18462-2024</t>
        </is>
      </c>
      <c r="B94" s="1" t="n">
        <v>45425</v>
      </c>
      <c r="C94" s="1" t="n">
        <v>45761</v>
      </c>
      <c r="D94" t="inlineStr">
        <is>
          <t>ÖSTERGÖTLANDS LÄN</t>
        </is>
      </c>
      <c r="E94" t="inlineStr">
        <is>
          <t>FINSPÅNG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HYPERLINK("https://klasma.github.io/Logging_0562/artfynd/A 18462-2024 artfynd.xlsx", "A 18462-2024")</f>
        <v/>
      </c>
      <c r="T94">
        <f>HYPERLINK("https://klasma.github.io/Logging_0562/kartor/A 18462-2024 karta.png", "A 18462-2024")</f>
        <v/>
      </c>
      <c r="V94">
        <f>HYPERLINK("https://klasma.github.io/Logging_0562/klagomål/A 18462-2024 FSC-klagomål.docx", "A 18462-2024")</f>
        <v/>
      </c>
      <c r="W94">
        <f>HYPERLINK("https://klasma.github.io/Logging_0562/klagomålsmail/A 18462-2024 FSC-klagomål mail.docx", "A 18462-2024")</f>
        <v/>
      </c>
      <c r="X94">
        <f>HYPERLINK("https://klasma.github.io/Logging_0562/tillsyn/A 18462-2024 tillsynsbegäran.docx", "A 18462-2024")</f>
        <v/>
      </c>
      <c r="Y94">
        <f>HYPERLINK("https://klasma.github.io/Logging_0562/tillsynsmail/A 18462-2024 tillsynsbegäran mail.docx", "A 18462-2024")</f>
        <v/>
      </c>
    </row>
    <row r="95" ht="15" customHeight="1">
      <c r="A95" t="inlineStr">
        <is>
          <t>A 23994-2024</t>
        </is>
      </c>
      <c r="B95" s="1" t="n">
        <v>45456</v>
      </c>
      <c r="C95" s="1" t="n">
        <v>45761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Mörksömmad barksvartbagge</t>
        </is>
      </c>
      <c r="S95">
        <f>HYPERLINK("https://klasma.github.io/Logging_0562/artfynd/A 23994-2024 artfynd.xlsx", "A 23994-2024")</f>
        <v/>
      </c>
      <c r="T95">
        <f>HYPERLINK("https://klasma.github.io/Logging_0562/kartor/A 23994-2024 karta.png", "A 23994-2024")</f>
        <v/>
      </c>
      <c r="V95">
        <f>HYPERLINK("https://klasma.github.io/Logging_0562/klagomål/A 23994-2024 FSC-klagomål.docx", "A 23994-2024")</f>
        <v/>
      </c>
      <c r="W95">
        <f>HYPERLINK("https://klasma.github.io/Logging_0562/klagomålsmail/A 23994-2024 FSC-klagomål mail.docx", "A 23994-2024")</f>
        <v/>
      </c>
      <c r="X95">
        <f>HYPERLINK("https://klasma.github.io/Logging_0562/tillsyn/A 23994-2024 tillsynsbegäran.docx", "A 23994-2024")</f>
        <v/>
      </c>
      <c r="Y95">
        <f>HYPERLINK("https://klasma.github.io/Logging_0562/tillsynsmail/A 23994-2024 tillsynsbegäran mail.docx", "A 23994-2024")</f>
        <v/>
      </c>
    </row>
    <row r="96" ht="15" customHeight="1">
      <c r="A96" t="inlineStr">
        <is>
          <t>A 38573-2024</t>
        </is>
      </c>
      <c r="B96" s="1" t="n">
        <v>45546</v>
      </c>
      <c r="C96" s="1" t="n">
        <v>45761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9.699999999999999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38573-2024 artfynd.xlsx", "A 38573-2024")</f>
        <v/>
      </c>
      <c r="T96">
        <f>HYPERLINK("https://klasma.github.io/Logging_0562/kartor/A 38573-2024 karta.png", "A 38573-2024")</f>
        <v/>
      </c>
      <c r="V96">
        <f>HYPERLINK("https://klasma.github.io/Logging_0562/klagomål/A 38573-2024 FSC-klagomål.docx", "A 38573-2024")</f>
        <v/>
      </c>
      <c r="W96">
        <f>HYPERLINK("https://klasma.github.io/Logging_0562/klagomålsmail/A 38573-2024 FSC-klagomål mail.docx", "A 38573-2024")</f>
        <v/>
      </c>
      <c r="X96">
        <f>HYPERLINK("https://klasma.github.io/Logging_0562/tillsyn/A 38573-2024 tillsynsbegäran.docx", "A 38573-2024")</f>
        <v/>
      </c>
      <c r="Y96">
        <f>HYPERLINK("https://klasma.github.io/Logging_0562/tillsynsmail/A 38573-2024 tillsynsbegäran mail.docx", "A 38573-2024")</f>
        <v/>
      </c>
    </row>
    <row r="97" ht="15" customHeight="1">
      <c r="A97" t="inlineStr">
        <is>
          <t>A 40311-2024</t>
        </is>
      </c>
      <c r="B97" s="1" t="n">
        <v>45554</v>
      </c>
      <c r="C97" s="1" t="n">
        <v>45761</v>
      </c>
      <c r="D97" t="inlineStr">
        <is>
          <t>ÖSTERGÖTLANDS LÄN</t>
        </is>
      </c>
      <c r="E97" t="inlineStr">
        <is>
          <t>FINSPÅNG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40311-2024 artfynd.xlsx", "A 40311-2024")</f>
        <v/>
      </c>
      <c r="T97">
        <f>HYPERLINK("https://klasma.github.io/Logging_0562/kartor/A 40311-2024 karta.png", "A 40311-2024")</f>
        <v/>
      </c>
      <c r="V97">
        <f>HYPERLINK("https://klasma.github.io/Logging_0562/klagomål/A 40311-2024 FSC-klagomål.docx", "A 40311-2024")</f>
        <v/>
      </c>
      <c r="W97">
        <f>HYPERLINK("https://klasma.github.io/Logging_0562/klagomålsmail/A 40311-2024 FSC-klagomål mail.docx", "A 40311-2024")</f>
        <v/>
      </c>
      <c r="X97">
        <f>HYPERLINK("https://klasma.github.io/Logging_0562/tillsyn/A 40311-2024 tillsynsbegäran.docx", "A 40311-2024")</f>
        <v/>
      </c>
      <c r="Y97">
        <f>HYPERLINK("https://klasma.github.io/Logging_0562/tillsynsmail/A 40311-2024 tillsynsbegäran mail.docx", "A 40311-2024")</f>
        <v/>
      </c>
    </row>
    <row r="98" ht="15" customHeight="1">
      <c r="A98" t="inlineStr">
        <is>
          <t>A 40385-2024</t>
        </is>
      </c>
      <c r="B98" s="1" t="n">
        <v>45555</v>
      </c>
      <c r="C98" s="1" t="n">
        <v>45761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HYPERLINK("https://klasma.github.io/Logging_0562/artfynd/A 40385-2024 artfynd.xlsx", "A 40385-2024")</f>
        <v/>
      </c>
      <c r="T98">
        <f>HYPERLINK("https://klasma.github.io/Logging_0562/kartor/A 40385-2024 karta.png", "A 40385-2024")</f>
        <v/>
      </c>
      <c r="V98">
        <f>HYPERLINK("https://klasma.github.io/Logging_0562/klagomål/A 40385-2024 FSC-klagomål.docx", "A 40385-2024")</f>
        <v/>
      </c>
      <c r="W98">
        <f>HYPERLINK("https://klasma.github.io/Logging_0562/klagomålsmail/A 40385-2024 FSC-klagomål mail.docx", "A 40385-2024")</f>
        <v/>
      </c>
      <c r="X98">
        <f>HYPERLINK("https://klasma.github.io/Logging_0562/tillsyn/A 40385-2024 tillsynsbegäran.docx", "A 40385-2024")</f>
        <v/>
      </c>
      <c r="Y98">
        <f>HYPERLINK("https://klasma.github.io/Logging_0562/tillsynsmail/A 40385-2024 tillsynsbegäran mail.docx", "A 40385-2024")</f>
        <v/>
      </c>
      <c r="Z98">
        <f>HYPERLINK("https://klasma.github.io/Logging_0562/fåglar/A 40385-2024 prioriterade fågelarter.docx", "A 40385-2024")</f>
        <v/>
      </c>
    </row>
    <row r="99" ht="15" customHeight="1">
      <c r="A99" t="inlineStr">
        <is>
          <t>A 40478-2024</t>
        </is>
      </c>
      <c r="B99" s="1" t="n">
        <v>45555</v>
      </c>
      <c r="C99" s="1" t="n">
        <v>45761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7.4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40478-2024 artfynd.xlsx", "A 40478-2024")</f>
        <v/>
      </c>
      <c r="T99">
        <f>HYPERLINK("https://klasma.github.io/Logging_0562/kartor/A 40478-2024 karta.png", "A 40478-2024")</f>
        <v/>
      </c>
      <c r="V99">
        <f>HYPERLINK("https://klasma.github.io/Logging_0562/klagomål/A 40478-2024 FSC-klagomål.docx", "A 40478-2024")</f>
        <v/>
      </c>
      <c r="W99">
        <f>HYPERLINK("https://klasma.github.io/Logging_0562/klagomålsmail/A 40478-2024 FSC-klagomål mail.docx", "A 40478-2024")</f>
        <v/>
      </c>
      <c r="X99">
        <f>HYPERLINK("https://klasma.github.io/Logging_0562/tillsyn/A 40478-2024 tillsynsbegäran.docx", "A 40478-2024")</f>
        <v/>
      </c>
      <c r="Y99">
        <f>HYPERLINK("https://klasma.github.io/Logging_0562/tillsynsmail/A 40478-2024 tillsynsbegäran mail.docx", "A 40478-2024")</f>
        <v/>
      </c>
    </row>
    <row r="100" ht="15" customHeight="1">
      <c r="A100" t="inlineStr">
        <is>
          <t>A 40686-2024</t>
        </is>
      </c>
      <c r="B100" s="1" t="n">
        <v>45558</v>
      </c>
      <c r="C100" s="1" t="n">
        <v>45761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19.6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40686-2024 artfynd.xlsx", "A 40686-2024")</f>
        <v/>
      </c>
      <c r="T100">
        <f>HYPERLINK("https://klasma.github.io/Logging_0562/kartor/A 40686-2024 karta.png", "A 40686-2024")</f>
        <v/>
      </c>
      <c r="V100">
        <f>HYPERLINK("https://klasma.github.io/Logging_0562/klagomål/A 40686-2024 FSC-klagomål.docx", "A 40686-2024")</f>
        <v/>
      </c>
      <c r="W100">
        <f>HYPERLINK("https://klasma.github.io/Logging_0562/klagomålsmail/A 40686-2024 FSC-klagomål mail.docx", "A 40686-2024")</f>
        <v/>
      </c>
      <c r="X100">
        <f>HYPERLINK("https://klasma.github.io/Logging_0562/tillsyn/A 40686-2024 tillsynsbegäran.docx", "A 40686-2024")</f>
        <v/>
      </c>
      <c r="Y100">
        <f>HYPERLINK("https://klasma.github.io/Logging_0562/tillsynsmail/A 40686-2024 tillsynsbegäran mail.docx", "A 40686-2024")</f>
        <v/>
      </c>
    </row>
    <row r="101" ht="15" customHeight="1">
      <c r="A101" t="inlineStr">
        <is>
          <t>A 42837-2024</t>
        </is>
      </c>
      <c r="B101" s="1" t="n">
        <v>45566</v>
      </c>
      <c r="C101" s="1" t="n">
        <v>45761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42837-2024 artfynd.xlsx", "A 42837-2024")</f>
        <v/>
      </c>
      <c r="T101">
        <f>HYPERLINK("https://klasma.github.io/Logging_0562/kartor/A 42837-2024 karta.png", "A 42837-2024")</f>
        <v/>
      </c>
      <c r="U101">
        <f>HYPERLINK("https://klasma.github.io/Logging_0562/knärot/A 42837-2024 karta knärot.png", "A 42837-2024")</f>
        <v/>
      </c>
      <c r="V101">
        <f>HYPERLINK("https://klasma.github.io/Logging_0562/klagomål/A 42837-2024 FSC-klagomål.docx", "A 42837-2024")</f>
        <v/>
      </c>
      <c r="W101">
        <f>HYPERLINK("https://klasma.github.io/Logging_0562/klagomålsmail/A 42837-2024 FSC-klagomål mail.docx", "A 42837-2024")</f>
        <v/>
      </c>
      <c r="X101">
        <f>HYPERLINK("https://klasma.github.io/Logging_0562/tillsyn/A 42837-2024 tillsynsbegäran.docx", "A 42837-2024")</f>
        <v/>
      </c>
      <c r="Y101">
        <f>HYPERLINK("https://klasma.github.io/Logging_0562/tillsynsmail/A 42837-2024 tillsynsbegäran mail.docx", "A 42837-2024")</f>
        <v/>
      </c>
    </row>
    <row r="102" ht="15" customHeight="1">
      <c r="A102" t="inlineStr">
        <is>
          <t>A 42650-2024</t>
        </is>
      </c>
      <c r="B102" s="1" t="n">
        <v>45566</v>
      </c>
      <c r="C102" s="1" t="n">
        <v>45761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3.1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HYPERLINK("https://klasma.github.io/Logging_0562/artfynd/A 42650-2024 artfynd.xlsx", "A 42650-2024")</f>
        <v/>
      </c>
      <c r="T102">
        <f>HYPERLINK("https://klasma.github.io/Logging_0562/kartor/A 42650-2024 karta.png", "A 42650-2024")</f>
        <v/>
      </c>
      <c r="V102">
        <f>HYPERLINK("https://klasma.github.io/Logging_0562/klagomål/A 42650-2024 FSC-klagomål.docx", "A 42650-2024")</f>
        <v/>
      </c>
      <c r="W102">
        <f>HYPERLINK("https://klasma.github.io/Logging_0562/klagomålsmail/A 42650-2024 FSC-klagomål mail.docx", "A 42650-2024")</f>
        <v/>
      </c>
      <c r="X102">
        <f>HYPERLINK("https://klasma.github.io/Logging_0562/tillsyn/A 42650-2024 tillsynsbegäran.docx", "A 42650-2024")</f>
        <v/>
      </c>
      <c r="Y102">
        <f>HYPERLINK("https://klasma.github.io/Logging_0562/tillsynsmail/A 42650-2024 tillsynsbegäran mail.docx", "A 42650-2024")</f>
        <v/>
      </c>
    </row>
    <row r="103" ht="15" customHeight="1">
      <c r="A103" t="inlineStr">
        <is>
          <t>A 42648-2024</t>
        </is>
      </c>
      <c r="B103" s="1" t="n">
        <v>45566</v>
      </c>
      <c r="C103" s="1" t="n">
        <v>45761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42648-2024 artfynd.xlsx", "A 42648-2024")</f>
        <v/>
      </c>
      <c r="T103">
        <f>HYPERLINK("https://klasma.github.io/Logging_0562/kartor/A 42648-2024 karta.png", "A 42648-2024")</f>
        <v/>
      </c>
      <c r="U103">
        <f>HYPERLINK("https://klasma.github.io/Logging_0562/knärot/A 42648-2024 karta knärot.png", "A 42648-2024")</f>
        <v/>
      </c>
      <c r="V103">
        <f>HYPERLINK("https://klasma.github.io/Logging_0562/klagomål/A 42648-2024 FSC-klagomål.docx", "A 42648-2024")</f>
        <v/>
      </c>
      <c r="W103">
        <f>HYPERLINK("https://klasma.github.io/Logging_0562/klagomålsmail/A 42648-2024 FSC-klagomål mail.docx", "A 42648-2024")</f>
        <v/>
      </c>
      <c r="X103">
        <f>HYPERLINK("https://klasma.github.io/Logging_0562/tillsyn/A 42648-2024 tillsynsbegäran.docx", "A 42648-2024")</f>
        <v/>
      </c>
      <c r="Y103">
        <f>HYPERLINK("https://klasma.github.io/Logging_0562/tillsynsmail/A 42648-2024 tillsynsbegäran mail.docx", "A 42648-2024")</f>
        <v/>
      </c>
    </row>
    <row r="104" ht="15" customHeight="1">
      <c r="A104" t="inlineStr">
        <is>
          <t>A 44984-2024</t>
        </is>
      </c>
      <c r="B104" s="1" t="n">
        <v>45575</v>
      </c>
      <c r="C104" s="1" t="n">
        <v>45761</v>
      </c>
      <c r="D104" t="inlineStr">
        <is>
          <t>ÖSTERGÖTLANDS LÄN</t>
        </is>
      </c>
      <c r="E104" t="inlineStr">
        <is>
          <t>FINSPÅNG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HYPERLINK("https://klasma.github.io/Logging_0562/artfynd/A 44984-2024 artfynd.xlsx", "A 44984-2024")</f>
        <v/>
      </c>
      <c r="T104">
        <f>HYPERLINK("https://klasma.github.io/Logging_0562/kartor/A 44984-2024 karta.png", "A 44984-2024")</f>
        <v/>
      </c>
      <c r="V104">
        <f>HYPERLINK("https://klasma.github.io/Logging_0562/klagomål/A 44984-2024 FSC-klagomål.docx", "A 44984-2024")</f>
        <v/>
      </c>
      <c r="W104">
        <f>HYPERLINK("https://klasma.github.io/Logging_0562/klagomålsmail/A 44984-2024 FSC-klagomål mail.docx", "A 44984-2024")</f>
        <v/>
      </c>
      <c r="X104">
        <f>HYPERLINK("https://klasma.github.io/Logging_0562/tillsyn/A 44984-2024 tillsynsbegäran.docx", "A 44984-2024")</f>
        <v/>
      </c>
      <c r="Y104">
        <f>HYPERLINK("https://klasma.github.io/Logging_0562/tillsynsmail/A 44984-2024 tillsynsbegäran mail.docx", "A 44984-2024")</f>
        <v/>
      </c>
    </row>
    <row r="105" ht="15" customHeight="1">
      <c r="A105" t="inlineStr">
        <is>
          <t>A 50639-2024</t>
        </is>
      </c>
      <c r="B105" s="1" t="n">
        <v>45601</v>
      </c>
      <c r="C105" s="1" t="n">
        <v>45761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13.4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HYPERLINK("https://klasma.github.io/Logging_0562/artfynd/A 50639-2024 artfynd.xlsx", "A 50639-2024")</f>
        <v/>
      </c>
      <c r="T105">
        <f>HYPERLINK("https://klasma.github.io/Logging_0562/kartor/A 50639-2024 karta.png", "A 50639-2024")</f>
        <v/>
      </c>
      <c r="V105">
        <f>HYPERLINK("https://klasma.github.io/Logging_0562/klagomål/A 50639-2024 FSC-klagomål.docx", "A 50639-2024")</f>
        <v/>
      </c>
      <c r="W105">
        <f>HYPERLINK("https://klasma.github.io/Logging_0562/klagomålsmail/A 50639-2024 FSC-klagomål mail.docx", "A 50639-2024")</f>
        <v/>
      </c>
      <c r="X105">
        <f>HYPERLINK("https://klasma.github.io/Logging_0562/tillsyn/A 50639-2024 tillsynsbegäran.docx", "A 50639-2024")</f>
        <v/>
      </c>
      <c r="Y105">
        <f>HYPERLINK("https://klasma.github.io/Logging_0562/tillsynsmail/A 50639-2024 tillsynsbegäran mail.docx", "A 50639-2024")</f>
        <v/>
      </c>
    </row>
    <row r="106" ht="15" customHeight="1">
      <c r="A106" t="inlineStr">
        <is>
          <t>A 53673-2024</t>
        </is>
      </c>
      <c r="B106" s="1" t="n">
        <v>45615</v>
      </c>
      <c r="C106" s="1" t="n">
        <v>45761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53673-2024 artfynd.xlsx", "A 53673-2024")</f>
        <v/>
      </c>
      <c r="T106">
        <f>HYPERLINK("https://klasma.github.io/Logging_0562/kartor/A 53673-2024 karta.png", "A 53673-2024")</f>
        <v/>
      </c>
      <c r="U106">
        <f>HYPERLINK("https://klasma.github.io/Logging_0562/knärot/A 53673-2024 karta knärot.png", "A 53673-2024")</f>
        <v/>
      </c>
      <c r="V106">
        <f>HYPERLINK("https://klasma.github.io/Logging_0562/klagomål/A 53673-2024 FSC-klagomål.docx", "A 53673-2024")</f>
        <v/>
      </c>
      <c r="W106">
        <f>HYPERLINK("https://klasma.github.io/Logging_0562/klagomålsmail/A 53673-2024 FSC-klagomål mail.docx", "A 53673-2024")</f>
        <v/>
      </c>
      <c r="X106">
        <f>HYPERLINK("https://klasma.github.io/Logging_0562/tillsyn/A 53673-2024 tillsynsbegäran.docx", "A 53673-2024")</f>
        <v/>
      </c>
      <c r="Y106">
        <f>HYPERLINK("https://klasma.github.io/Logging_0562/tillsynsmail/A 53673-2024 tillsynsbegäran mail.docx", "A 53673-2024")</f>
        <v/>
      </c>
    </row>
    <row r="107" ht="15" customHeight="1">
      <c r="A107" t="inlineStr">
        <is>
          <t>A 55989-2024</t>
        </is>
      </c>
      <c r="B107" s="1" t="n">
        <v>45623</v>
      </c>
      <c r="C107" s="1" t="n">
        <v>45761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11.1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HYPERLINK("https://klasma.github.io/Logging_0562/artfynd/A 55989-2024 artfynd.xlsx", "A 55989-2024")</f>
        <v/>
      </c>
      <c r="T107">
        <f>HYPERLINK("https://klasma.github.io/Logging_0562/kartor/A 55989-2024 karta.png", "A 55989-2024")</f>
        <v/>
      </c>
      <c r="V107">
        <f>HYPERLINK("https://klasma.github.io/Logging_0562/klagomål/A 55989-2024 FSC-klagomål.docx", "A 55989-2024")</f>
        <v/>
      </c>
      <c r="W107">
        <f>HYPERLINK("https://klasma.github.io/Logging_0562/klagomålsmail/A 55989-2024 FSC-klagomål mail.docx", "A 55989-2024")</f>
        <v/>
      </c>
      <c r="X107">
        <f>HYPERLINK("https://klasma.github.io/Logging_0562/tillsyn/A 55989-2024 tillsynsbegäran.docx", "A 55989-2024")</f>
        <v/>
      </c>
      <c r="Y107">
        <f>HYPERLINK("https://klasma.github.io/Logging_0562/tillsynsmail/A 55989-2024 tillsynsbegäran mail.docx", "A 55989-2024")</f>
        <v/>
      </c>
    </row>
    <row r="108" ht="15" customHeight="1">
      <c r="A108" t="inlineStr">
        <is>
          <t>A 56415-2024</t>
        </is>
      </c>
      <c r="B108" s="1" t="n">
        <v>45625</v>
      </c>
      <c r="C108" s="1" t="n">
        <v>45761</v>
      </c>
      <c r="D108" t="inlineStr">
        <is>
          <t>ÖSTERGÖTLANDS LÄN</t>
        </is>
      </c>
      <c r="E108" t="inlineStr">
        <is>
          <t>FINSPÅNG</t>
        </is>
      </c>
      <c r="G108" t="n">
        <v>5.3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HYPERLINK("https://klasma.github.io/Logging_0562/artfynd/A 56415-2024 artfynd.xlsx", "A 56415-2024")</f>
        <v/>
      </c>
      <c r="T108">
        <f>HYPERLINK("https://klasma.github.io/Logging_0562/kartor/A 56415-2024 karta.png", "A 56415-2024")</f>
        <v/>
      </c>
      <c r="U108">
        <f>HYPERLINK("https://klasma.github.io/Logging_0562/knärot/A 56415-2024 karta knärot.png", "A 56415-2024")</f>
        <v/>
      </c>
      <c r="V108">
        <f>HYPERLINK("https://klasma.github.io/Logging_0562/klagomål/A 56415-2024 FSC-klagomål.docx", "A 56415-2024")</f>
        <v/>
      </c>
      <c r="W108">
        <f>HYPERLINK("https://klasma.github.io/Logging_0562/klagomålsmail/A 56415-2024 FSC-klagomål mail.docx", "A 56415-2024")</f>
        <v/>
      </c>
      <c r="X108">
        <f>HYPERLINK("https://klasma.github.io/Logging_0562/tillsyn/A 56415-2024 tillsynsbegäran.docx", "A 56415-2024")</f>
        <v/>
      </c>
      <c r="Y108">
        <f>HYPERLINK("https://klasma.github.io/Logging_0562/tillsynsmail/A 56415-2024 tillsynsbegäran mail.docx", "A 56415-2024")</f>
        <v/>
      </c>
    </row>
    <row r="109" ht="15" customHeight="1">
      <c r="A109" t="inlineStr">
        <is>
          <t>A 56964-2024</t>
        </is>
      </c>
      <c r="B109" s="1" t="n">
        <v>45628</v>
      </c>
      <c r="C109" s="1" t="n">
        <v>45761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HYPERLINK("https://klasma.github.io/Logging_0562/artfynd/A 56964-2024 artfynd.xlsx", "A 56964-2024")</f>
        <v/>
      </c>
      <c r="T109">
        <f>HYPERLINK("https://klasma.github.io/Logging_0562/kartor/A 56964-2024 karta.png", "A 56964-2024")</f>
        <v/>
      </c>
      <c r="V109">
        <f>HYPERLINK("https://klasma.github.io/Logging_0562/klagomål/A 56964-2024 FSC-klagomål.docx", "A 56964-2024")</f>
        <v/>
      </c>
      <c r="W109">
        <f>HYPERLINK("https://klasma.github.io/Logging_0562/klagomålsmail/A 56964-2024 FSC-klagomål mail.docx", "A 56964-2024")</f>
        <v/>
      </c>
      <c r="X109">
        <f>HYPERLINK("https://klasma.github.io/Logging_0562/tillsyn/A 56964-2024 tillsynsbegäran.docx", "A 56964-2024")</f>
        <v/>
      </c>
      <c r="Y109">
        <f>HYPERLINK("https://klasma.github.io/Logging_0562/tillsynsmail/A 56964-2024 tillsynsbegäran mail.docx", "A 56964-2024")</f>
        <v/>
      </c>
    </row>
    <row r="110" ht="15" customHeight="1">
      <c r="A110" t="inlineStr">
        <is>
          <t>A 60093-2024</t>
        </is>
      </c>
      <c r="B110" s="1" t="n">
        <v>45642</v>
      </c>
      <c r="C110" s="1" t="n">
        <v>45761</v>
      </c>
      <c r="D110" t="inlineStr">
        <is>
          <t>ÖSTERGÖTLANDS LÄN</t>
        </is>
      </c>
      <c r="E110" t="inlineStr">
        <is>
          <t>FINSPÅNG</t>
        </is>
      </c>
      <c r="G110" t="n">
        <v>6.6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HYPERLINK("https://klasma.github.io/Logging_0562/artfynd/A 60093-2024 artfynd.xlsx", "A 60093-2024")</f>
        <v/>
      </c>
      <c r="T110">
        <f>HYPERLINK("https://klasma.github.io/Logging_0562/kartor/A 60093-2024 karta.png", "A 60093-2024")</f>
        <v/>
      </c>
      <c r="U110">
        <f>HYPERLINK("https://klasma.github.io/Logging_0562/knärot/A 60093-2024 karta knärot.png", "A 60093-2024")</f>
        <v/>
      </c>
      <c r="V110">
        <f>HYPERLINK("https://klasma.github.io/Logging_0562/klagomål/A 60093-2024 FSC-klagomål.docx", "A 60093-2024")</f>
        <v/>
      </c>
      <c r="W110">
        <f>HYPERLINK("https://klasma.github.io/Logging_0562/klagomålsmail/A 60093-2024 FSC-klagomål mail.docx", "A 60093-2024")</f>
        <v/>
      </c>
      <c r="X110">
        <f>HYPERLINK("https://klasma.github.io/Logging_0562/tillsyn/A 60093-2024 tillsynsbegäran.docx", "A 60093-2024")</f>
        <v/>
      </c>
      <c r="Y110">
        <f>HYPERLINK("https://klasma.github.io/Logging_0562/tillsynsmail/A 60093-2024 tillsynsbegäran mail.docx", "A 60093-2024")</f>
        <v/>
      </c>
    </row>
    <row r="111" ht="15" customHeight="1">
      <c r="A111" t="inlineStr">
        <is>
          <t>A 60621-2024</t>
        </is>
      </c>
      <c r="B111" s="1" t="n">
        <v>45644</v>
      </c>
      <c r="C111" s="1" t="n">
        <v>45761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Sveaskog</t>
        </is>
      </c>
      <c r="G111" t="n">
        <v>11.2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Klasefibbla</t>
        </is>
      </c>
      <c r="S111">
        <f>HYPERLINK("https://klasma.github.io/Logging_0562/artfynd/A 60621-2024 artfynd.xlsx", "A 60621-2024")</f>
        <v/>
      </c>
      <c r="T111">
        <f>HYPERLINK("https://klasma.github.io/Logging_0562/kartor/A 60621-2024 karta.png", "A 60621-2024")</f>
        <v/>
      </c>
      <c r="V111">
        <f>HYPERLINK("https://klasma.github.io/Logging_0562/klagomål/A 60621-2024 FSC-klagomål.docx", "A 60621-2024")</f>
        <v/>
      </c>
      <c r="W111">
        <f>HYPERLINK("https://klasma.github.io/Logging_0562/klagomålsmail/A 60621-2024 FSC-klagomål mail.docx", "A 60621-2024")</f>
        <v/>
      </c>
      <c r="X111">
        <f>HYPERLINK("https://klasma.github.io/Logging_0562/tillsyn/A 60621-2024 tillsynsbegäran.docx", "A 60621-2024")</f>
        <v/>
      </c>
      <c r="Y111">
        <f>HYPERLINK("https://klasma.github.io/Logging_0562/tillsynsmail/A 60621-2024 tillsynsbegäran mail.docx", "A 60621-2024")</f>
        <v/>
      </c>
    </row>
    <row r="112" ht="15" customHeight="1">
      <c r="A112" t="inlineStr">
        <is>
          <t>A 61060-2024</t>
        </is>
      </c>
      <c r="B112" s="1" t="n">
        <v>45645</v>
      </c>
      <c r="C112" s="1" t="n">
        <v>45761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Slåtterfibbla</t>
        </is>
      </c>
      <c r="S112">
        <f>HYPERLINK("https://klasma.github.io/Logging_0562/artfynd/A 61060-2024 artfynd.xlsx", "A 61060-2024")</f>
        <v/>
      </c>
      <c r="T112">
        <f>HYPERLINK("https://klasma.github.io/Logging_0562/kartor/A 61060-2024 karta.png", "A 61060-2024")</f>
        <v/>
      </c>
      <c r="V112">
        <f>HYPERLINK("https://klasma.github.io/Logging_0562/klagomål/A 61060-2024 FSC-klagomål.docx", "A 61060-2024")</f>
        <v/>
      </c>
      <c r="W112">
        <f>HYPERLINK("https://klasma.github.io/Logging_0562/klagomålsmail/A 61060-2024 FSC-klagomål mail.docx", "A 61060-2024")</f>
        <v/>
      </c>
      <c r="X112">
        <f>HYPERLINK("https://klasma.github.io/Logging_0562/tillsyn/A 61060-2024 tillsynsbegäran.docx", "A 61060-2024")</f>
        <v/>
      </c>
      <c r="Y112">
        <f>HYPERLINK("https://klasma.github.io/Logging_0562/tillsynsmail/A 61060-2024 tillsynsbegäran mail.docx", "A 61060-2024")</f>
        <v/>
      </c>
    </row>
    <row r="113" ht="15" customHeight="1">
      <c r="A113" t="inlineStr">
        <is>
          <t>A 4087-2025</t>
        </is>
      </c>
      <c r="B113" s="1" t="n">
        <v>45684</v>
      </c>
      <c r="C113" s="1" t="n">
        <v>45761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15.7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Gullklöver</t>
        </is>
      </c>
      <c r="S113">
        <f>HYPERLINK("https://klasma.github.io/Logging_0562/artfynd/A 4087-2025 artfynd.xlsx", "A 4087-2025")</f>
        <v/>
      </c>
      <c r="T113">
        <f>HYPERLINK("https://klasma.github.io/Logging_0562/kartor/A 4087-2025 karta.png", "A 4087-2025")</f>
        <v/>
      </c>
      <c r="V113">
        <f>HYPERLINK("https://klasma.github.io/Logging_0562/klagomål/A 4087-2025 FSC-klagomål.docx", "A 4087-2025")</f>
        <v/>
      </c>
      <c r="W113">
        <f>HYPERLINK("https://klasma.github.io/Logging_0562/klagomålsmail/A 4087-2025 FSC-klagomål mail.docx", "A 4087-2025")</f>
        <v/>
      </c>
      <c r="X113">
        <f>HYPERLINK("https://klasma.github.io/Logging_0562/tillsyn/A 4087-2025 tillsynsbegäran.docx", "A 4087-2025")</f>
        <v/>
      </c>
      <c r="Y113">
        <f>HYPERLINK("https://klasma.github.io/Logging_0562/tillsynsmail/A 4087-2025 tillsynsbegäran mail.docx", "A 4087-2025")</f>
        <v/>
      </c>
    </row>
    <row r="114" ht="15" customHeight="1">
      <c r="A114" t="inlineStr">
        <is>
          <t>A 10083-2025</t>
        </is>
      </c>
      <c r="B114" s="1" t="n">
        <v>45719</v>
      </c>
      <c r="C114" s="1" t="n">
        <v>45761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Guldsandbi</t>
        </is>
      </c>
      <c r="S114">
        <f>HYPERLINK("https://klasma.github.io/Logging_050562/artfynd/A 10083-2025 artfynd.xlsx", "A 10083-2025")</f>
        <v/>
      </c>
      <c r="T114">
        <f>HYPERLINK("https://klasma.github.io/Logging_050562/kartor/A 10083-2025 karta.png", "A 10083-2025")</f>
        <v/>
      </c>
      <c r="V114">
        <f>HYPERLINK("https://klasma.github.io/Logging_050562/klagomål/A 10083-2025 FSC-klagomål.docx", "A 10083-2025")</f>
        <v/>
      </c>
      <c r="W114">
        <f>HYPERLINK("https://klasma.github.io/Logging_050562/klagomålsmail/A 10083-2025 FSC-klagomål mail.docx", "A 10083-2025")</f>
        <v/>
      </c>
      <c r="X114">
        <f>HYPERLINK("https://klasma.github.io/Logging_050562/tillsyn/A 10083-2025 tillsynsbegäran.docx", "A 10083-2025")</f>
        <v/>
      </c>
      <c r="Y114">
        <f>HYPERLINK("https://klasma.github.io/Logging_050562/tillsynsmail/A 10083-2025 tillsynsbegäran mail.docx", "A 10083-2025")</f>
        <v/>
      </c>
    </row>
    <row r="115" ht="15" customHeight="1">
      <c r="A115" t="inlineStr">
        <is>
          <t>A 11118-2025</t>
        </is>
      </c>
      <c r="B115" s="1" t="n">
        <v>45723</v>
      </c>
      <c r="C115" s="1" t="n">
        <v>45761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7.9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11118-2025 artfynd.xlsx", "A 11118-2025")</f>
        <v/>
      </c>
      <c r="T115">
        <f>HYPERLINK("https://klasma.github.io/Logging_050562/kartor/A 11118-2025 karta.png", "A 11118-2025")</f>
        <v/>
      </c>
      <c r="V115">
        <f>HYPERLINK("https://klasma.github.io/Logging_050562/klagomål/A 11118-2025 FSC-klagomål.docx", "A 11118-2025")</f>
        <v/>
      </c>
      <c r="W115">
        <f>HYPERLINK("https://klasma.github.io/Logging_050562/klagomålsmail/A 11118-2025 FSC-klagomål mail.docx", "A 11118-2025")</f>
        <v/>
      </c>
      <c r="X115">
        <f>HYPERLINK("https://klasma.github.io/Logging_050562/tillsyn/A 11118-2025 tillsynsbegäran.docx", "A 11118-2025")</f>
        <v/>
      </c>
      <c r="Y115">
        <f>HYPERLINK("https://klasma.github.io/Logging_050562/tillsynsmail/A 11118-2025 tillsynsbegäran mail.docx", "A 11118-2025")</f>
        <v/>
      </c>
    </row>
    <row r="116" ht="15" customHeight="1">
      <c r="A116" t="inlineStr">
        <is>
          <t>A 12823-2025</t>
        </is>
      </c>
      <c r="B116" s="1" t="n">
        <v>45733</v>
      </c>
      <c r="C116" s="1" t="n">
        <v>45761</v>
      </c>
      <c r="D116" t="inlineStr">
        <is>
          <t>ÖSTERGÖTLANDS LÄN</t>
        </is>
      </c>
      <c r="E116" t="inlineStr">
        <is>
          <t>FINSPÅNG</t>
        </is>
      </c>
      <c r="G116" t="n">
        <v>7.1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Skinnlav</t>
        </is>
      </c>
      <c r="S116">
        <f>HYPERLINK("https://klasma.github.io/Logging_050562/artfynd/A 12823-2025 artfynd.xlsx", "A 12823-2025")</f>
        <v/>
      </c>
      <c r="T116">
        <f>HYPERLINK("https://klasma.github.io/Logging_050562/kartor/A 12823-2025 karta.png", "A 12823-2025")</f>
        <v/>
      </c>
      <c r="V116">
        <f>HYPERLINK("https://klasma.github.io/Logging_050562/klagomål/A 12823-2025 FSC-klagomål.docx", "A 12823-2025")</f>
        <v/>
      </c>
      <c r="W116">
        <f>HYPERLINK("https://klasma.github.io/Logging_050562/klagomålsmail/A 12823-2025 FSC-klagomål mail.docx", "A 12823-2025")</f>
        <v/>
      </c>
      <c r="X116">
        <f>HYPERLINK("https://klasma.github.io/Logging_050562/tillsyn/A 12823-2025 tillsynsbegäran.docx", "A 12823-2025")</f>
        <v/>
      </c>
      <c r="Y116">
        <f>HYPERLINK("https://klasma.github.io/Logging_050562/tillsynsmail/A 12823-2025 tillsynsbegäran mail.docx", "A 12823-2025")</f>
        <v/>
      </c>
    </row>
    <row r="117" ht="15" customHeight="1">
      <c r="A117" t="inlineStr">
        <is>
          <t>A 19257-2019</t>
        </is>
      </c>
      <c r="B117" s="1" t="n">
        <v>43564</v>
      </c>
      <c r="C117" s="1" t="n">
        <v>45761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19401-2019</t>
        </is>
      </c>
      <c r="B118" s="1" t="n">
        <v>43565</v>
      </c>
      <c r="C118" s="1" t="n">
        <v>45761</v>
      </c>
      <c r="D118" t="inlineStr">
        <is>
          <t>ÖSTERGÖTLANDS LÄN</t>
        </is>
      </c>
      <c r="E118" t="inlineStr">
        <is>
          <t>FINSPÅNG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20036-2019</t>
        </is>
      </c>
      <c r="B119" s="1" t="n">
        <v>43570</v>
      </c>
      <c r="C119" s="1" t="n">
        <v>45761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20031-2019</t>
        </is>
      </c>
      <c r="B120" s="1" t="n">
        <v>43570</v>
      </c>
      <c r="C120" s="1" t="n">
        <v>45761</v>
      </c>
      <c r="D120" t="inlineStr">
        <is>
          <t>ÖSTERGÖTLANDS LÄN</t>
        </is>
      </c>
      <c r="E120" t="inlineStr">
        <is>
          <t>FINSPÅNG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20296-2019</t>
        </is>
      </c>
      <c r="B121" s="1" t="n">
        <v>43571</v>
      </c>
      <c r="C121" s="1" t="n">
        <v>45761</v>
      </c>
      <c r="D121" t="inlineStr">
        <is>
          <t>ÖSTERGÖTLANDS LÄN</t>
        </is>
      </c>
      <c r="E121" t="inlineStr">
        <is>
          <t>FINSPÅNG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21351-2019</t>
        </is>
      </c>
      <c r="B122" s="1" t="n">
        <v>43579</v>
      </c>
      <c r="C122" s="1" t="n">
        <v>45761</v>
      </c>
      <c r="D122" t="inlineStr">
        <is>
          <t>ÖSTERGÖTLANDS LÄN</t>
        </is>
      </c>
      <c r="E122" t="inlineStr">
        <is>
          <t>FINSPÅNG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21966-2019</t>
        </is>
      </c>
      <c r="B123" s="1" t="n">
        <v>43584</v>
      </c>
      <c r="C123" s="1" t="n">
        <v>45761</v>
      </c>
      <c r="D123" t="inlineStr">
        <is>
          <t>ÖSTERGÖTLANDS LÄN</t>
        </is>
      </c>
      <c r="E123" t="inlineStr">
        <is>
          <t>FINSPÅNG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23358-2019</t>
        </is>
      </c>
      <c r="B124" s="1" t="n">
        <v>43593</v>
      </c>
      <c r="C124" s="1" t="n">
        <v>45761</v>
      </c>
      <c r="D124" t="inlineStr">
        <is>
          <t>ÖSTERGÖTLANDS LÄN</t>
        </is>
      </c>
      <c r="E124" t="inlineStr">
        <is>
          <t>FINSPÅNG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23639-2019</t>
        </is>
      </c>
      <c r="B125" s="1" t="n">
        <v>43594</v>
      </c>
      <c r="C125" s="1" t="n">
        <v>45761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24554-2019</t>
        </is>
      </c>
      <c r="B126" s="1" t="n">
        <v>43600</v>
      </c>
      <c r="C126" s="1" t="n">
        <v>45761</v>
      </c>
      <c r="D126" t="inlineStr">
        <is>
          <t>ÖSTERGÖTLANDS LÄN</t>
        </is>
      </c>
      <c r="E126" t="inlineStr">
        <is>
          <t>FINSPÅNG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24558-2019</t>
        </is>
      </c>
      <c r="B127" s="1" t="n">
        <v>43600</v>
      </c>
      <c r="C127" s="1" t="n">
        <v>45761</v>
      </c>
      <c r="D127" t="inlineStr">
        <is>
          <t>ÖSTERGÖTLANDS LÄN</t>
        </is>
      </c>
      <c r="E127" t="inlineStr">
        <is>
          <t>FINSPÅNG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26224-2019</t>
        </is>
      </c>
      <c r="B128" s="1" t="n">
        <v>43609</v>
      </c>
      <c r="C128" s="1" t="n">
        <v>45761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26225-2019</t>
        </is>
      </c>
      <c r="B129" s="1" t="n">
        <v>43609</v>
      </c>
      <c r="C129" s="1" t="n">
        <v>45761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28645-2019</t>
        </is>
      </c>
      <c r="B130" s="1" t="n">
        <v>43627</v>
      </c>
      <c r="C130" s="1" t="n">
        <v>45761</v>
      </c>
      <c r="D130" t="inlineStr">
        <is>
          <t>ÖSTERGÖTLANDS LÄN</t>
        </is>
      </c>
      <c r="E130" t="inlineStr">
        <is>
          <t>FINSPÅNG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28990-2019</t>
        </is>
      </c>
      <c r="B131" s="1" t="n">
        <v>43628</v>
      </c>
      <c r="C131" s="1" t="n">
        <v>45761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28987-2019</t>
        </is>
      </c>
      <c r="B132" s="1" t="n">
        <v>43628</v>
      </c>
      <c r="C132" s="1" t="n">
        <v>45761</v>
      </c>
      <c r="D132" t="inlineStr">
        <is>
          <t>ÖSTERGÖTLANDS LÄN</t>
        </is>
      </c>
      <c r="E132" t="inlineStr">
        <is>
          <t>FINSPÅNG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29444-2019</t>
        </is>
      </c>
      <c r="B133" s="1" t="n">
        <v>43629</v>
      </c>
      <c r="C133" s="1" t="n">
        <v>45761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29875-2019</t>
        </is>
      </c>
      <c r="B134" s="1" t="n">
        <v>43633</v>
      </c>
      <c r="C134" s="1" t="n">
        <v>45761</v>
      </c>
      <c r="D134" t="inlineStr">
        <is>
          <t>ÖSTERGÖTLANDS LÄN</t>
        </is>
      </c>
      <c r="E134" t="inlineStr">
        <is>
          <t>FINSPÅNG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31259-2019</t>
        </is>
      </c>
      <c r="B135" s="1" t="n">
        <v>43640</v>
      </c>
      <c r="C135" s="1" t="n">
        <v>45761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33291-2019</t>
        </is>
      </c>
      <c r="B136" s="1" t="n">
        <v>43650</v>
      </c>
      <c r="C136" s="1" t="n">
        <v>45761</v>
      </c>
      <c r="D136" t="inlineStr">
        <is>
          <t>ÖSTERGÖTLANDS LÄN</t>
        </is>
      </c>
      <c r="E136" t="inlineStr">
        <is>
          <t>FINSPÅNG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33814-2019</t>
        </is>
      </c>
      <c r="B137" s="1" t="n">
        <v>43651</v>
      </c>
      <c r="C137" s="1" t="n">
        <v>45761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33812-2019</t>
        </is>
      </c>
      <c r="B138" s="1" t="n">
        <v>43651</v>
      </c>
      <c r="C138" s="1" t="n">
        <v>45761</v>
      </c>
      <c r="D138" t="inlineStr">
        <is>
          <t>ÖSTERGÖTLANDS LÄN</t>
        </is>
      </c>
      <c r="E138" t="inlineStr">
        <is>
          <t>FINSPÅNG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34557-2019</t>
        </is>
      </c>
      <c r="B139" s="1" t="n">
        <v>43657</v>
      </c>
      <c r="C139" s="1" t="n">
        <v>45761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34559-2019</t>
        </is>
      </c>
      <c r="B140" s="1" t="n">
        <v>43657</v>
      </c>
      <c r="C140" s="1" t="n">
        <v>45761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34556-2019</t>
        </is>
      </c>
      <c r="B141" s="1" t="n">
        <v>43657</v>
      </c>
      <c r="C141" s="1" t="n">
        <v>45761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34697-2019</t>
        </is>
      </c>
      <c r="B142" s="1" t="n">
        <v>43657</v>
      </c>
      <c r="C142" s="1" t="n">
        <v>45761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35133-2019</t>
        </is>
      </c>
      <c r="B143" s="1" t="n">
        <v>43661</v>
      </c>
      <c r="C143" s="1" t="n">
        <v>45761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37461-2019</t>
        </is>
      </c>
      <c r="B144" s="1" t="n">
        <v>43678</v>
      </c>
      <c r="C144" s="1" t="n">
        <v>45761</v>
      </c>
      <c r="D144" t="inlineStr">
        <is>
          <t>ÖSTERGÖTLANDS LÄN</t>
        </is>
      </c>
      <c r="E144" t="inlineStr">
        <is>
          <t>FINSPÅNG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37456-2019</t>
        </is>
      </c>
      <c r="B145" s="1" t="n">
        <v>43678</v>
      </c>
      <c r="C145" s="1" t="n">
        <v>45761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38066-2019</t>
        </is>
      </c>
      <c r="B146" s="1" t="n">
        <v>43683</v>
      </c>
      <c r="C146" s="1" t="n">
        <v>45761</v>
      </c>
      <c r="D146" t="inlineStr">
        <is>
          <t>ÖSTERGÖTLANDS LÄN</t>
        </is>
      </c>
      <c r="E146" t="inlineStr">
        <is>
          <t>FINSPÅNG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38086-2019</t>
        </is>
      </c>
      <c r="B147" s="1" t="n">
        <v>43683</v>
      </c>
      <c r="C147" s="1" t="n">
        <v>45761</v>
      </c>
      <c r="D147" t="inlineStr">
        <is>
          <t>ÖSTERGÖTLANDS LÄN</t>
        </is>
      </c>
      <c r="E147" t="inlineStr">
        <is>
          <t>FINSPÅNG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40394-2019</t>
        </is>
      </c>
      <c r="B148" s="1" t="n">
        <v>43696</v>
      </c>
      <c r="C148" s="1" t="n">
        <v>45761</v>
      </c>
      <c r="D148" t="inlineStr">
        <is>
          <t>ÖSTERGÖTLANDS LÄN</t>
        </is>
      </c>
      <c r="E148" t="inlineStr">
        <is>
          <t>FINSPÅNG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40624-2019</t>
        </is>
      </c>
      <c r="B149" s="1" t="n">
        <v>43696</v>
      </c>
      <c r="C149" s="1" t="n">
        <v>45761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41118-2019</t>
        </is>
      </c>
      <c r="B150" s="1" t="n">
        <v>43698</v>
      </c>
      <c r="C150" s="1" t="n">
        <v>45761</v>
      </c>
      <c r="D150" t="inlineStr">
        <is>
          <t>ÖSTERGÖTLANDS LÄN</t>
        </is>
      </c>
      <c r="E150" t="inlineStr">
        <is>
          <t>FINSPÅNG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41303-2019</t>
        </is>
      </c>
      <c r="B151" s="1" t="n">
        <v>43698</v>
      </c>
      <c r="C151" s="1" t="n">
        <v>45761</v>
      </c>
      <c r="D151" t="inlineStr">
        <is>
          <t>ÖSTERGÖTLANDS LÄN</t>
        </is>
      </c>
      <c r="E151" t="inlineStr">
        <is>
          <t>FINSPÅNG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41516-2019</t>
        </is>
      </c>
      <c r="B152" s="1" t="n">
        <v>43699</v>
      </c>
      <c r="C152" s="1" t="n">
        <v>45761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41515-2019</t>
        </is>
      </c>
      <c r="B153" s="1" t="n">
        <v>43699</v>
      </c>
      <c r="C153" s="1" t="n">
        <v>45761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41846-2019</t>
        </is>
      </c>
      <c r="B154" s="1" t="n">
        <v>43700</v>
      </c>
      <c r="C154" s="1" t="n">
        <v>45761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41944-2019</t>
        </is>
      </c>
      <c r="B155" s="1" t="n">
        <v>43700</v>
      </c>
      <c r="C155" s="1" t="n">
        <v>45761</v>
      </c>
      <c r="D155" t="inlineStr">
        <is>
          <t>ÖSTERGÖTLANDS LÄN</t>
        </is>
      </c>
      <c r="E155" t="inlineStr">
        <is>
          <t>FINSPÅNG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42612-2019</t>
        </is>
      </c>
      <c r="B156" s="1" t="n">
        <v>43704</v>
      </c>
      <c r="C156" s="1" t="n">
        <v>45761</v>
      </c>
      <c r="D156" t="inlineStr">
        <is>
          <t>ÖSTERGÖTLANDS LÄN</t>
        </is>
      </c>
      <c r="E156" t="inlineStr">
        <is>
          <t>FINSPÅNG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42755-2019</t>
        </is>
      </c>
      <c r="B157" s="1" t="n">
        <v>43704</v>
      </c>
      <c r="C157" s="1" t="n">
        <v>45761</v>
      </c>
      <c r="D157" t="inlineStr">
        <is>
          <t>ÖSTERGÖTLANDS LÄN</t>
        </is>
      </c>
      <c r="E157" t="inlineStr">
        <is>
          <t>FINSPÅNG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42648-2019</t>
        </is>
      </c>
      <c r="B158" s="1" t="n">
        <v>43704</v>
      </c>
      <c r="C158" s="1" t="n">
        <v>45761</v>
      </c>
      <c r="D158" t="inlineStr">
        <is>
          <t>ÖSTERGÖTLANDS LÄN</t>
        </is>
      </c>
      <c r="E158" t="inlineStr">
        <is>
          <t>FINSPÅNG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42608-2019</t>
        </is>
      </c>
      <c r="B159" s="1" t="n">
        <v>43704</v>
      </c>
      <c r="C159" s="1" t="n">
        <v>45761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42683-2019</t>
        </is>
      </c>
      <c r="B160" s="1" t="n">
        <v>43704</v>
      </c>
      <c r="C160" s="1" t="n">
        <v>45761</v>
      </c>
      <c r="D160" t="inlineStr">
        <is>
          <t>ÖSTERGÖTLANDS LÄN</t>
        </is>
      </c>
      <c r="E160" t="inlineStr">
        <is>
          <t>FINSPÅNG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42623-2019</t>
        </is>
      </c>
      <c r="B161" s="1" t="n">
        <v>43704</v>
      </c>
      <c r="C161" s="1" t="n">
        <v>45761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42728-2019</t>
        </is>
      </c>
      <c r="B162" s="1" t="n">
        <v>43704</v>
      </c>
      <c r="C162" s="1" t="n">
        <v>45761</v>
      </c>
      <c r="D162" t="inlineStr">
        <is>
          <t>ÖSTERGÖTLANDS LÄN</t>
        </is>
      </c>
      <c r="E162" t="inlineStr">
        <is>
          <t>FINSPÅNG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42748-2019</t>
        </is>
      </c>
      <c r="B163" s="1" t="n">
        <v>43704</v>
      </c>
      <c r="C163" s="1" t="n">
        <v>45761</v>
      </c>
      <c r="D163" t="inlineStr">
        <is>
          <t>ÖSTERGÖTLANDS LÄN</t>
        </is>
      </c>
      <c r="E163" t="inlineStr">
        <is>
          <t>FINSPÅNG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42757-2019</t>
        </is>
      </c>
      <c r="B164" s="1" t="n">
        <v>43704</v>
      </c>
      <c r="C164" s="1" t="n">
        <v>45761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42617-2019</t>
        </is>
      </c>
      <c r="B165" s="1" t="n">
        <v>43704</v>
      </c>
      <c r="C165" s="1" t="n">
        <v>45761</v>
      </c>
      <c r="D165" t="inlineStr">
        <is>
          <t>ÖSTERGÖTLANDS LÄN</t>
        </is>
      </c>
      <c r="E165" t="inlineStr">
        <is>
          <t>FINSPÅNG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42756-2019</t>
        </is>
      </c>
      <c r="B166" s="1" t="n">
        <v>43704</v>
      </c>
      <c r="C166" s="1" t="n">
        <v>45761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43000-2019</t>
        </is>
      </c>
      <c r="B167" s="1" t="n">
        <v>43705</v>
      </c>
      <c r="C167" s="1" t="n">
        <v>45761</v>
      </c>
      <c r="D167" t="inlineStr">
        <is>
          <t>ÖSTERGÖTLANDS LÄN</t>
        </is>
      </c>
      <c r="E167" t="inlineStr">
        <is>
          <t>FINSPÅNG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43155-2019</t>
        </is>
      </c>
      <c r="B168" s="1" t="n">
        <v>43705</v>
      </c>
      <c r="C168" s="1" t="n">
        <v>45761</v>
      </c>
      <c r="D168" t="inlineStr">
        <is>
          <t>ÖSTERGÖTLANDS LÄN</t>
        </is>
      </c>
      <c r="E168" t="inlineStr">
        <is>
          <t>FINSPÅNG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43027-2019</t>
        </is>
      </c>
      <c r="B169" s="1" t="n">
        <v>43705</v>
      </c>
      <c r="C169" s="1" t="n">
        <v>45761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45127-2019</t>
        </is>
      </c>
      <c r="B170" s="1" t="n">
        <v>43713</v>
      </c>
      <c r="C170" s="1" t="n">
        <v>45761</v>
      </c>
      <c r="D170" t="inlineStr">
        <is>
          <t>ÖSTERGÖTLANDS LÄN</t>
        </is>
      </c>
      <c r="E170" t="inlineStr">
        <is>
          <t>FINSPÅNG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45122-2019</t>
        </is>
      </c>
      <c r="B171" s="1" t="n">
        <v>43713</v>
      </c>
      <c r="C171" s="1" t="n">
        <v>45761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46124-2019</t>
        </is>
      </c>
      <c r="B172" s="1" t="n">
        <v>43713</v>
      </c>
      <c r="C172" s="1" t="n">
        <v>45761</v>
      </c>
      <c r="D172" t="inlineStr">
        <is>
          <t>ÖSTERGÖTLANDS LÄN</t>
        </is>
      </c>
      <c r="E172" t="inlineStr">
        <is>
          <t>FINSPÅNG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46184-2019</t>
        </is>
      </c>
      <c r="B173" s="1" t="n">
        <v>43713</v>
      </c>
      <c r="C173" s="1" t="n">
        <v>45761</v>
      </c>
      <c r="D173" t="inlineStr">
        <is>
          <t>ÖSTERGÖTLANDS LÄN</t>
        </is>
      </c>
      <c r="E173" t="inlineStr">
        <is>
          <t>FINSPÅNG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45938-2019</t>
        </is>
      </c>
      <c r="B174" s="1" t="n">
        <v>43718</v>
      </c>
      <c r="C174" s="1" t="n">
        <v>45761</v>
      </c>
      <c r="D174" t="inlineStr">
        <is>
          <t>ÖSTERGÖTLANDS LÄN</t>
        </is>
      </c>
      <c r="E174" t="inlineStr">
        <is>
          <t>FINSPÅNG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45949-2019</t>
        </is>
      </c>
      <c r="B175" s="1" t="n">
        <v>43718</v>
      </c>
      <c r="C175" s="1" t="n">
        <v>45761</v>
      </c>
      <c r="D175" t="inlineStr">
        <is>
          <t>ÖSTERGÖTLANDS LÄN</t>
        </is>
      </c>
      <c r="E175" t="inlineStr">
        <is>
          <t>FINSPÅNG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47223-2019</t>
        </is>
      </c>
      <c r="B176" s="1" t="n">
        <v>43720</v>
      </c>
      <c r="C176" s="1" t="n">
        <v>45761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47327-2019</t>
        </is>
      </c>
      <c r="B177" s="1" t="n">
        <v>43721</v>
      </c>
      <c r="C177" s="1" t="n">
        <v>45761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47691-2019</t>
        </is>
      </c>
      <c r="B178" s="1" t="n">
        <v>43724</v>
      </c>
      <c r="C178" s="1" t="n">
        <v>45761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47839-2019</t>
        </is>
      </c>
      <c r="B179" s="1" t="n">
        <v>43724</v>
      </c>
      <c r="C179" s="1" t="n">
        <v>45761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47973-2019</t>
        </is>
      </c>
      <c r="B180" s="1" t="n">
        <v>43725</v>
      </c>
      <c r="C180" s="1" t="n">
        <v>45761</v>
      </c>
      <c r="D180" t="inlineStr">
        <is>
          <t>ÖSTERGÖTLANDS LÄN</t>
        </is>
      </c>
      <c r="E180" t="inlineStr">
        <is>
          <t>FINSPÅNG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48053-2019</t>
        </is>
      </c>
      <c r="B181" s="1" t="n">
        <v>43725</v>
      </c>
      <c r="C181" s="1" t="n">
        <v>45761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48242-2019</t>
        </is>
      </c>
      <c r="B182" s="1" t="n">
        <v>43726</v>
      </c>
      <c r="C182" s="1" t="n">
        <v>45761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Naturvårdsverket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50015-2019</t>
        </is>
      </c>
      <c r="B183" s="1" t="n">
        <v>43733</v>
      </c>
      <c r="C183" s="1" t="n">
        <v>45761</v>
      </c>
      <c r="D183" t="inlineStr">
        <is>
          <t>ÖSTERGÖTLANDS LÄN</t>
        </is>
      </c>
      <c r="E183" t="inlineStr">
        <is>
          <t>FINSPÅNG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49949-2019</t>
        </is>
      </c>
      <c r="B184" s="1" t="n">
        <v>43733</v>
      </c>
      <c r="C184" s="1" t="n">
        <v>45761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50272-2019</t>
        </is>
      </c>
      <c r="B185" s="1" t="n">
        <v>43734</v>
      </c>
      <c r="C185" s="1" t="n">
        <v>45761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50621-2019</t>
        </is>
      </c>
      <c r="B186" s="1" t="n">
        <v>43736</v>
      </c>
      <c r="C186" s="1" t="n">
        <v>45761</v>
      </c>
      <c r="D186" t="inlineStr">
        <is>
          <t>ÖSTERGÖTLANDS LÄN</t>
        </is>
      </c>
      <c r="E186" t="inlineStr">
        <is>
          <t>FINSPÅNG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50620-2019</t>
        </is>
      </c>
      <c r="B187" s="1" t="n">
        <v>43736</v>
      </c>
      <c r="C187" s="1" t="n">
        <v>45761</v>
      </c>
      <c r="D187" t="inlineStr">
        <is>
          <t>ÖSTERGÖTLANDS LÄN</t>
        </is>
      </c>
      <c r="E187" t="inlineStr">
        <is>
          <t>FINSPÅNG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50617-2019</t>
        </is>
      </c>
      <c r="B188" s="1" t="n">
        <v>43736</v>
      </c>
      <c r="C188" s="1" t="n">
        <v>45761</v>
      </c>
      <c r="D188" t="inlineStr">
        <is>
          <t>ÖSTERGÖTLANDS LÄN</t>
        </is>
      </c>
      <c r="E188" t="inlineStr">
        <is>
          <t>FINSPÅNG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50805-2019</t>
        </is>
      </c>
      <c r="B189" s="1" t="n">
        <v>43738</v>
      </c>
      <c r="C189" s="1" t="n">
        <v>45761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51010-2019</t>
        </is>
      </c>
      <c r="B190" s="1" t="n">
        <v>43738</v>
      </c>
      <c r="C190" s="1" t="n">
        <v>45761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50927-2019</t>
        </is>
      </c>
      <c r="B191" s="1" t="n">
        <v>43738</v>
      </c>
      <c r="C191" s="1" t="n">
        <v>45761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52702-2019</t>
        </is>
      </c>
      <c r="B192" s="1" t="n">
        <v>43746</v>
      </c>
      <c r="C192" s="1" t="n">
        <v>45761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53101-2019</t>
        </is>
      </c>
      <c r="B193" s="1" t="n">
        <v>43747</v>
      </c>
      <c r="C193" s="1" t="n">
        <v>45761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54969-2019</t>
        </is>
      </c>
      <c r="B194" s="1" t="n">
        <v>43749</v>
      </c>
      <c r="C194" s="1" t="n">
        <v>45761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54992-2019</t>
        </is>
      </c>
      <c r="B195" s="1" t="n">
        <v>43755</v>
      </c>
      <c r="C195" s="1" t="n">
        <v>45761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54991-2019</t>
        </is>
      </c>
      <c r="B196" s="1" t="n">
        <v>43755</v>
      </c>
      <c r="C196" s="1" t="n">
        <v>45761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55657-2019</t>
        </is>
      </c>
      <c r="B197" s="1" t="n">
        <v>43760</v>
      </c>
      <c r="C197" s="1" t="n">
        <v>45761</v>
      </c>
      <c r="D197" t="inlineStr">
        <is>
          <t>ÖSTERGÖTLANDS LÄN</t>
        </is>
      </c>
      <c r="E197" t="inlineStr">
        <is>
          <t>FINSPÅNG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55550-2019</t>
        </is>
      </c>
      <c r="B198" s="1" t="n">
        <v>43760</v>
      </c>
      <c r="C198" s="1" t="n">
        <v>45761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55655-2019</t>
        </is>
      </c>
      <c r="B199" s="1" t="n">
        <v>43760</v>
      </c>
      <c r="C199" s="1" t="n">
        <v>45761</v>
      </c>
      <c r="D199" t="inlineStr">
        <is>
          <t>ÖSTERGÖTLANDS LÄN</t>
        </is>
      </c>
      <c r="E199" t="inlineStr">
        <is>
          <t>FINSPÅNG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56643-2019</t>
        </is>
      </c>
      <c r="B200" s="1" t="n">
        <v>43763</v>
      </c>
      <c r="C200" s="1" t="n">
        <v>45761</v>
      </c>
      <c r="D200" t="inlineStr">
        <is>
          <t>ÖSTERGÖTLANDS LÄN</t>
        </is>
      </c>
      <c r="E200" t="inlineStr">
        <is>
          <t>FINSPÅNG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57311-2019</t>
        </is>
      </c>
      <c r="B201" s="1" t="n">
        <v>43767</v>
      </c>
      <c r="C201" s="1" t="n">
        <v>45761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57854-2019</t>
        </is>
      </c>
      <c r="B202" s="1" t="n">
        <v>43768</v>
      </c>
      <c r="C202" s="1" t="n">
        <v>45761</v>
      </c>
      <c r="D202" t="inlineStr">
        <is>
          <t>ÖSTERGÖTLANDS LÄN</t>
        </is>
      </c>
      <c r="E202" t="inlineStr">
        <is>
          <t>FINSPÅNG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61855-2019</t>
        </is>
      </c>
      <c r="B203" s="1" t="n">
        <v>43787</v>
      </c>
      <c r="C203" s="1" t="n">
        <v>45761</v>
      </c>
      <c r="D203" t="inlineStr">
        <is>
          <t>ÖSTERGÖTLANDS LÄN</t>
        </is>
      </c>
      <c r="E203" t="inlineStr">
        <is>
          <t>FINSPÅNG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61854-2019</t>
        </is>
      </c>
      <c r="B204" s="1" t="n">
        <v>43787</v>
      </c>
      <c r="C204" s="1" t="n">
        <v>45761</v>
      </c>
      <c r="D204" t="inlineStr">
        <is>
          <t>ÖSTERGÖTLANDS LÄN</t>
        </is>
      </c>
      <c r="E204" t="inlineStr">
        <is>
          <t>FINSPÅNG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62099-2019</t>
        </is>
      </c>
      <c r="B205" s="1" t="n">
        <v>43787</v>
      </c>
      <c r="C205" s="1" t="n">
        <v>45761</v>
      </c>
      <c r="D205" t="inlineStr">
        <is>
          <t>ÖSTERGÖTLANDS LÄN</t>
        </is>
      </c>
      <c r="E205" t="inlineStr">
        <is>
          <t>FINSPÅNG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61853-2019</t>
        </is>
      </c>
      <c r="B206" s="1" t="n">
        <v>43787</v>
      </c>
      <c r="C206" s="1" t="n">
        <v>45761</v>
      </c>
      <c r="D206" t="inlineStr">
        <is>
          <t>ÖSTERGÖTLANDS LÄN</t>
        </is>
      </c>
      <c r="E206" t="inlineStr">
        <is>
          <t>FINSPÅNG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61856-2019</t>
        </is>
      </c>
      <c r="B207" s="1" t="n">
        <v>43787</v>
      </c>
      <c r="C207" s="1" t="n">
        <v>45761</v>
      </c>
      <c r="D207" t="inlineStr">
        <is>
          <t>ÖSTERGÖTLANDS LÄN</t>
        </is>
      </c>
      <c r="E207" t="inlineStr">
        <is>
          <t>FINSPÅNG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63238-2019</t>
        </is>
      </c>
      <c r="B208" s="1" t="n">
        <v>43792</v>
      </c>
      <c r="C208" s="1" t="n">
        <v>45761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63237-2019</t>
        </is>
      </c>
      <c r="B209" s="1" t="n">
        <v>43792</v>
      </c>
      <c r="C209" s="1" t="n">
        <v>45761</v>
      </c>
      <c r="D209" t="inlineStr">
        <is>
          <t>ÖSTERGÖTLANDS LÄN</t>
        </is>
      </c>
      <c r="E209" t="inlineStr">
        <is>
          <t>FINSPÅNG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65160-2019</t>
        </is>
      </c>
      <c r="B210" s="1" t="n">
        <v>43796</v>
      </c>
      <c r="C210" s="1" t="n">
        <v>45761</v>
      </c>
      <c r="D210" t="inlineStr">
        <is>
          <t>ÖSTERGÖTLANDS LÄN</t>
        </is>
      </c>
      <c r="E210" t="inlineStr">
        <is>
          <t>FINSPÅNG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64668-2019</t>
        </is>
      </c>
      <c r="B211" s="1" t="n">
        <v>43798</v>
      </c>
      <c r="C211" s="1" t="n">
        <v>45761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32.8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64658-2019</t>
        </is>
      </c>
      <c r="B212" s="1" t="n">
        <v>43798</v>
      </c>
      <c r="C212" s="1" t="n">
        <v>45761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65254-2019</t>
        </is>
      </c>
      <c r="B213" s="1" t="n">
        <v>43802</v>
      </c>
      <c r="C213" s="1" t="n">
        <v>45761</v>
      </c>
      <c r="D213" t="inlineStr">
        <is>
          <t>ÖSTERGÖTLANDS LÄN</t>
        </is>
      </c>
      <c r="E213" t="inlineStr">
        <is>
          <t>FINSPÅNG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65694-2019</t>
        </is>
      </c>
      <c r="B214" s="1" t="n">
        <v>43804</v>
      </c>
      <c r="C214" s="1" t="n">
        <v>45761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65740-2019</t>
        </is>
      </c>
      <c r="B215" s="1" t="n">
        <v>43804</v>
      </c>
      <c r="C215" s="1" t="n">
        <v>45761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66006-2019</t>
        </is>
      </c>
      <c r="B216" s="1" t="n">
        <v>43805</v>
      </c>
      <c r="C216" s="1" t="n">
        <v>45761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66176-2019</t>
        </is>
      </c>
      <c r="B217" s="1" t="n">
        <v>43808</v>
      </c>
      <c r="C217" s="1" t="n">
        <v>45761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66364-2019</t>
        </is>
      </c>
      <c r="B218" s="1" t="n">
        <v>43808</v>
      </c>
      <c r="C218" s="1" t="n">
        <v>45761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66367-2019</t>
        </is>
      </c>
      <c r="B219" s="1" t="n">
        <v>43808</v>
      </c>
      <c r="C219" s="1" t="n">
        <v>45761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66671-2019</t>
        </is>
      </c>
      <c r="B220" s="1" t="n">
        <v>43809</v>
      </c>
      <c r="C220" s="1" t="n">
        <v>45761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66717-2019</t>
        </is>
      </c>
      <c r="B221" s="1" t="n">
        <v>43810</v>
      </c>
      <c r="C221" s="1" t="n">
        <v>45761</v>
      </c>
      <c r="D221" t="inlineStr">
        <is>
          <t>ÖSTERGÖTLANDS LÄN</t>
        </is>
      </c>
      <c r="E221" t="inlineStr">
        <is>
          <t>FINSPÅNG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67383-2019</t>
        </is>
      </c>
      <c r="B222" s="1" t="n">
        <v>43812</v>
      </c>
      <c r="C222" s="1" t="n">
        <v>45761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67498-2019</t>
        </is>
      </c>
      <c r="B223" s="1" t="n">
        <v>43815</v>
      </c>
      <c r="C223" s="1" t="n">
        <v>45761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68453-2019</t>
        </is>
      </c>
      <c r="B224" s="1" t="n">
        <v>43818</v>
      </c>
      <c r="C224" s="1" t="n">
        <v>45761</v>
      </c>
      <c r="D224" t="inlineStr">
        <is>
          <t>ÖSTERGÖTLANDS LÄN</t>
        </is>
      </c>
      <c r="E224" t="inlineStr">
        <is>
          <t>FINSPÅNG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68992-2019</t>
        </is>
      </c>
      <c r="B225" s="1" t="n">
        <v>43822</v>
      </c>
      <c r="C225" s="1" t="n">
        <v>45761</v>
      </c>
      <c r="D225" t="inlineStr">
        <is>
          <t>ÖSTERGÖTLANDS LÄN</t>
        </is>
      </c>
      <c r="E225" t="inlineStr">
        <is>
          <t>FINSPÅNG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68987-2019</t>
        </is>
      </c>
      <c r="B226" s="1" t="n">
        <v>43825</v>
      </c>
      <c r="C226" s="1" t="n">
        <v>45761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69045-2019</t>
        </is>
      </c>
      <c r="B227" s="1" t="n">
        <v>43826</v>
      </c>
      <c r="C227" s="1" t="n">
        <v>45761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1183-2020</t>
        </is>
      </c>
      <c r="B228" s="1" t="n">
        <v>43840</v>
      </c>
      <c r="C228" s="1" t="n">
        <v>45761</v>
      </c>
      <c r="D228" t="inlineStr">
        <is>
          <t>ÖSTERGÖTLANDS LÄN</t>
        </is>
      </c>
      <c r="E228" t="inlineStr">
        <is>
          <t>FINSPÅNG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1827-2020</t>
        </is>
      </c>
      <c r="B229" s="1" t="n">
        <v>43844</v>
      </c>
      <c r="C229" s="1" t="n">
        <v>45761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1848-2020</t>
        </is>
      </c>
      <c r="B230" s="1" t="n">
        <v>43844</v>
      </c>
      <c r="C230" s="1" t="n">
        <v>45761</v>
      </c>
      <c r="D230" t="inlineStr">
        <is>
          <t>ÖSTERGÖTLANDS LÄN</t>
        </is>
      </c>
      <c r="E230" t="inlineStr">
        <is>
          <t>FINSPÅNG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2351-2020</t>
        </is>
      </c>
      <c r="B231" s="1" t="n">
        <v>43846</v>
      </c>
      <c r="C231" s="1" t="n">
        <v>45761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2349-2020</t>
        </is>
      </c>
      <c r="B232" s="1" t="n">
        <v>43846</v>
      </c>
      <c r="C232" s="1" t="n">
        <v>45761</v>
      </c>
      <c r="D232" t="inlineStr">
        <is>
          <t>ÖSTERGÖTLANDS LÄN</t>
        </is>
      </c>
      <c r="E232" t="inlineStr">
        <is>
          <t>FINSPÅNG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2354-2020</t>
        </is>
      </c>
      <c r="B233" s="1" t="n">
        <v>43846</v>
      </c>
      <c r="C233" s="1" t="n">
        <v>45761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3134-2020</t>
        </is>
      </c>
      <c r="B234" s="1" t="n">
        <v>43851</v>
      </c>
      <c r="C234" s="1" t="n">
        <v>45761</v>
      </c>
      <c r="D234" t="inlineStr">
        <is>
          <t>ÖSTERGÖTLANDS LÄN</t>
        </is>
      </c>
      <c r="E234" t="inlineStr">
        <is>
          <t>FINSPÅNG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3372-2020</t>
        </is>
      </c>
      <c r="B235" s="1" t="n">
        <v>43852</v>
      </c>
      <c r="C235" s="1" t="n">
        <v>45761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3649-2020</t>
        </is>
      </c>
      <c r="B236" s="1" t="n">
        <v>43853</v>
      </c>
      <c r="C236" s="1" t="n">
        <v>45761</v>
      </c>
      <c r="D236" t="inlineStr">
        <is>
          <t>ÖSTERGÖTLANDS LÄN</t>
        </is>
      </c>
      <c r="E236" t="inlineStr">
        <is>
          <t>FINSPÅNG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3647-2020</t>
        </is>
      </c>
      <c r="B237" s="1" t="n">
        <v>43853</v>
      </c>
      <c r="C237" s="1" t="n">
        <v>45761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4167-2020</t>
        </is>
      </c>
      <c r="B238" s="1" t="n">
        <v>43857</v>
      </c>
      <c r="C238" s="1" t="n">
        <v>45761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4278-2020</t>
        </is>
      </c>
      <c r="B239" s="1" t="n">
        <v>43857</v>
      </c>
      <c r="C239" s="1" t="n">
        <v>45761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4315-2020</t>
        </is>
      </c>
      <c r="B240" s="1" t="n">
        <v>43857</v>
      </c>
      <c r="C240" s="1" t="n">
        <v>45761</v>
      </c>
      <c r="D240" t="inlineStr">
        <is>
          <t>ÖSTERGÖTLANDS LÄN</t>
        </is>
      </c>
      <c r="E240" t="inlineStr">
        <is>
          <t>FINSPÅNG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4712-2020</t>
        </is>
      </c>
      <c r="B241" s="1" t="n">
        <v>43858</v>
      </c>
      <c r="C241" s="1" t="n">
        <v>45761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4713-2020</t>
        </is>
      </c>
      <c r="B242" s="1" t="n">
        <v>43858</v>
      </c>
      <c r="C242" s="1" t="n">
        <v>45761</v>
      </c>
      <c r="D242" t="inlineStr">
        <is>
          <t>ÖSTERGÖTLANDS LÄN</t>
        </is>
      </c>
      <c r="E242" t="inlineStr">
        <is>
          <t>FINSPÅNG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4811-2020</t>
        </is>
      </c>
      <c r="B243" s="1" t="n">
        <v>43859</v>
      </c>
      <c r="C243" s="1" t="n">
        <v>45761</v>
      </c>
      <c r="D243" t="inlineStr">
        <is>
          <t>ÖSTERGÖTLANDS LÄN</t>
        </is>
      </c>
      <c r="E243" t="inlineStr">
        <is>
          <t>FINSPÅNG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5088-2020</t>
        </is>
      </c>
      <c r="B244" s="1" t="n">
        <v>43859</v>
      </c>
      <c r="C244" s="1" t="n">
        <v>45761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5091-2020</t>
        </is>
      </c>
      <c r="B245" s="1" t="n">
        <v>43859</v>
      </c>
      <c r="C245" s="1" t="n">
        <v>45761</v>
      </c>
      <c r="D245" t="inlineStr">
        <is>
          <t>ÖSTERGÖTLANDS LÄN</t>
        </is>
      </c>
      <c r="E245" t="inlineStr">
        <is>
          <t>FINSPÅNG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5726-2020</t>
        </is>
      </c>
      <c r="B246" s="1" t="n">
        <v>43862</v>
      </c>
      <c r="C246" s="1" t="n">
        <v>45761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5730-2020</t>
        </is>
      </c>
      <c r="B247" s="1" t="n">
        <v>43862</v>
      </c>
      <c r="C247" s="1" t="n">
        <v>45761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6379-2020</t>
        </is>
      </c>
      <c r="B248" s="1" t="n">
        <v>43864</v>
      </c>
      <c r="C248" s="1" t="n">
        <v>45761</v>
      </c>
      <c r="D248" t="inlineStr">
        <is>
          <t>ÖSTERGÖTLANDS LÄN</t>
        </is>
      </c>
      <c r="E248" t="inlineStr">
        <is>
          <t>FINSPÅNG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6201-2020</t>
        </is>
      </c>
      <c r="B249" s="1" t="n">
        <v>43865</v>
      </c>
      <c r="C249" s="1" t="n">
        <v>45761</v>
      </c>
      <c r="D249" t="inlineStr">
        <is>
          <t>ÖSTERGÖTLANDS LÄN</t>
        </is>
      </c>
      <c r="E249" t="inlineStr">
        <is>
          <t>FINSPÅNG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6254-2020</t>
        </is>
      </c>
      <c r="B250" s="1" t="n">
        <v>43866</v>
      </c>
      <c r="C250" s="1" t="n">
        <v>45761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6300-2020</t>
        </is>
      </c>
      <c r="B251" s="1" t="n">
        <v>43866</v>
      </c>
      <c r="C251" s="1" t="n">
        <v>45761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8033-2020</t>
        </is>
      </c>
      <c r="B252" s="1" t="n">
        <v>43873</v>
      </c>
      <c r="C252" s="1" t="n">
        <v>45761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8156-2020</t>
        </is>
      </c>
      <c r="B253" s="1" t="n">
        <v>43874</v>
      </c>
      <c r="C253" s="1" t="n">
        <v>45761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8184-2020</t>
        </is>
      </c>
      <c r="B254" s="1" t="n">
        <v>43874</v>
      </c>
      <c r="C254" s="1" t="n">
        <v>45761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8690-2020</t>
        </is>
      </c>
      <c r="B255" s="1" t="n">
        <v>43878</v>
      </c>
      <c r="C255" s="1" t="n">
        <v>45761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11005-2020</t>
        </is>
      </c>
      <c r="B256" s="1" t="n">
        <v>43889</v>
      </c>
      <c r="C256" s="1" t="n">
        <v>45761</v>
      </c>
      <c r="D256" t="inlineStr">
        <is>
          <t>ÖSTERGÖTLANDS LÄN</t>
        </is>
      </c>
      <c r="E256" t="inlineStr">
        <is>
          <t>FINSPÅNG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11007-2020</t>
        </is>
      </c>
      <c r="B257" s="1" t="n">
        <v>43889</v>
      </c>
      <c r="C257" s="1" t="n">
        <v>45761</v>
      </c>
      <c r="D257" t="inlineStr">
        <is>
          <t>ÖSTERGÖTLANDS LÄN</t>
        </is>
      </c>
      <c r="E257" t="inlineStr">
        <is>
          <t>FINSPÅNG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11000-2020</t>
        </is>
      </c>
      <c r="B258" s="1" t="n">
        <v>43889</v>
      </c>
      <c r="C258" s="1" t="n">
        <v>45761</v>
      </c>
      <c r="D258" t="inlineStr">
        <is>
          <t>ÖSTERGÖTLANDS LÄN</t>
        </is>
      </c>
      <c r="E258" t="inlineStr">
        <is>
          <t>FINSPÅNG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11432-2020</t>
        </is>
      </c>
      <c r="B259" s="1" t="n">
        <v>43893</v>
      </c>
      <c r="C259" s="1" t="n">
        <v>45761</v>
      </c>
      <c r="D259" t="inlineStr">
        <is>
          <t>ÖSTERGÖTLANDS LÄN</t>
        </is>
      </c>
      <c r="E259" t="inlineStr">
        <is>
          <t>FINSPÅNG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12193-2020</t>
        </is>
      </c>
      <c r="B260" s="1" t="n">
        <v>43895</v>
      </c>
      <c r="C260" s="1" t="n">
        <v>45761</v>
      </c>
      <c r="D260" t="inlineStr">
        <is>
          <t>ÖSTERGÖTLANDS LÄN</t>
        </is>
      </c>
      <c r="E260" t="inlineStr">
        <is>
          <t>FINSPÅNG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12951-2020</t>
        </is>
      </c>
      <c r="B261" s="1" t="n">
        <v>43900</v>
      </c>
      <c r="C261" s="1" t="n">
        <v>45761</v>
      </c>
      <c r="D261" t="inlineStr">
        <is>
          <t>ÖSTERGÖTLANDS LÄN</t>
        </is>
      </c>
      <c r="E261" t="inlineStr">
        <is>
          <t>FINSPÅNG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13981-2020</t>
        </is>
      </c>
      <c r="B262" s="1" t="n">
        <v>43906</v>
      </c>
      <c r="C262" s="1" t="n">
        <v>45761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14849-2020</t>
        </is>
      </c>
      <c r="B263" s="1" t="n">
        <v>43909</v>
      </c>
      <c r="C263" s="1" t="n">
        <v>45761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14834-2020</t>
        </is>
      </c>
      <c r="B264" s="1" t="n">
        <v>43909</v>
      </c>
      <c r="C264" s="1" t="n">
        <v>45761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14840-2020</t>
        </is>
      </c>
      <c r="B265" s="1" t="n">
        <v>43909</v>
      </c>
      <c r="C265" s="1" t="n">
        <v>45761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14850-2020</t>
        </is>
      </c>
      <c r="B266" s="1" t="n">
        <v>43909</v>
      </c>
      <c r="C266" s="1" t="n">
        <v>45761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15216-2020</t>
        </is>
      </c>
      <c r="B267" s="1" t="n">
        <v>43913</v>
      </c>
      <c r="C267" s="1" t="n">
        <v>45761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15204-2020</t>
        </is>
      </c>
      <c r="B268" s="1" t="n">
        <v>43913</v>
      </c>
      <c r="C268" s="1" t="n">
        <v>45761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16008-2020</t>
        </is>
      </c>
      <c r="B269" s="1" t="n">
        <v>43916</v>
      </c>
      <c r="C269" s="1" t="n">
        <v>45761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19088-2020</t>
        </is>
      </c>
      <c r="B270" s="1" t="n">
        <v>43936</v>
      </c>
      <c r="C270" s="1" t="n">
        <v>45761</v>
      </c>
      <c r="D270" t="inlineStr">
        <is>
          <t>ÖSTERGÖTLANDS LÄN</t>
        </is>
      </c>
      <c r="E270" t="inlineStr">
        <is>
          <t>FINSPÅNG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19081-2020</t>
        </is>
      </c>
      <c r="B271" s="1" t="n">
        <v>43936</v>
      </c>
      <c r="C271" s="1" t="n">
        <v>45761</v>
      </c>
      <c r="D271" t="inlineStr">
        <is>
          <t>ÖSTERGÖTLANDS LÄN</t>
        </is>
      </c>
      <c r="E271" t="inlineStr">
        <is>
          <t>FINSPÅNG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19496-2020</t>
        </is>
      </c>
      <c r="B272" s="1" t="n">
        <v>43938</v>
      </c>
      <c r="C272" s="1" t="n">
        <v>45761</v>
      </c>
      <c r="D272" t="inlineStr">
        <is>
          <t>ÖSTERGÖTLANDS LÄN</t>
        </is>
      </c>
      <c r="E272" t="inlineStr">
        <is>
          <t>FINSPÅNG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19494-2020</t>
        </is>
      </c>
      <c r="B273" s="1" t="n">
        <v>43938</v>
      </c>
      <c r="C273" s="1" t="n">
        <v>45761</v>
      </c>
      <c r="D273" t="inlineStr">
        <is>
          <t>ÖSTERGÖTLANDS LÄN</t>
        </is>
      </c>
      <c r="E273" t="inlineStr">
        <is>
          <t>FINSPÅNG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20859-2020</t>
        </is>
      </c>
      <c r="B274" s="1" t="n">
        <v>43948</v>
      </c>
      <c r="C274" s="1" t="n">
        <v>45761</v>
      </c>
      <c r="D274" t="inlineStr">
        <is>
          <t>ÖSTERGÖTLANDS LÄN</t>
        </is>
      </c>
      <c r="E274" t="inlineStr">
        <is>
          <t>FINSPÅNG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20551-2020</t>
        </is>
      </c>
      <c r="B275" s="1" t="n">
        <v>43948</v>
      </c>
      <c r="C275" s="1" t="n">
        <v>45761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20746-2020</t>
        </is>
      </c>
      <c r="B276" s="1" t="n">
        <v>43949</v>
      </c>
      <c r="C276" s="1" t="n">
        <v>45761</v>
      </c>
      <c r="D276" t="inlineStr">
        <is>
          <t>ÖSTERGÖTLANDS LÄN</t>
        </is>
      </c>
      <c r="E276" t="inlineStr">
        <is>
          <t>FINSPÅNG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21487-2020</t>
        </is>
      </c>
      <c r="B277" s="1" t="n">
        <v>43956</v>
      </c>
      <c r="C277" s="1" t="n">
        <v>45761</v>
      </c>
      <c r="D277" t="inlineStr">
        <is>
          <t>ÖSTERGÖTLANDS LÄN</t>
        </is>
      </c>
      <c r="E277" t="inlineStr">
        <is>
          <t>FINSPÅNG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21583-2020</t>
        </is>
      </c>
      <c r="B278" s="1" t="n">
        <v>43956</v>
      </c>
      <c r="C278" s="1" t="n">
        <v>45761</v>
      </c>
      <c r="D278" t="inlineStr">
        <is>
          <t>ÖSTERGÖTLANDS LÄN</t>
        </is>
      </c>
      <c r="E278" t="inlineStr">
        <is>
          <t>FINSPÅNG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22631-2020</t>
        </is>
      </c>
      <c r="B279" s="1" t="n">
        <v>43963</v>
      </c>
      <c r="C279" s="1" t="n">
        <v>45761</v>
      </c>
      <c r="D279" t="inlineStr">
        <is>
          <t>ÖSTERGÖTLANDS LÄN</t>
        </is>
      </c>
      <c r="E279" t="inlineStr">
        <is>
          <t>FINSPÅNG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23378-2020</t>
        </is>
      </c>
      <c r="B280" s="1" t="n">
        <v>43967</v>
      </c>
      <c r="C280" s="1" t="n">
        <v>45761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23384-2020</t>
        </is>
      </c>
      <c r="B281" s="1" t="n">
        <v>43967</v>
      </c>
      <c r="C281" s="1" t="n">
        <v>45761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23925-2020</t>
        </is>
      </c>
      <c r="B282" s="1" t="n">
        <v>43971</v>
      </c>
      <c r="C282" s="1" t="n">
        <v>45761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24630-2020</t>
        </is>
      </c>
      <c r="B283" s="1" t="n">
        <v>43977</v>
      </c>
      <c r="C283" s="1" t="n">
        <v>45761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25123-2020</t>
        </is>
      </c>
      <c r="B284" s="1" t="n">
        <v>43979</v>
      </c>
      <c r="C284" s="1" t="n">
        <v>45761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26346-2020</t>
        </is>
      </c>
      <c r="B285" s="1" t="n">
        <v>43986</v>
      </c>
      <c r="C285" s="1" t="n">
        <v>45761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27182-2020</t>
        </is>
      </c>
      <c r="B286" s="1" t="n">
        <v>43991</v>
      </c>
      <c r="C286" s="1" t="n">
        <v>45761</v>
      </c>
      <c r="D286" t="inlineStr">
        <is>
          <t>ÖSTERGÖTLANDS LÄN</t>
        </is>
      </c>
      <c r="E286" t="inlineStr">
        <is>
          <t>FINSPÅNG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27179-2020</t>
        </is>
      </c>
      <c r="B287" s="1" t="n">
        <v>43991</v>
      </c>
      <c r="C287" s="1" t="n">
        <v>45761</v>
      </c>
      <c r="D287" t="inlineStr">
        <is>
          <t>ÖSTERGÖTLANDS LÄN</t>
        </is>
      </c>
      <c r="E287" t="inlineStr">
        <is>
          <t>FINSPÅNG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27456-2020</t>
        </is>
      </c>
      <c r="B288" s="1" t="n">
        <v>43993</v>
      </c>
      <c r="C288" s="1" t="n">
        <v>45761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28391-2020</t>
        </is>
      </c>
      <c r="B289" s="1" t="n">
        <v>43998</v>
      </c>
      <c r="C289" s="1" t="n">
        <v>45761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28389-2020</t>
        </is>
      </c>
      <c r="B290" s="1" t="n">
        <v>43998</v>
      </c>
      <c r="C290" s="1" t="n">
        <v>45761</v>
      </c>
      <c r="D290" t="inlineStr">
        <is>
          <t>ÖSTERGÖTLANDS LÄN</t>
        </is>
      </c>
      <c r="E290" t="inlineStr">
        <is>
          <t>FINSPÅNG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28403-2020</t>
        </is>
      </c>
      <c r="B291" s="1" t="n">
        <v>43998</v>
      </c>
      <c r="C291" s="1" t="n">
        <v>45761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29111-2020</t>
        </is>
      </c>
      <c r="B292" s="1" t="n">
        <v>44003</v>
      </c>
      <c r="C292" s="1" t="n">
        <v>45761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30626-2020</t>
        </is>
      </c>
      <c r="B293" s="1" t="n">
        <v>44008</v>
      </c>
      <c r="C293" s="1" t="n">
        <v>45761</v>
      </c>
      <c r="D293" t="inlineStr">
        <is>
          <t>ÖSTERGÖTLANDS LÄN</t>
        </is>
      </c>
      <c r="E293" t="inlineStr">
        <is>
          <t>FINSPÅNG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30624-2020</t>
        </is>
      </c>
      <c r="B294" s="1" t="n">
        <v>44008</v>
      </c>
      <c r="C294" s="1" t="n">
        <v>45761</v>
      </c>
      <c r="D294" t="inlineStr">
        <is>
          <t>ÖSTERGÖTLANDS LÄN</t>
        </is>
      </c>
      <c r="E294" t="inlineStr">
        <is>
          <t>FINSPÅNG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45761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45761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45761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45761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45761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45761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45761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45761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45761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45761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45761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45761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45761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45761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45761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45761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45761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45761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45761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45761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45761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45761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45761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45761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45761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45761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45761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45761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45761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45761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45761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45761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45761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45761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45761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45761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45761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45761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45761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45761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45761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45761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45761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45761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45761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45761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45761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45761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45761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45761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45761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45761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45761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45761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45761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45761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45761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45761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45761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45761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45761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45761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45761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45761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45761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45761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45761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45761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45761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45761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45761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45761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45761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45761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45761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45761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45761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45761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45761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45761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45761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45761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45761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45761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45761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45761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45761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45761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45761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45761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45761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45761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45761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45761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45761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45761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45761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45761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45761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45761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45761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45761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45761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45761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45761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45761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45761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45761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45761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45761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45761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45761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45761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45761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45761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45761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45761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45761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45761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45761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45761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45761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45761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45761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45761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45761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45761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45761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45761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45761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45761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45761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45761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45761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45761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45761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45761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45761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45761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45761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45761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45761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45761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45761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45761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45761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45761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45761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45761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45761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45761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45761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45761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45761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45761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45761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45761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45761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45761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45761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45761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45761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45761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45761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45761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45761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45761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45761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45761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45761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45761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45761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45761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45761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45761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45761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45761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45761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45761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45761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45761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45761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45761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45761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45761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45761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45761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45761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45761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45761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45761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45761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45761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45761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45761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45761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45761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45761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45761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45761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45761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45761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45761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45761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45761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45761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45761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45761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45761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45761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45761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45761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45761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45761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45761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45761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45761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45761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45761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45761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45761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45761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45761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45761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45761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45761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45761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45761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45761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45761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45761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45761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45761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45761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45761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45761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45761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45761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45761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45761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45761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45761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45761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45761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45761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45761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45761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45761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45761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45761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45761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45761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45761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45761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45761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45761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45761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45761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45761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45761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45761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45761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45761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45761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45761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45761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45761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45761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45761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45761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45761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45761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45761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45761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45761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45761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45761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45761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45761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45761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45761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45761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45761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45761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45761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45761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45761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45761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45761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45761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45761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45761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45761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45761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45761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45761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45761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45761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45761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45761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45761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45761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45761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45761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45761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45761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45761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45761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45761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45761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45761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45761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45761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45761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45761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45761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45761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45761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45761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45761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45761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45761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45761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45761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45761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45761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45761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45761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45761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45761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45761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45761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45761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45761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45761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45761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45761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45761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45761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45761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45761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45761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45761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45761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45761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45761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45761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45761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45761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45761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45761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45761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45761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45761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45761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45761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45761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45761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45761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45761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45761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45761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45761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45761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45761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45761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45761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45761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45761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45761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45761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45761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45761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45761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45761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45761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45761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45761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45761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45761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45761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45761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45761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45761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45761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45761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45761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45761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45761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45761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45761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45761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45761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45761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45761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45761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45761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45761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45761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45761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45761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45761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45761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45761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45761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45761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45761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45761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45761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45761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45761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45761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45761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45761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45761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45761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45761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45761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45761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45761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45761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45761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45761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45761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45761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45761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45761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45761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45761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45761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45761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45761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45761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45761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45761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45761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45761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45761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45761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45761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45761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45761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45761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45761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45761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45761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45761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45761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45761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45761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45761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45761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45761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45761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45761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45761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45761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45761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45761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45761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45761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45761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45761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45761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45761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45761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45761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45761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45761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45761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45761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45761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45761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45761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45761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45761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45761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45761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45761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45761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45761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45761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45761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45761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45761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45761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45761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45761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45761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45761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45761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45761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45761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45761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45761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45761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45761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45761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45761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45761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45761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45761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45761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45761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45761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45761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45761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45761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45761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45761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45761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45761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45761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45761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45761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45761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45761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45761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45761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45761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45761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45761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45761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45761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45761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45761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45761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45761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45761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45761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45761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45761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45761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45761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45761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45761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45761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45761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45761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45761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45761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45761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45761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45761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45761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45761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45761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45761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45761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45761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45761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45761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45761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45761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45761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45761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45761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45761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45761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45761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45761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45761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45761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45761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45761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45761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45761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45761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45761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45761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45761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45761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45761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45761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45761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45761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45761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45761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45761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45761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45761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45761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45761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45761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45761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45761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45761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45761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45761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45761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45761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45761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45761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45761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45761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45761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45761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45761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45761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45761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45761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45761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45761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45761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45761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45761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45761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45761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45761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45761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45761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45761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45761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45761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45761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45761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45761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45761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45761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45761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45761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45761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45761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45761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45761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45761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45761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45761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45761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45761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45761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45761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45761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45761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45761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45761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45761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45761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45761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45761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45761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45761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45761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45761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45761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45761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45761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45761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45761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45761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45761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45761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45761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45761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45761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45761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45761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45761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45761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45761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45761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45761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45761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45761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45761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45761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45761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45761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45761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45761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45761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45761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45761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45761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45761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45761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45761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45761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45761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45761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45761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45761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45761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45761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45761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45761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45761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45761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45761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45761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45761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45761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45761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45761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45761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45761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45761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45761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45761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45761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45761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45761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45761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45761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45761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45761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45761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45761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45761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45761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45761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45761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45761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45761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45761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45761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45761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45761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45761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45761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45761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45761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45761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45761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45761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45761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45761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45761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45761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45761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45761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45761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45761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45761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45761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45761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45761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45761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45761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45761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45761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45761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45761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45761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45761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45761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45761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45761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45761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45761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45761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45761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45761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45761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45761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45761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45761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45761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45761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45761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45761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45761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45761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45761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45761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45761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45761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45761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45761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45761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45761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45761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45761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45761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45761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45761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45761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45761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45761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45761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45761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45761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45761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45761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45761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45761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45761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45761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45761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45761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45761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45761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45761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45761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45761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45761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45761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45761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45761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45761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45761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45761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45761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45761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45761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45761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45761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45761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45761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45761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45761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45761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45761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45761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45761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45761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45761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45761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45761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45761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45761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45761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45761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45761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45761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45761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45761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45761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45761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45761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45761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45761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45761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45761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45761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45761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45761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45761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45761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45761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45761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45761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45761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45761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45761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45761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45761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45761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45761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45761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45761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45761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45761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45761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45761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45761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45761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45761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45761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45761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45761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45761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45761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45761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45761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45761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45761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45761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45761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45761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45761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45761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45761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45761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45761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45761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45761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45761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45761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45761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45761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45761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45761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45761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45761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45761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45761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45761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45761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45761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45761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45761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45761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45761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45761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45761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45761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45761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45761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45761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45761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45761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45761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45761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45761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45761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45761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45761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45761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45761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45761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45761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45761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45761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45761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45761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45761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45761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45761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45761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45761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45761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45761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45761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45761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45761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45761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45761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45761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45761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45761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45761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45761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45761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45761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45761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45761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45761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45761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45761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45761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45761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45761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45761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45761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45761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45761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45761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45761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45761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45761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45761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45761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45761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45761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45761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45761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45761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45761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45761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45761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45761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45761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45761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45761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45761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45761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45761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45761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45761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45761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45761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45761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45761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45761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45761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45761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45761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45761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45761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45761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45761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45761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45761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45761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45761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45761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45761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45761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45761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45761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45761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45761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45761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45761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45761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45761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45761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45761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45761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45761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45761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45761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45761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45761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45761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45761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45761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45761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45761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45761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45761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45761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45761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45761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45761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45761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45761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45761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45761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45761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45761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45761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45761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45761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45761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45761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45761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45761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45761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45761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45761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45761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45761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45761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45761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45761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45761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45761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45761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45761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45761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45761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45761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45761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45761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45761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45761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45761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45761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45761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45761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45761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45761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45761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45761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45761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45761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45761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45761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45761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45761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45761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45761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45761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45761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45761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45761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45761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45761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45761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45761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45761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45761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45761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45761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45761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45761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45761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45761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45761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45761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45761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45761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45761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45761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45761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45761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45761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45761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45761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45761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45761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45761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45761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45761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45761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45761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45761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45761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45761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45761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45761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45761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45761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45761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45761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45761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45761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45761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45761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45761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45761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45761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45761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45761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45761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45761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45761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45761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45761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45761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45761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45761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45761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45761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45761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45761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45761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45761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45761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45761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45761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45761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45761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45761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45761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45761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45761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45761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45761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45761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45761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45761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45761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45761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45761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45761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45761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45761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45761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45761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45761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45761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45761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45761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45761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45761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45761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45761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45761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45761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45761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45761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45761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45761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45761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45761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45761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45761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45761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45761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45761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45761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45761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45761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45761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45761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45761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45761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45761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45761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45761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45761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45761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45761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45761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45761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45761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45761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45761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45761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45761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45761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45761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45761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45761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45761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45761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45761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45761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45761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45761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45761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45761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45761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45761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45761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45761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45761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45761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45761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45761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45761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45761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45761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45761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45761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45761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45761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45761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45761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45761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45761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45761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45761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45761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45761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45761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45761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45761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45761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45761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45761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45761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45761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45761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45761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45761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45761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45761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45761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45761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45761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45761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45761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45761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45761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45761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45761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45761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45761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45761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45761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45761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45761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45761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45761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45761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45761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45761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45761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45761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45761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45761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45761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45761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45761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45761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45761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45761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45761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45761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45761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45761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45761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45761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45761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45761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45761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45761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45761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45761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45761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45761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45761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45761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45761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45761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45761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45761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45761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45761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45761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45761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45761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45761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45761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45761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45761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45761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45761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45761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45761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45761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45761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45761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45761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45761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45761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45761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45761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45761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45761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45761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45761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45761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45761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45761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45761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45761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45761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45761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45761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45761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45761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45761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45761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45761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45761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45761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45761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45761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45761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45761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45761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45761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45761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45761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45761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45761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45761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45761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45761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45761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45761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45761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45761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45761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45761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45761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45761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45761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45761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45761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45761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45761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45761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45761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45761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45761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45761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45761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45761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45761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45761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45761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45761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45761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45761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45761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45761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45761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45761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45761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45761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45761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45761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45761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45761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45761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45761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45761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45761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45761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45761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45761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45761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45761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45761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45761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45761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45761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45761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45761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45761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45761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45761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45761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45761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45761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45761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45761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45761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45761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45761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45761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45761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45761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45761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45761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45761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45761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45761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45761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45761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45761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45761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45761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45761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45761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45761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45761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45761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45761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45761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45761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45761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45761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45761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45761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45761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45761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45761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45761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45761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45761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45761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45761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45761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45761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45761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45761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45761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45761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13375-2025</t>
        </is>
      </c>
      <c r="B1740" s="1" t="n">
        <v>45735</v>
      </c>
      <c r="C1740" s="1" t="n">
        <v>45761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45761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45761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45761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45761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45761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45761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14194-2025</t>
        </is>
      </c>
      <c r="B1747" s="1" t="n">
        <v>45740</v>
      </c>
      <c r="C1747" s="1" t="n">
        <v>45761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10.1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45761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45761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45761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14142-2025</t>
        </is>
      </c>
      <c r="B1751" s="1" t="n">
        <v>45740</v>
      </c>
      <c r="C1751" s="1" t="n">
        <v>45761</v>
      </c>
      <c r="D1751" t="inlineStr">
        <is>
          <t>ÖSTERGÖTLANDS LÄN</t>
        </is>
      </c>
      <c r="E1751" t="inlineStr">
        <is>
          <t>FINSPÅNG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45761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45761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45761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45761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45761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45761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45761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45761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45761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45761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16816-2025</t>
        </is>
      </c>
      <c r="B1762" s="1" t="n">
        <v>45754</v>
      </c>
      <c r="C1762" s="1" t="n">
        <v>45761</v>
      </c>
      <c r="D1762" t="inlineStr">
        <is>
          <t>ÖSTERGÖTLANDS LÄN</t>
        </is>
      </c>
      <c r="E1762" t="inlineStr">
        <is>
          <t>FINSPÅNG</t>
        </is>
      </c>
      <c r="F1762" t="inlineStr">
        <is>
          <t>Holmen skog AB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45761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>
      <c r="A1764" t="inlineStr">
        <is>
          <t>A 16833-2025</t>
        </is>
      </c>
      <c r="B1764" s="1" t="n">
        <v>45754</v>
      </c>
      <c r="C1764" s="1" t="n">
        <v>45761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2025-04-14T16:40:12Z</dcterms:created>
  <dcterms:modified xmlns:dcterms="http://purl.org/dc/terms/" xmlns:xsi="http://www.w3.org/2001/XMLSchema-instance" xsi:type="dcterms:W3CDTF">2025-04-14T16:40:13Z</dcterms:modified>
</cp:coreProperties>
</file>