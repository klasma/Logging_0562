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46228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46228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46228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46228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46228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46228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46228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55560-2023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46228</v>
      </c>
      <c r="F13" t="inlineStr">
        <is>
          <t>ÖSTERGÖTLANDS LÄN</t>
        </is>
      </c>
      <c r="G13" t="inlineStr">
        <is>
          <t>FINSPÅNG</t>
        </is>
      </c>
      <c r="I13" t="n">
        <v>5.5</v>
      </c>
      <c r="J13" t="n">
        <v>2</v>
      </c>
      <c r="K13" t="n">
        <v>3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9</v>
      </c>
      <c r="U13" t="n">
        <v>9</v>
      </c>
      <c r="V13" s="2" t="inlineStr">
        <is>
          <t>Knärot
Kattfotslav
Vedtrappmossa
Flagellkvastmossa
Mindre märgborre
Vedticka
Revlummer</t>
        </is>
      </c>
      <c r="W13">
        <f>HYPERLINK("https://klasma.github.io/Logging_0562/artfynd/A 55560-2023 artfynd.xlsx", "A 55560-2023")</f>
        <v/>
      </c>
      <c r="X13">
        <f>HYPERLINK("https://klasma.github.io/Logging_0562/kartor/A 55560-2023 karta.png", "A 55560-2023")</f>
        <v/>
      </c>
      <c r="Y13">
        <f>HYPERLINK("https://klasma.github.io/Logging_0562/kartor_geotiff/A 55560-2023 georefererad karta.tif", "A 55560-2023")</f>
        <v/>
      </c>
      <c r="Z13">
        <f>HYPERLINK("https://klasma.github.io/Logging_0562/knärot/A 55560-2023 karta knärot.png", "A 55560-2023")</f>
        <v/>
      </c>
      <c r="AA13">
        <f>HYPERLINK("https://klasma.github.io/Logging_0562/klagomål/A 55560-2023 FSC-klagomål.docx", "A 55560-2023")</f>
        <v/>
      </c>
      <c r="AB13">
        <f>HYPERLINK("https://klasma.github.io/Logging_0562/klagomålsmail/A 55560-2023 FSC-klagomål mail.docx", "A 55560-2023")</f>
        <v/>
      </c>
      <c r="AC13">
        <f>HYPERLINK("https://klasma.github.io/Logging_0562/tillsyn/A 55560-2023 tillsynsbegäran.docx", "A 55560-2023")</f>
        <v/>
      </c>
      <c r="AD13">
        <f>HYPERLINK("https://klasma.github.io/Logging_0562/tillsynsmail/A 55560-2023 tillsynsbegäran mail.docx", "A 55560-2023")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46228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46228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46228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46228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46228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46228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46228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46228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46228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28395-2024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45477</v>
      </c>
      <c r="E33" s="1" t="n">
        <v>46228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Naturvårdsverket</t>
        </is>
      </c>
      <c r="I33" t="n">
        <v>0.6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Fläcknycklar</t>
        </is>
      </c>
      <c r="W33">
        <f>HYPERLINK("https://klasma.github.io/Logging_0562/artfynd/A 28395-2024 artfynd.xlsx", "A 28395-2024")</f>
        <v/>
      </c>
      <c r="X33">
        <f>HYPERLINK("https://klasma.github.io/Logging_0562/kartor/A 28395-2024 karta.png", "A 28395-2024")</f>
        <v/>
      </c>
      <c r="Y33">
        <f>HYPERLINK("https://klasma.github.io/Logging_0562/kartor_geotiff/A 28395-2024 georefererad karta.tif", "A 28395-2024")</f>
        <v/>
      </c>
      <c r="AA33">
        <f>HYPERLINK("https://klasma.github.io/Logging_0562/klagomål/A 28395-2024 FSC-klagomål.docx", "A 28395-2024")</f>
        <v/>
      </c>
      <c r="AB33">
        <f>HYPERLINK("https://klasma.github.io/Logging_0562/klagomålsmail/A 28395-2024 FSC-klagomål mail.docx", "A 28395-2024")</f>
        <v/>
      </c>
      <c r="AC33">
        <f>HYPERLINK("https://klasma.github.io/Logging_0562/tillsyn/A 28395-2024 tillsynsbegäran.docx", "A 28395-2024")</f>
        <v/>
      </c>
      <c r="AD33">
        <f>HYPERLINK("https://klasma.github.io/Logging_0562/tillsynsmail/A 28395-2024 tillsynsbegäran mail.docx", "A 28395-2024")</f>
        <v/>
      </c>
      <c r="AE33">
        <f>HYPERLINK("https://klasma.github.io/Logging_0562/fåglar/A 28395-2024 prioriterade fågelarter.docx", "A 28395-2024")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46228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46228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46228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18462-2024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45425</v>
      </c>
      <c r="E39" s="1" t="n">
        <v>46228</v>
      </c>
      <c r="F39" t="inlineStr">
        <is>
          <t>ÖSTERGÖTLANDS LÄN</t>
        </is>
      </c>
      <c r="G39" t="inlineStr">
        <is>
          <t>FINSPÅNG</t>
        </is>
      </c>
      <c r="I39" t="n">
        <v>6.1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Mosippa
Gullklöver</t>
        </is>
      </c>
      <c r="W39">
        <f>HYPERLINK("https://klasma.github.io/Logging_0562/artfynd/A 18462-2024 artfynd.xlsx", "A 18462-2024")</f>
        <v/>
      </c>
      <c r="X39">
        <f>HYPERLINK("https://klasma.github.io/Logging_0562/kartor/A 18462-2024 karta.png", "A 18462-2024")</f>
        <v/>
      </c>
      <c r="Y39">
        <f>HYPERLINK("https://klasma.github.io/Logging_0562/kartor_geotiff/A 18462-2024 georefererad karta.tif", "A 18462-2024")</f>
        <v/>
      </c>
      <c r="AA39">
        <f>HYPERLINK("https://klasma.github.io/Logging_0562/klagomål/A 18462-2024 FSC-klagomål.docx", "A 18462-2024")</f>
        <v/>
      </c>
      <c r="AB39">
        <f>HYPERLINK("https://klasma.github.io/Logging_0562/klagomålsmail/A 18462-2024 FSC-klagomål mail.docx", "A 18462-2024")</f>
        <v/>
      </c>
      <c r="AC39">
        <f>HYPERLINK("https://klasma.github.io/Logging_0562/tillsyn/A 18462-2024 tillsynsbegäran.docx", "A 18462-2024")</f>
        <v/>
      </c>
      <c r="AD39">
        <f>HYPERLINK("https://klasma.github.io/Logging_0562/tillsynsmail/A 18462-2024 tillsynsbegäran mail.docx", "A 18462-2024")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46228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46228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46228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46228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46228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46228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46228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46228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46228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46228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46228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46228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46228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46228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46228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40385-2024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46228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HYPERLINK("https://klasma.github.io/Logging_0562/artfynd/A 40385-2024 artfynd.xlsx", "A 40385-2024")</f>
        <v/>
      </c>
      <c r="X63">
        <f>HYPERLINK("https://klasma.github.io/Logging_0562/kartor/A 40385-2024 karta.png", "A 40385-2024")</f>
        <v/>
      </c>
      <c r="Y63">
        <f>HYPERLINK("https://klasma.github.io/Logging_0562/kartor_geotiff/A 40385-2024 georefererad karta.tif", "A 40385-2024")</f>
        <v/>
      </c>
      <c r="AA63">
        <f>HYPERLINK("https://klasma.github.io/Logging_0562/klagomål/A 40385-2024 FSC-klagomål.docx", "A 40385-2024")</f>
        <v/>
      </c>
      <c r="AB63">
        <f>HYPERLINK("https://klasma.github.io/Logging_0562/klagomålsmail/A 40385-2024 FSC-klagomål mail.docx", "A 40385-2024")</f>
        <v/>
      </c>
      <c r="AC63">
        <f>HYPERLINK("https://klasma.github.io/Logging_0562/tillsyn/A 40385-2024 tillsynsbegäran.docx", "A 40385-2024")</f>
        <v/>
      </c>
      <c r="AD63">
        <f>HYPERLINK("https://klasma.github.io/Logging_0562/tillsynsmail/A 40385-2024 tillsynsbegäran mail.docx", "A 40385-2024")</f>
        <v/>
      </c>
      <c r="AE63">
        <f>HYPERLINK("https://klasma.github.io/Logging_0562/fåglar/A 40385-2024 prioriterade fågelarter.docx", "A 40385-2024")</f>
        <v/>
      </c>
    </row>
    <row r="64" ht="15" customHeight="1">
      <c r="A64" t="inlineStr">
        <is>
          <t>A 22555-2024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46228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26.7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HYPERLINK("https://klasma.github.io/Logging_0562/artfynd/A 22555-2024 artfynd.xlsx", "A 22555-2024")</f>
        <v/>
      </c>
      <c r="X64">
        <f>HYPERLINK("https://klasma.github.io/Logging_0562/kartor/A 22555-2024 karta.png", "A 22555-2024")</f>
        <v/>
      </c>
      <c r="Y64">
        <f>HYPERLINK("https://klasma.github.io/Logging_0562/kartor_geotiff/A 22555-2024 georefererad karta.tif", "A 22555-2024")</f>
        <v/>
      </c>
      <c r="AA64">
        <f>HYPERLINK("https://klasma.github.io/Logging_0562/klagomål/A 22555-2024 FSC-klagomål.docx", "A 22555-2024")</f>
        <v/>
      </c>
      <c r="AB64">
        <f>HYPERLINK("https://klasma.github.io/Logging_0562/klagomålsmail/A 22555-2024 FSC-klagomål mail.docx", "A 22555-2024")</f>
        <v/>
      </c>
      <c r="AC64">
        <f>HYPERLINK("https://klasma.github.io/Logging_0562/tillsyn/A 22555-2024 tillsynsbegäran.docx", "A 22555-2024")</f>
        <v/>
      </c>
      <c r="AD64">
        <f>HYPERLINK("https://klasma.github.io/Logging_0562/tillsynsmail/A 22555-2024 tillsynsbegäran mail.docx", "A 22555-2024")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46228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46228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5.5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Lake</t>
        </is>
      </c>
      <c r="W66">
        <f>HYPERLINK("https://klasma.github.io/Logging_0562/artfynd/A 38229-2025 artfynd.xlsx", "A 38229-2025")</f>
        <v/>
      </c>
      <c r="X66">
        <f>HYPERLINK("https://klasma.github.io/Logging_0562/kartor/A 38229-2025 karta.png", "A 38229-2025")</f>
        <v/>
      </c>
      <c r="Y66">
        <f>HYPERLINK("https://klasma.github.io/Logging_0562/kartor_geotiff/A 38229-2025 georefererad karta.tif", "A 38229-2025")</f>
        <v/>
      </c>
      <c r="AA66">
        <f>HYPERLINK("https://klasma.github.io/Logging_0562/klagomål/A 38229-2025 FSC-klagomål.docx", "A 38229-2025")</f>
        <v/>
      </c>
      <c r="AB66">
        <f>HYPERLINK("https://klasma.github.io/Logging_0562/klagomålsmail/A 38229-2025 FSC-klagomål mail.docx", "A 38229-2025")</f>
        <v/>
      </c>
      <c r="AC66">
        <f>HYPERLINK("https://klasma.github.io/Logging_0562/tillsyn/A 38229-2025 tillsynsbegäran.docx", "A 38229-2025")</f>
        <v/>
      </c>
      <c r="AD66">
        <f>HYPERLINK("https://klasma.github.io/Logging_0562/tillsynsmail/A 38229-2025 tillsynsbegäran mail.docx", "A 38229-2025")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46228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46228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43858-2021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12.2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Kavelhirs</t>
        </is>
      </c>
      <c r="W69">
        <f>HYPERLINK("https://klasma.github.io/Logging_0562/artfynd/A 43858-2021 artfynd.xlsx", "A 43858-2021")</f>
        <v/>
      </c>
      <c r="X69">
        <f>HYPERLINK("https://klasma.github.io/Logging_0562/kartor/A 43858-2021 karta.png", "A 43858-2021")</f>
        <v/>
      </c>
      <c r="Y69">
        <f>HYPERLINK("https://klasma.github.io/Logging_0562/kartor_geotiff/A 43858-2021 georefererad karta.tif", "A 43858-2021")</f>
        <v/>
      </c>
      <c r="AA69">
        <f>HYPERLINK("https://klasma.github.io/Logging_0562/klagomål/A 43858-2021 FSC-klagomål.docx", "A 43858-2021")</f>
        <v/>
      </c>
      <c r="AB69">
        <f>HYPERLINK("https://klasma.github.io/Logging_0562/klagomålsmail/A 43858-2021 FSC-klagomål mail.docx", "A 43858-2021")</f>
        <v/>
      </c>
      <c r="AC69">
        <f>HYPERLINK("https://klasma.github.io/Logging_0562/tillsyn/A 43858-2021 tillsynsbegäran.docx", "A 43858-2021")</f>
        <v/>
      </c>
      <c r="AD69">
        <f>HYPERLINK("https://klasma.github.io/Logging_0562/tillsynsmail/A 43858-2021 tillsynsbegäran mail.docx", "A 43858-2021")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46228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46228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46228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46228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46228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46228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46228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46228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46228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5427-2026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46228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HYPERLINK("https://klasma.github.io/Logging_0562/artfynd/A 5427-2026 artfynd.xlsx", "A 5427-2026")</f>
        <v/>
      </c>
      <c r="X79">
        <f>HYPERLINK("https://klasma.github.io/Logging_0562/kartor/A 5427-2026 karta.png", "A 5427-2026")</f>
        <v/>
      </c>
      <c r="Y79">
        <f>HYPERLINK("https://klasma.github.io/Logging_0562/kartor_geotiff/A 5427-2026 georefererad karta.tif", "A 5427-2026")</f>
        <v/>
      </c>
      <c r="AA79">
        <f>HYPERLINK("https://klasma.github.io/Logging_0562/klagomål/A 5427-2026 FSC-klagomål.docx", "A 5427-2026")</f>
        <v/>
      </c>
      <c r="AB79">
        <f>HYPERLINK("https://klasma.github.io/Logging_0562/klagomålsmail/A 5427-2026 FSC-klagomål mail.docx", "A 5427-2026")</f>
        <v/>
      </c>
      <c r="AC79">
        <f>HYPERLINK("https://klasma.github.io/Logging_0562/tillsyn/A 5427-2026 tillsynsbegäran.docx", "A 5427-2026")</f>
        <v/>
      </c>
      <c r="AD79">
        <f>HYPERLINK("https://klasma.github.io/Logging_0562/tillsynsmail/A 5427-2026 tillsynsbegäran mail.docx", "A 5427-2026")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46228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18915-2026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46228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Havsörn</t>
        </is>
      </c>
      <c r="W82">
        <f>HYPERLINK("https://klasma.github.io/Logging_0562/artfynd/A 18915-2026 artfynd.xlsx", "A 18915-2026")</f>
        <v/>
      </c>
      <c r="X82">
        <f>HYPERLINK("https://klasma.github.io/Logging_0562/kartor/A 18915-2026 karta.png", "A 18915-2026")</f>
        <v/>
      </c>
      <c r="Y82">
        <f>HYPERLINK("https://klasma.github.io/Logging_0562/kartor_geotiff/A 18915-2026 georefererad karta.tif", "A 18915-2026")</f>
        <v/>
      </c>
      <c r="AA82">
        <f>HYPERLINK("https://klasma.github.io/Logging_0562/klagomål/A 18915-2026 FSC-klagomål.docx", "A 18915-2026")</f>
        <v/>
      </c>
      <c r="AB82">
        <f>HYPERLINK("https://klasma.github.io/Logging_0562/klagomålsmail/A 18915-2026 FSC-klagomål mail.docx", "A 18915-2026")</f>
        <v/>
      </c>
      <c r="AC82">
        <f>HYPERLINK("https://klasma.github.io/Logging_0562/tillsyn/A 18915-2026 tillsynsbegäran.docx", "A 18915-2026")</f>
        <v/>
      </c>
      <c r="AD82">
        <f>HYPERLINK("https://klasma.github.io/Logging_0562/tillsynsmail/A 18915-2026 tillsynsbegäran mail.docx", "A 18915-2026")</f>
        <v/>
      </c>
      <c r="AE82">
        <f>HYPERLINK("https://klasma.github.io/Logging_0562/fåglar/A 18915-2026 prioriterade fågelarter.docx", "A 18915-2026")</f>
        <v/>
      </c>
    </row>
    <row r="83" ht="15" customHeight="1">
      <c r="A83" t="inlineStr">
        <is>
          <t>A 25942-2026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46228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Motaggsvamp</t>
        </is>
      </c>
      <c r="W83">
        <f>HYPERLINK("https://klasma.github.io/Logging_0562/artfynd/A 25942-2026 artfynd.xlsx", "A 25942-2026")</f>
        <v/>
      </c>
      <c r="X83">
        <f>HYPERLINK("https://klasma.github.io/Logging_0562/kartor/A 25942-2026 karta.png", "A 25942-2026")</f>
        <v/>
      </c>
      <c r="Y83">
        <f>HYPERLINK("https://klasma.github.io/Logging_0562/kartor_geotiff/A 25942-2026 georefererad karta.tif", "A 25942-2026")</f>
        <v/>
      </c>
      <c r="AA83">
        <f>HYPERLINK("https://klasma.github.io/Logging_0562/klagomål/A 25942-2026 FSC-klagomål.docx", "A 25942-2026")</f>
        <v/>
      </c>
      <c r="AB83">
        <f>HYPERLINK("https://klasma.github.io/Logging_0562/klagomålsmail/A 25942-2026 FSC-klagomål mail.docx", "A 25942-2026")</f>
        <v/>
      </c>
      <c r="AC83">
        <f>HYPERLINK("https://klasma.github.io/Logging_0562/tillsyn/A 25942-2026 tillsynsbegäran.docx", "A 25942-2026")</f>
        <v/>
      </c>
      <c r="AD83">
        <f>HYPERLINK("https://klasma.github.io/Logging_0562/tillsynsmail/A 25942-2026 tillsynsbegäran mail.docx", "A 25942-2026")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46228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46228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46228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46228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53673-2024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46228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HYPERLINK("https://klasma.github.io/Logging_0562/artfynd/A 53673-2024 artfynd.xlsx", "A 53673-2024")</f>
        <v/>
      </c>
      <c r="X88">
        <f>HYPERLINK("https://klasma.github.io/Logging_0562/kartor/A 53673-2024 karta.png", "A 53673-2024")</f>
        <v/>
      </c>
      <c r="Y88">
        <f>HYPERLINK("https://klasma.github.io/Logging_0562/kartor_geotiff/A 53673-2024 georefererad karta.tif", "A 53673-2024")</f>
        <v/>
      </c>
      <c r="Z88">
        <f>HYPERLINK("https://klasma.github.io/Logging_0562/knärot/A 53673-2024 karta knärot.png", "A 53673-2024")</f>
        <v/>
      </c>
      <c r="AA88">
        <f>HYPERLINK("https://klasma.github.io/Logging_0562/klagomål/A 53673-2024 FSC-klagomål.docx", "A 53673-2024")</f>
        <v/>
      </c>
      <c r="AB88">
        <f>HYPERLINK("https://klasma.github.io/Logging_0562/klagomålsmail/A 53673-2024 FSC-klagomål mail.docx", "A 53673-2024")</f>
        <v/>
      </c>
      <c r="AC88">
        <f>HYPERLINK("https://klasma.github.io/Logging_0562/tillsyn/A 53673-2024 tillsynsbegäran.docx", "A 53673-2024")</f>
        <v/>
      </c>
      <c r="AD88">
        <f>HYPERLINK("https://klasma.github.io/Logging_0562/tillsynsmail/A 53673-2024 tillsynsbegäran mail.docx", "A 53673-2024")</f>
        <v/>
      </c>
    </row>
    <row r="89" ht="15" customHeight="1">
      <c r="A89" t="inlineStr">
        <is>
          <t>A 43167-2021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46228</v>
      </c>
      <c r="F89" t="inlineStr">
        <is>
          <t>ÖSTERGÖTLANDS LÄN</t>
        </is>
      </c>
      <c r="G89" t="inlineStr">
        <is>
          <t>FINSPÅNG</t>
        </is>
      </c>
      <c r="I89" t="n">
        <v>6.9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Lopplummer (aggregat)</t>
        </is>
      </c>
      <c r="W89">
        <f>HYPERLINK("https://klasma.github.io/Logging_0562/artfynd/A 43167-2021 artfynd.xlsx", "A 43167-2021")</f>
        <v/>
      </c>
      <c r="X89">
        <f>HYPERLINK("https://klasma.github.io/Logging_0562/kartor/A 43167-2021 karta.png", "A 43167-2021")</f>
        <v/>
      </c>
      <c r="Y89">
        <f>HYPERLINK("https://klasma.github.io/Logging_0562/kartor_geotiff/A 43167-2021 georefererad karta.tif", "A 43167-2021")</f>
        <v/>
      </c>
      <c r="AA89">
        <f>HYPERLINK("https://klasma.github.io/Logging_0562/klagomål/A 43167-2021 FSC-klagomål.docx", "A 43167-2021")</f>
        <v/>
      </c>
      <c r="AB89">
        <f>HYPERLINK("https://klasma.github.io/Logging_0562/klagomålsmail/A 43167-2021 FSC-klagomål mail.docx", "A 43167-2021")</f>
        <v/>
      </c>
      <c r="AC89">
        <f>HYPERLINK("https://klasma.github.io/Logging_0562/tillsyn/A 43167-2021 tillsynsbegäran.docx", "A 43167-2021")</f>
        <v/>
      </c>
      <c r="AD89">
        <f>HYPERLINK("https://klasma.github.io/Logging_0562/tillsynsmail/A 43167-2021 tillsynsbegäran mail.docx", "A 43167-2021")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46228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46228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34310-2025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46228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34310-2025 artfynd.xlsx", "A 34310-2025")</f>
        <v/>
      </c>
      <c r="X92">
        <f>HYPERLINK("https://klasma.github.io/Logging_0562/kartor/A 34310-2025 karta.png", "A 34310-2025")</f>
        <v/>
      </c>
      <c r="Y92">
        <f>HYPERLINK("https://klasma.github.io/Logging_0562/kartor_geotiff/A 34310-2025 georefererad karta.tif", "A 34310-2025")</f>
        <v/>
      </c>
      <c r="AA92">
        <f>HYPERLINK("https://klasma.github.io/Logging_0562/klagomål/A 34310-2025 FSC-klagomål.docx", "A 34310-2025")</f>
        <v/>
      </c>
      <c r="AB92">
        <f>HYPERLINK("https://klasma.github.io/Logging_0562/klagomålsmail/A 34310-2025 FSC-klagomål mail.docx", "A 34310-2025")</f>
        <v/>
      </c>
      <c r="AC92">
        <f>HYPERLINK("https://klasma.github.io/Logging_0562/tillsyn/A 34310-2025 tillsynsbegäran.docx", "A 34310-2025")</f>
        <v/>
      </c>
      <c r="AD92">
        <f>HYPERLINK("https://klasma.github.io/Logging_0562/tillsynsmail/A 34310-2025 tillsynsbegäran mail.docx", "A 34310-2025")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46228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46228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46228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46228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46228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46228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46228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46228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46228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46228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46228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46228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46228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44795</v>
      </c>
      <c r="E109" s="1" t="n">
        <v>46228</v>
      </c>
      <c r="F109" t="inlineStr">
        <is>
          <t>ÖSTERGÖTLANDS LÄN</t>
        </is>
      </c>
      <c r="G109" t="inlineStr">
        <is>
          <t>FINSPÅNG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46228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46228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46228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46228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46228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46228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46228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46228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46228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46228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46228</v>
      </c>
      <c r="F121" t="inlineStr">
        <is>
          <t>ÖSTERGÖTLANDS LÄN</t>
        </is>
      </c>
      <c r="G121" t="inlineStr">
        <is>
          <t>FINSPÅNG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46228</v>
      </c>
      <c r="F122" t="inlineStr">
        <is>
          <t>ÖSTERGÖTLANDS LÄN</t>
        </is>
      </c>
      <c r="G122" t="inlineStr">
        <is>
          <t>FINSPÅNG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46228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46228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46228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46228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46228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46228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46228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62445-2021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44503</v>
      </c>
      <c r="E130" s="1" t="n">
        <v>46228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46228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46228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46228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46228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46228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46228</v>
      </c>
      <c r="F136" t="inlineStr">
        <is>
          <t>ÖSTERGÖTLANDS LÄN</t>
        </is>
      </c>
      <c r="G136" t="inlineStr">
        <is>
          <t>FINSPÅNG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46228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46228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46228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46228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46228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46228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46228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46228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46228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46228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46228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46228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46228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46228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46228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46228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46228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46228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46228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46228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46228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46228</v>
      </c>
      <c r="F158" t="inlineStr">
        <is>
          <t>ÖSTERGÖTLANDS LÄN</t>
        </is>
      </c>
      <c r="G158" t="inlineStr">
        <is>
          <t>FINSPÅNG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46228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46228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46228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46228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46228</v>
      </c>
      <c r="F163" t="inlineStr">
        <is>
          <t>ÖSTERGÖTLANDS LÄN</t>
        </is>
      </c>
      <c r="G163" t="inlineStr">
        <is>
          <t>FINSPÅNG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46228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44431</v>
      </c>
      <c r="E165" s="1" t="n">
        <v>46228</v>
      </c>
      <c r="F165" t="inlineStr">
        <is>
          <t>ÖSTERGÖTLANDS LÄN</t>
        </is>
      </c>
      <c r="G165" t="inlineStr">
        <is>
          <t>FINSPÅNG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46228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46228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46228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46228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46228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46228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46228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46228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46228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46228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46228</v>
      </c>
      <c r="F176" t="inlineStr">
        <is>
          <t>ÖSTERGÖTLANDS LÄN</t>
        </is>
      </c>
      <c r="G176" t="inlineStr">
        <is>
          <t>FINSPÅNG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46228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46228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46228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46228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46228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46228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46228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46228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46228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46228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46228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44476</v>
      </c>
      <c r="E188" s="1" t="n">
        <v>46228</v>
      </c>
      <c r="F188" t="inlineStr">
        <is>
          <t>ÖSTERGÖTLANDS LÄN</t>
        </is>
      </c>
      <c r="G188" t="inlineStr">
        <is>
          <t>FINSPÅNG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46228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46228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46228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46228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46228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46228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46228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46228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46228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46228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44412</v>
      </c>
      <c r="E199" s="1" t="n">
        <v>46228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46228</v>
      </c>
      <c r="F200" t="inlineStr">
        <is>
          <t>ÖSTERGÖTLANDS LÄN</t>
        </is>
      </c>
      <c r="G200" t="inlineStr">
        <is>
          <t>FINSPÅNG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46228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46228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46228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46228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46228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46228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46228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46228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46228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46228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46228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46228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46228</v>
      </c>
      <c r="F213" t="inlineStr">
        <is>
          <t>ÖSTERGÖTLANDS LÄN</t>
        </is>
      </c>
      <c r="G213" t="inlineStr">
        <is>
          <t>FINSPÅNG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46228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46228</v>
      </c>
      <c r="F216" t="inlineStr">
        <is>
          <t>ÖSTERGÖTLANDS LÄN</t>
        </is>
      </c>
      <c r="G216" t="inlineStr">
        <is>
          <t>FINSPÅNG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28722-2023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45103</v>
      </c>
      <c r="E217" s="1" t="n">
        <v>46228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46228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46228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46228</v>
      </c>
      <c r="F220" t="inlineStr">
        <is>
          <t>ÖSTERGÖTLANDS LÄN</t>
        </is>
      </c>
      <c r="G220" t="inlineStr">
        <is>
          <t>FINSPÅNG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46228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44677</v>
      </c>
      <c r="E222" s="1" t="n">
        <v>46228</v>
      </c>
      <c r="F222" t="inlineStr">
        <is>
          <t>ÖSTERGÖTLANDS LÄN</t>
        </is>
      </c>
      <c r="G222" t="inlineStr">
        <is>
          <t>FINSPÅNG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46228</v>
      </c>
      <c r="F223" t="inlineStr">
        <is>
          <t>ÖSTERGÖTLANDS LÄN</t>
        </is>
      </c>
      <c r="G223" t="inlineStr">
        <is>
          <t>FINSPÅNG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44898</v>
      </c>
      <c r="E224" s="1" t="n">
        <v>46228</v>
      </c>
      <c r="F224" t="inlineStr">
        <is>
          <t>ÖSTERGÖTLANDS LÄN</t>
        </is>
      </c>
      <c r="G224" t="inlineStr">
        <is>
          <t>FINSPÅNG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44656</v>
      </c>
      <c r="E225" s="1" t="n">
        <v>46228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46228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46228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46228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46228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27607-2023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46228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46228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46228</v>
      </c>
      <c r="F233" t="inlineStr">
        <is>
          <t>ÖSTERGÖTLANDS LÄN</t>
        </is>
      </c>
      <c r="G233" t="inlineStr">
        <is>
          <t>FINSPÅNG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46228</v>
      </c>
      <c r="F234" t="inlineStr">
        <is>
          <t>ÖSTERGÖTLANDS LÄN</t>
        </is>
      </c>
      <c r="G234" t="inlineStr">
        <is>
          <t>FINSPÅNG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44866</v>
      </c>
      <c r="E235" s="1" t="n">
        <v>46228</v>
      </c>
      <c r="F235" t="inlineStr">
        <is>
          <t>ÖSTERGÖTLANDS LÄN</t>
        </is>
      </c>
      <c r="G235" t="inlineStr">
        <is>
          <t>FINSPÅNG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46228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46228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46228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46228</v>
      </c>
      <c r="F239" t="inlineStr">
        <is>
          <t>ÖSTERGÖTLANDS LÄN</t>
        </is>
      </c>
      <c r="G239" t="inlineStr">
        <is>
          <t>FINSPÅNG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46228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46228</v>
      </c>
      <c r="F241" t="inlineStr">
        <is>
          <t>ÖSTERGÖTLANDS LÄN</t>
        </is>
      </c>
      <c r="G241" t="inlineStr">
        <is>
          <t>FINSPÅNG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46228</v>
      </c>
      <c r="F242" t="inlineStr">
        <is>
          <t>ÖSTERGÖTLANDS LÄN</t>
        </is>
      </c>
      <c r="G242" t="inlineStr">
        <is>
          <t>FINSPÅNG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46228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46228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45206</v>
      </c>
      <c r="E245" s="1" t="n">
        <v>46228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46228</v>
      </c>
      <c r="F246" t="inlineStr">
        <is>
          <t>ÖSTERGÖTLANDS LÄN</t>
        </is>
      </c>
      <c r="G246" t="inlineStr">
        <is>
          <t>FINSPÅNG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46228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46228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44844</v>
      </c>
      <c r="E249" s="1" t="n">
        <v>46228</v>
      </c>
      <c r="F249" t="inlineStr">
        <is>
          <t>ÖSTERGÖTLANDS LÄN</t>
        </is>
      </c>
      <c r="G249" t="inlineStr">
        <is>
          <t>FINSPÅNG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46228</v>
      </c>
      <c r="F250" t="inlineStr">
        <is>
          <t>ÖSTERGÖTLANDS LÄN</t>
        </is>
      </c>
      <c r="G250" t="inlineStr">
        <is>
          <t>FINSPÅNG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46228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46228</v>
      </c>
      <c r="F252" t="inlineStr">
        <is>
          <t>ÖSTERGÖTLANDS LÄN</t>
        </is>
      </c>
      <c r="G252" t="inlineStr">
        <is>
          <t>FINSPÅNG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46228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46228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46228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46228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46228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46228</v>
      </c>
      <c r="F258" t="inlineStr">
        <is>
          <t>ÖSTERGÖTLANDS LÄN</t>
        </is>
      </c>
      <c r="G258" t="inlineStr">
        <is>
          <t>FINSPÅNG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46228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46228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46228</v>
      </c>
      <c r="F261" t="inlineStr">
        <is>
          <t>ÖSTERGÖTLANDS LÄN</t>
        </is>
      </c>
      <c r="G261" t="inlineStr">
        <is>
          <t>FINSPÅNG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46228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46228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46228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46228</v>
      </c>
      <c r="F265" t="inlineStr">
        <is>
          <t>ÖSTERGÖTLANDS LÄN</t>
        </is>
      </c>
      <c r="G265" t="inlineStr">
        <is>
          <t>FINSPÅNG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46228</v>
      </c>
      <c r="F266" t="inlineStr">
        <is>
          <t>ÖSTERGÖTLANDS LÄN</t>
        </is>
      </c>
      <c r="G266" t="inlineStr">
        <is>
          <t>FINSPÅNG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46228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Övriga Aktiebolag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46228</v>
      </c>
      <c r="F268" t="inlineStr">
        <is>
          <t>ÖSTERGÖTLANDS LÄN</t>
        </is>
      </c>
      <c r="G268" t="inlineStr">
        <is>
          <t>FINSPÅNG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46228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46228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44993</v>
      </c>
      <c r="E271" s="1" t="n">
        <v>46228</v>
      </c>
      <c r="F271" t="inlineStr">
        <is>
          <t>ÖSTERGÖTLANDS LÄN</t>
        </is>
      </c>
      <c r="G271" t="inlineStr">
        <is>
          <t>FINSPÅNG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44942</v>
      </c>
      <c r="E272" s="1" t="n">
        <v>46228</v>
      </c>
      <c r="F272" t="inlineStr">
        <is>
          <t>ÖSTERGÖTLANDS LÄN</t>
        </is>
      </c>
      <c r="G272" t="inlineStr">
        <is>
          <t>FINSPÅNG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46228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46228</v>
      </c>
      <c r="F274" t="inlineStr">
        <is>
          <t>ÖSTERGÖTLANDS LÄN</t>
        </is>
      </c>
      <c r="G274" t="inlineStr">
        <is>
          <t>FINSPÅNG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46228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46228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46228</v>
      </c>
      <c r="F277" t="inlineStr">
        <is>
          <t>ÖSTERGÖTLANDS LÄN</t>
        </is>
      </c>
      <c r="G277" t="inlineStr">
        <is>
          <t>FINSPÅNG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53821-2022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44880</v>
      </c>
      <c r="E278" s="1" t="n">
        <v>46228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46228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46228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46228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Övriga Aktiebolag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18134-2023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45040</v>
      </c>
      <c r="E282" s="1" t="n">
        <v>46228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45710</v>
      </c>
      <c r="E283" s="1" t="n">
        <v>46228</v>
      </c>
      <c r="F283" t="inlineStr">
        <is>
          <t>ÖSTERGÖTLANDS LÄN</t>
        </is>
      </c>
      <c r="G283" t="inlineStr">
        <is>
          <t>FINSPÅNG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46228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46228</v>
      </c>
      <c r="F285" t="inlineStr">
        <is>
          <t>ÖSTERGÖTLANDS LÄN</t>
        </is>
      </c>
      <c r="G285" t="inlineStr">
        <is>
          <t>FINSPÅNG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46228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46228</v>
      </c>
      <c r="F287" t="inlineStr">
        <is>
          <t>ÖSTERGÖTLANDS LÄN</t>
        </is>
      </c>
      <c r="G287" t="inlineStr">
        <is>
          <t>FINSPÅNG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45720</v>
      </c>
      <c r="E288" s="1" t="n">
        <v>46228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46228</v>
      </c>
      <c r="F289" t="inlineStr">
        <is>
          <t>ÖSTERGÖTLANDS LÄN</t>
        </is>
      </c>
      <c r="G289" t="inlineStr">
        <is>
          <t>FINSPÅNG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46228</v>
      </c>
      <c r="F290" t="inlineStr">
        <is>
          <t>ÖSTERGÖTLANDS LÄN</t>
        </is>
      </c>
      <c r="G290" t="inlineStr">
        <is>
          <t>FINSPÅNG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58991-2021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46228</v>
      </c>
      <c r="F291" t="inlineStr">
        <is>
          <t>ÖSTERGÖTLANDS LÄN</t>
        </is>
      </c>
      <c r="G291" t="inlineStr">
        <is>
          <t>FINSPÅNG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41397-2021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44424</v>
      </c>
      <c r="E292" s="1" t="n">
        <v>46228</v>
      </c>
      <c r="F292" t="inlineStr">
        <is>
          <t>ÖSTERGÖTLANDS LÄN</t>
        </is>
      </c>
      <c r="G292" t="inlineStr">
        <is>
          <t>FINSPÅNG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46228</v>
      </c>
      <c r="F293" t="inlineStr">
        <is>
          <t>ÖSTERGÖTLANDS LÄN</t>
        </is>
      </c>
      <c r="G293" t="inlineStr">
        <is>
          <t>FINSPÅNG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46228</v>
      </c>
      <c r="F294" t="inlineStr">
        <is>
          <t>ÖSTERGÖTLANDS LÄN</t>
        </is>
      </c>
      <c r="G294" t="inlineStr">
        <is>
          <t>FINSPÅNG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45095</v>
      </c>
      <c r="E295" s="1" t="n">
        <v>46228</v>
      </c>
      <c r="F295" t="inlineStr">
        <is>
          <t>ÖSTERGÖTLANDS LÄN</t>
        </is>
      </c>
      <c r="G295" t="inlineStr">
        <is>
          <t>FINSPÅNG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46228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46228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46228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45257</v>
      </c>
      <c r="E299" s="1" t="n">
        <v>46228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46228</v>
      </c>
      <c r="F300" t="inlineStr">
        <is>
          <t>ÖSTERGÖTLANDS LÄN</t>
        </is>
      </c>
      <c r="G300" t="inlineStr">
        <is>
          <t>FINSPÅNG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46228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46228</v>
      </c>
      <c r="F302" t="inlineStr">
        <is>
          <t>ÖSTERGÖTLANDS LÄN</t>
        </is>
      </c>
      <c r="G302" t="inlineStr">
        <is>
          <t>FINSPÅNG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46228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46228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45178</v>
      </c>
      <c r="E305" s="1" t="n">
        <v>46228</v>
      </c>
      <c r="F305" t="inlineStr">
        <is>
          <t>ÖSTERGÖTLANDS LÄN</t>
        </is>
      </c>
      <c r="G305" t="inlineStr">
        <is>
          <t>FINSPÅNG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18258-2024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45421</v>
      </c>
      <c r="E306" s="1" t="n">
        <v>46228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46228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46228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45206</v>
      </c>
      <c r="E309" s="1" t="n">
        <v>46228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44503</v>
      </c>
      <c r="E310" s="1" t="n">
        <v>46228</v>
      </c>
      <c r="F310" t="inlineStr">
        <is>
          <t>ÖSTERGÖTLANDS LÄN</t>
        </is>
      </c>
      <c r="G310" t="inlineStr">
        <is>
          <t>FINSPÅNG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45125</v>
      </c>
      <c r="E311" s="1" t="n">
        <v>46228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Övriga Aktiebolag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45463</v>
      </c>
      <c r="E312" s="1" t="n">
        <v>46228</v>
      </c>
      <c r="F312" t="inlineStr">
        <is>
          <t>ÖSTERGÖTLANDS LÄN</t>
        </is>
      </c>
      <c r="G312" t="inlineStr">
        <is>
          <t>FINSPÅNG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45020</v>
      </c>
      <c r="E313" s="1" t="n">
        <v>46228</v>
      </c>
      <c r="F313" t="inlineStr">
        <is>
          <t>ÖSTERGÖTLANDS LÄN</t>
        </is>
      </c>
      <c r="G313" t="inlineStr">
        <is>
          <t>FINSPÅNG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44840</v>
      </c>
      <c r="E314" s="1" t="n">
        <v>46228</v>
      </c>
      <c r="F314" t="inlineStr">
        <is>
          <t>ÖSTERGÖTLANDS LÄN</t>
        </is>
      </c>
      <c r="G314" t="inlineStr">
        <is>
          <t>FINSPÅNG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18295-2023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45041</v>
      </c>
      <c r="E315" s="1" t="n">
        <v>46228</v>
      </c>
      <c r="F315" t="inlineStr">
        <is>
          <t>ÖSTERGÖTLANDS LÄN</t>
        </is>
      </c>
      <c r="G315" t="inlineStr">
        <is>
          <t>FINSPÅNG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39655-2023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45167</v>
      </c>
      <c r="E316" s="1" t="n">
        <v>46228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44767</v>
      </c>
      <c r="E317" s="1" t="n">
        <v>46228</v>
      </c>
      <c r="F317" t="inlineStr">
        <is>
          <t>ÖSTERGÖTLANDS LÄN</t>
        </is>
      </c>
      <c r="G317" t="inlineStr">
        <is>
          <t>FINSPÅNG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46228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65742-2021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46228</v>
      </c>
      <c r="F319" t="inlineStr">
        <is>
          <t>ÖSTERGÖTLANDS LÄN</t>
        </is>
      </c>
      <c r="G319" t="inlineStr">
        <is>
          <t>FINSPÅNG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46228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46228</v>
      </c>
      <c r="F321" t="inlineStr">
        <is>
          <t>ÖSTERGÖTLANDS LÄN</t>
        </is>
      </c>
      <c r="G321" t="inlineStr">
        <is>
          <t>FINSPÅNG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46228</v>
      </c>
      <c r="F322" t="inlineStr">
        <is>
          <t>ÖSTERGÖTLANDS LÄN</t>
        </is>
      </c>
      <c r="G322" t="inlineStr">
        <is>
          <t>FINSPÅNG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46228</v>
      </c>
      <c r="F323" t="inlineStr">
        <is>
          <t>ÖSTERGÖTLANDS LÄN</t>
        </is>
      </c>
      <c r="G323" t="inlineStr">
        <is>
          <t>FINSPÅNG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46228</v>
      </c>
      <c r="F324" t="inlineStr">
        <is>
          <t>ÖSTERGÖTLANDS LÄN</t>
        </is>
      </c>
      <c r="G324" t="inlineStr">
        <is>
          <t>FINSPÅNG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44662</v>
      </c>
      <c r="E325" s="1" t="n">
        <v>46228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46228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46228</v>
      </c>
      <c r="F327" t="inlineStr">
        <is>
          <t>ÖSTERGÖTLANDS LÄN</t>
        </is>
      </c>
      <c r="G327" t="inlineStr">
        <is>
          <t>FINSPÅNG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46228</v>
      </c>
      <c r="F328" t="inlineStr">
        <is>
          <t>ÖSTERGÖTLANDS LÄN</t>
        </is>
      </c>
      <c r="G328" t="inlineStr">
        <is>
          <t>FINSPÅNG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46228</v>
      </c>
      <c r="F329" t="inlineStr">
        <is>
          <t>ÖSTERGÖTLANDS LÄN</t>
        </is>
      </c>
      <c r="G329" t="inlineStr">
        <is>
          <t>FINSPÅNG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46228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46228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45601</v>
      </c>
      <c r="E332" s="1" t="n">
        <v>46228</v>
      </c>
      <c r="F332" t="inlineStr">
        <is>
          <t>ÖSTERGÖTLANDS LÄN</t>
        </is>
      </c>
      <c r="G332" t="inlineStr">
        <is>
          <t>FINSPÅNG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46228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70505-2021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46228</v>
      </c>
      <c r="F334" t="inlineStr">
        <is>
          <t>ÖSTERGÖTLANDS LÄN</t>
        </is>
      </c>
      <c r="G334" t="inlineStr">
        <is>
          <t>FINSPÅNG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46228</v>
      </c>
      <c r="F335" t="inlineStr">
        <is>
          <t>ÖSTERGÖTLANDS LÄN</t>
        </is>
      </c>
      <c r="G335" t="inlineStr">
        <is>
          <t>FINSPÅNG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46228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45086</v>
      </c>
      <c r="E337" s="1" t="n">
        <v>46228</v>
      </c>
      <c r="F337" t="inlineStr">
        <is>
          <t>ÖSTERGÖTLANDS LÄN</t>
        </is>
      </c>
      <c r="G337" t="inlineStr">
        <is>
          <t>FINSPÅNG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46228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46228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45881</v>
      </c>
      <c r="E340" s="1" t="n">
        <v>46228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Naturvårdsverket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46228</v>
      </c>
      <c r="F341" t="inlineStr">
        <is>
          <t>ÖSTERGÖTLANDS LÄN</t>
        </is>
      </c>
      <c r="G341" t="inlineStr">
        <is>
          <t>FINSPÅNG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63321-2021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44508</v>
      </c>
      <c r="E342" s="1" t="n">
        <v>46228</v>
      </c>
      <c r="F342" t="inlineStr">
        <is>
          <t>ÖSTERGÖTLANDS LÄN</t>
        </is>
      </c>
      <c r="G342" t="inlineStr">
        <is>
          <t>FINSPÅNG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46228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46228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44887</v>
      </c>
      <c r="E345" s="1" t="n">
        <v>46228</v>
      </c>
      <c r="F345" t="inlineStr">
        <is>
          <t>ÖSTERGÖTLANDS LÄN</t>
        </is>
      </c>
      <c r="G345" t="inlineStr">
        <is>
          <t>FINSPÅNG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46228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46228</v>
      </c>
      <c r="F347" t="inlineStr">
        <is>
          <t>ÖSTERGÖTLANDS LÄN</t>
        </is>
      </c>
      <c r="G347" t="inlineStr">
        <is>
          <t>FINSPÅNG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46228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46228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46228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46228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44614</v>
      </c>
      <c r="E352" s="1" t="n">
        <v>46228</v>
      </c>
      <c r="F352" t="inlineStr">
        <is>
          <t>ÖSTERGÖTLANDS LÄN</t>
        </is>
      </c>
      <c r="G352" t="inlineStr">
        <is>
          <t>FINSPÅNG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45891</v>
      </c>
      <c r="E353" s="1" t="n">
        <v>46228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46228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Allmännings- och besparingsskogar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46228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44550</v>
      </c>
      <c r="E356" s="1" t="n">
        <v>46228</v>
      </c>
      <c r="F356" t="inlineStr">
        <is>
          <t>ÖSTERGÖTLANDS LÄN</t>
        </is>
      </c>
      <c r="G356" t="inlineStr">
        <is>
          <t>FINSPÅNG</t>
        </is>
      </c>
      <c r="I356" t="n">
        <v>10.3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44833</v>
      </c>
      <c r="E357" s="1" t="n">
        <v>46228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45761-2021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46228</v>
      </c>
      <c r="F358" t="inlineStr">
        <is>
          <t>ÖSTERGÖTLANDS LÄN</t>
        </is>
      </c>
      <c r="G358" t="inlineStr">
        <is>
          <t>FINSPÅNG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45894</v>
      </c>
      <c r="E359" s="1" t="n">
        <v>46228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46228</v>
      </c>
      <c r="F360" t="inlineStr">
        <is>
          <t>ÖSTERGÖTLANDS LÄN</t>
        </is>
      </c>
      <c r="G360" t="inlineStr">
        <is>
          <t>FINSPÅNG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46228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46228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44817</v>
      </c>
      <c r="E363" s="1" t="n">
        <v>46228</v>
      </c>
      <c r="F363" t="inlineStr">
        <is>
          <t>ÖSTERGÖTLANDS LÄN</t>
        </is>
      </c>
      <c r="G363" t="inlineStr">
        <is>
          <t>FINSPÅNG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46228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45898</v>
      </c>
      <c r="E365" s="1" t="n">
        <v>46228</v>
      </c>
      <c r="F365" t="inlineStr">
        <is>
          <t>ÖSTERGÖTLANDS LÄN</t>
        </is>
      </c>
      <c r="G365" t="inlineStr">
        <is>
          <t>FINSPÅNG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46228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46228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46228</v>
      </c>
      <c r="F368" t="inlineStr">
        <is>
          <t>ÖSTERGÖTLANDS LÄN</t>
        </is>
      </c>
      <c r="G368" t="inlineStr">
        <is>
          <t>FINSPÅNG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46228</v>
      </c>
      <c r="F369" t="inlineStr">
        <is>
          <t>ÖSTERGÖTLANDS LÄN</t>
        </is>
      </c>
      <c r="G369" t="inlineStr">
        <is>
          <t>FINSPÅNG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45903</v>
      </c>
      <c r="E370" s="1" t="n">
        <v>46228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45903</v>
      </c>
      <c r="E371" s="1" t="n">
        <v>46228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46228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46228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45902</v>
      </c>
      <c r="E374" s="1" t="n">
        <v>46228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46228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46228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Övriga Aktiebolag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46228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46228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46228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46228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46228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46228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45467</v>
      </c>
      <c r="E383" s="1" t="n">
        <v>46228</v>
      </c>
      <c r="F383" t="inlineStr">
        <is>
          <t>ÖSTERGÖTLANDS LÄN</t>
        </is>
      </c>
      <c r="G383" t="inlineStr">
        <is>
          <t>FINSPÅNG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45905</v>
      </c>
      <c r="E384" s="1" t="n">
        <v>46228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45516</v>
      </c>
      <c r="E385" s="1" t="n">
        <v>46228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46228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46228</v>
      </c>
      <c r="F387" t="inlineStr">
        <is>
          <t>ÖSTERGÖTLANDS LÄN</t>
        </is>
      </c>
      <c r="G387" t="inlineStr">
        <is>
          <t>FINSPÅNG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46228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45908</v>
      </c>
      <c r="E389" s="1" t="n">
        <v>46228</v>
      </c>
      <c r="F389" t="inlineStr">
        <is>
          <t>ÖSTERGÖTLANDS LÄN</t>
        </is>
      </c>
      <c r="G389" t="inlineStr">
        <is>
          <t>FINSPÅNG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46228</v>
      </c>
      <c r="F390" t="inlineStr">
        <is>
          <t>ÖSTERGÖTLANDS LÄN</t>
        </is>
      </c>
      <c r="G390" t="inlineStr">
        <is>
          <t>FINSPÅNG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45700</v>
      </c>
      <c r="E391" s="1" t="n">
        <v>46228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45229</v>
      </c>
      <c r="E392" s="1" t="n">
        <v>46228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44900</v>
      </c>
      <c r="E393" s="1" t="n">
        <v>46228</v>
      </c>
      <c r="F393" t="inlineStr">
        <is>
          <t>ÖSTERGÖTLANDS LÄN</t>
        </is>
      </c>
      <c r="G393" t="inlineStr">
        <is>
          <t>FINSPÅNG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46228</v>
      </c>
      <c r="F394" t="inlineStr">
        <is>
          <t>ÖSTERGÖTLANDS LÄN</t>
        </is>
      </c>
      <c r="G394" t="inlineStr">
        <is>
          <t>FINSPÅNG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46228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45560</v>
      </c>
      <c r="E396" s="1" t="n">
        <v>46228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46228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45299</v>
      </c>
      <c r="E398" s="1" t="n">
        <v>46228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46228</v>
      </c>
      <c r="F399" t="inlineStr">
        <is>
          <t>ÖSTERGÖTLANDS LÄN</t>
        </is>
      </c>
      <c r="G399" t="inlineStr">
        <is>
          <t>FINSPÅNG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46228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46228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44840</v>
      </c>
      <c r="E402" s="1" t="n">
        <v>46228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45040</v>
      </c>
      <c r="E403" s="1" t="n">
        <v>46228</v>
      </c>
      <c r="F403" t="inlineStr">
        <is>
          <t>ÖSTERGÖTLANDS LÄN</t>
        </is>
      </c>
      <c r="G403" t="inlineStr">
        <is>
          <t>FINSPÅNG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46228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45617</v>
      </c>
      <c r="E405" s="1" t="n">
        <v>46228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46228</v>
      </c>
      <c r="F406" t="inlineStr">
        <is>
          <t>ÖSTERGÖTLANDS LÄN</t>
        </is>
      </c>
      <c r="G406" t="inlineStr">
        <is>
          <t>FINSPÅNG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46228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46228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35278-2025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45853</v>
      </c>
      <c r="E409" s="1" t="n">
        <v>46228</v>
      </c>
      <c r="F409" t="inlineStr">
        <is>
          <t>ÖSTERGÖTLANDS LÄN</t>
        </is>
      </c>
      <c r="G409" t="inlineStr">
        <is>
          <t>FINSPÅNG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45055</v>
      </c>
      <c r="E410" s="1" t="n">
        <v>46228</v>
      </c>
      <c r="F410" t="inlineStr">
        <is>
          <t>ÖSTERGÖTLANDS LÄN</t>
        </is>
      </c>
      <c r="G410" t="inlineStr">
        <is>
          <t>FINSPÅNG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46228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46228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46228</v>
      </c>
      <c r="F413" t="inlineStr">
        <is>
          <t>ÖSTERGÖTLANDS LÄN</t>
        </is>
      </c>
      <c r="G413" t="inlineStr">
        <is>
          <t>FINSPÅNG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46228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46228</v>
      </c>
      <c r="F415" t="inlineStr">
        <is>
          <t>ÖSTERGÖTLANDS LÄN</t>
        </is>
      </c>
      <c r="G415" t="inlineStr">
        <is>
          <t>FINSPÅNG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46228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45548</v>
      </c>
      <c r="E417" s="1" t="n">
        <v>46228</v>
      </c>
      <c r="F417" t="inlineStr">
        <is>
          <t>ÖSTERGÖTLANDS LÄN</t>
        </is>
      </c>
      <c r="G417" t="inlineStr">
        <is>
          <t>FINSPÅNG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47567-2025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45931</v>
      </c>
      <c r="E418" s="1" t="n">
        <v>46228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46228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46228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54609-2021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44473</v>
      </c>
      <c r="E421" s="1" t="n">
        <v>46228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7269-2024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45344</v>
      </c>
      <c r="E422" s="1" t="n">
        <v>46228</v>
      </c>
      <c r="F422" t="inlineStr">
        <is>
          <t>ÖSTERGÖTLANDS LÄN</t>
        </is>
      </c>
      <c r="G422" t="inlineStr">
        <is>
          <t>FINSPÅNG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46228</v>
      </c>
      <c r="F423" t="inlineStr">
        <is>
          <t>ÖSTERGÖTLANDS LÄN</t>
        </is>
      </c>
      <c r="G423" t="inlineStr">
        <is>
          <t>FINSPÅNG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46228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45252</v>
      </c>
      <c r="E425" s="1" t="n">
        <v>46228</v>
      </c>
      <c r="F425" t="inlineStr">
        <is>
          <t>ÖSTERGÖTLANDS LÄN</t>
        </is>
      </c>
      <c r="G425" t="inlineStr">
        <is>
          <t>FINSPÅNG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46228</v>
      </c>
      <c r="F426" t="inlineStr">
        <is>
          <t>ÖSTERGÖTLANDS LÄN</t>
        </is>
      </c>
      <c r="G426" t="inlineStr">
        <is>
          <t>FINSPÅNG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46228</v>
      </c>
      <c r="F427" t="inlineStr">
        <is>
          <t>ÖSTERGÖTLANDS LÄN</t>
        </is>
      </c>
      <c r="G427" t="inlineStr">
        <is>
          <t>FINSPÅNG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46228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45935</v>
      </c>
      <c r="E429" s="1" t="n">
        <v>46228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43744-2021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44433</v>
      </c>
      <c r="E430" s="1" t="n">
        <v>46228</v>
      </c>
      <c r="F430" t="inlineStr">
        <is>
          <t>ÖSTERGÖTLANDS LÄN</t>
        </is>
      </c>
      <c r="G430" t="inlineStr">
        <is>
          <t>FINSPÅNG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46228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46228</v>
      </c>
      <c r="F432" t="inlineStr">
        <is>
          <t>ÖSTERGÖTLANDS LÄN</t>
        </is>
      </c>
      <c r="G432" t="inlineStr">
        <is>
          <t>FINSPÅNG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46228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44946</v>
      </c>
      <c r="E434" s="1" t="n">
        <v>46228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46228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49142-2023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46228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Övriga Aktiebolag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45944</v>
      </c>
      <c r="E437" s="1" t="n">
        <v>46228</v>
      </c>
      <c r="F437" t="inlineStr">
        <is>
          <t>ÖSTERGÖTLANDS LÄN</t>
        </is>
      </c>
      <c r="G437" t="inlineStr">
        <is>
          <t>FINSPÅNG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46228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45009</v>
      </c>
      <c r="E439" s="1" t="n">
        <v>46228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46228</v>
      </c>
      <c r="F440" t="inlineStr">
        <is>
          <t>ÖSTERGÖTLANDS LÄN</t>
        </is>
      </c>
      <c r="G440" t="inlineStr">
        <is>
          <t>FINSPÅNG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46228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44419</v>
      </c>
      <c r="E442" s="1" t="n">
        <v>46228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46228</v>
      </c>
      <c r="F443" t="inlineStr">
        <is>
          <t>ÖSTERGÖTLANDS LÄN</t>
        </is>
      </c>
      <c r="G443" t="inlineStr">
        <is>
          <t>FINSPÅNG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46228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45950</v>
      </c>
      <c r="E445" s="1" t="n">
        <v>46228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46228</v>
      </c>
      <c r="F446" t="inlineStr">
        <is>
          <t>ÖSTERGÖTLANDS LÄN</t>
        </is>
      </c>
      <c r="G446" t="inlineStr">
        <is>
          <t>FINSPÅNG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46228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46228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46228</v>
      </c>
      <c r="F449" t="inlineStr">
        <is>
          <t>ÖSTERGÖTLANDS LÄN</t>
        </is>
      </c>
      <c r="G449" t="inlineStr">
        <is>
          <t>FINSPÅNG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27369-2026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46188</v>
      </c>
      <c r="E450" s="1" t="n">
        <v>46228</v>
      </c>
      <c r="F450" t="inlineStr">
        <is>
          <t>ÖSTERGÖTLANDS LÄN</t>
        </is>
      </c>
      <c r="G450" t="inlineStr">
        <is>
          <t>FINSPÅNG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45955</v>
      </c>
      <c r="E451" s="1" t="n">
        <v>46228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9554-2022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44617</v>
      </c>
      <c r="E452" s="1" t="n">
        <v>46228</v>
      </c>
      <c r="F452" t="inlineStr">
        <is>
          <t>ÖSTERGÖTLANDS LÄN</t>
        </is>
      </c>
      <c r="G452" t="inlineStr">
        <is>
          <t>FINSPÅNG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45042</v>
      </c>
      <c r="E453" s="1" t="n">
        <v>46228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46228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46228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44993</v>
      </c>
      <c r="E456" s="1" t="n">
        <v>46228</v>
      </c>
      <c r="F456" t="inlineStr">
        <is>
          <t>ÖSTERGÖTLANDS LÄN</t>
        </is>
      </c>
      <c r="G456" t="inlineStr">
        <is>
          <t>FINSPÅNG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45095</v>
      </c>
      <c r="E457" s="1" t="n">
        <v>46228</v>
      </c>
      <c r="F457" t="inlineStr">
        <is>
          <t>ÖSTERGÖTLANDS LÄN</t>
        </is>
      </c>
      <c r="G457" t="inlineStr">
        <is>
          <t>FINSPÅNG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46228</v>
      </c>
      <c r="F458" t="inlineStr">
        <is>
          <t>ÖSTERGÖTLANDS LÄN</t>
        </is>
      </c>
      <c r="G458" t="inlineStr">
        <is>
          <t>FINSPÅNG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46228</v>
      </c>
      <c r="F459" t="inlineStr">
        <is>
          <t>ÖSTERGÖTLANDS LÄN</t>
        </is>
      </c>
      <c r="G459" t="inlineStr">
        <is>
          <t>FINSPÅNG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46228</v>
      </c>
      <c r="F460" t="inlineStr">
        <is>
          <t>ÖSTERGÖTLANDS LÄN</t>
        </is>
      </c>
      <c r="G460" t="inlineStr">
        <is>
          <t>FINSPÅNG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46228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52557-2024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46228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46228</v>
      </c>
      <c r="F463" t="inlineStr">
        <is>
          <t>ÖSTERGÖTLANDS LÄN</t>
        </is>
      </c>
      <c r="G463" t="inlineStr">
        <is>
          <t>FINSPÅNG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46228</v>
      </c>
      <c r="F464" t="inlineStr">
        <is>
          <t>ÖSTERGÖTLANDS LÄN</t>
        </is>
      </c>
      <c r="G464" t="inlineStr">
        <is>
          <t>FINSPÅNG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44774</v>
      </c>
      <c r="E465" s="1" t="n">
        <v>46228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45744</v>
      </c>
      <c r="E466" s="1" t="n">
        <v>46228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46228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45969</v>
      </c>
      <c r="E468" s="1" t="n">
        <v>46228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46228</v>
      </c>
      <c r="F469" t="inlineStr">
        <is>
          <t>ÖSTERGÖTLANDS LÄN</t>
        </is>
      </c>
      <c r="G469" t="inlineStr">
        <is>
          <t>FINSPÅNG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46228</v>
      </c>
      <c r="F470" t="inlineStr">
        <is>
          <t>ÖSTERGÖTLANDS LÄN</t>
        </is>
      </c>
      <c r="G470" t="inlineStr">
        <is>
          <t>FINSPÅNG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46228</v>
      </c>
      <c r="F471" t="inlineStr">
        <is>
          <t>ÖSTERGÖTLANDS LÄN</t>
        </is>
      </c>
      <c r="G471" t="inlineStr">
        <is>
          <t>FINSPÅNG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46228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45428</v>
      </c>
      <c r="E473" s="1" t="n">
        <v>46228</v>
      </c>
      <c r="F473" t="inlineStr">
        <is>
          <t>ÖSTERGÖTLANDS LÄN</t>
        </is>
      </c>
      <c r="G473" t="inlineStr">
        <is>
          <t>FINSPÅNG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46228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45744</v>
      </c>
      <c r="E475" s="1" t="n">
        <v>46228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46228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40544-2021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44420</v>
      </c>
      <c r="E477" s="1" t="n">
        <v>46228</v>
      </c>
      <c r="F477" t="inlineStr">
        <is>
          <t>ÖSTERGÖTLANDS LÄN</t>
        </is>
      </c>
      <c r="G477" t="inlineStr">
        <is>
          <t>FINSPÅNG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46228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45979</v>
      </c>
      <c r="E479" s="1" t="n">
        <v>46228</v>
      </c>
      <c r="F479" t="inlineStr">
        <is>
          <t>ÖSTERGÖTLANDS LÄN</t>
        </is>
      </c>
      <c r="G479" t="inlineStr">
        <is>
          <t>FINSPÅNG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45002</v>
      </c>
      <c r="E480" s="1" t="n">
        <v>46228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Kyrkan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46228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46228</v>
      </c>
      <c r="F482" t="inlineStr">
        <is>
          <t>ÖSTERGÖTLANDS LÄN</t>
        </is>
      </c>
      <c r="G482" t="inlineStr">
        <is>
          <t>FINSPÅNG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46228</v>
      </c>
      <c r="F483" t="inlineStr">
        <is>
          <t>ÖSTERGÖTLANDS LÄN</t>
        </is>
      </c>
      <c r="G483" t="inlineStr">
        <is>
          <t>FINSPÅNG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46228</v>
      </c>
      <c r="F484" t="inlineStr">
        <is>
          <t>ÖSTERGÖTLANDS LÄN</t>
        </is>
      </c>
      <c r="G484" t="inlineStr">
        <is>
          <t>FINSPÅNG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45983</v>
      </c>
      <c r="E485" s="1" t="n">
        <v>46228</v>
      </c>
      <c r="F485" t="inlineStr">
        <is>
          <t>ÖSTERGÖTLANDS LÄN</t>
        </is>
      </c>
      <c r="G485" t="inlineStr">
        <is>
          <t>FINSPÅNG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45983</v>
      </c>
      <c r="E486" s="1" t="n">
        <v>46228</v>
      </c>
      <c r="F486" t="inlineStr">
        <is>
          <t>ÖSTERGÖTLANDS LÄN</t>
        </is>
      </c>
      <c r="G486" t="inlineStr">
        <is>
          <t>FINSPÅNG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54923-2022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46228</v>
      </c>
      <c r="F487" t="inlineStr">
        <is>
          <t>ÖSTERGÖTLANDS LÄN</t>
        </is>
      </c>
      <c r="G487" t="inlineStr">
        <is>
          <t>FINSPÅNG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45636</v>
      </c>
      <c r="E488" s="1" t="n">
        <v>46228</v>
      </c>
      <c r="F488" t="inlineStr">
        <is>
          <t>ÖSTERGÖTLANDS LÄN</t>
        </is>
      </c>
      <c r="G488" t="inlineStr">
        <is>
          <t>FINSPÅNG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45983</v>
      </c>
      <c r="E489" s="1" t="n">
        <v>46228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46228</v>
      </c>
      <c r="F490" t="inlineStr">
        <is>
          <t>ÖSTERGÖTLANDS LÄN</t>
        </is>
      </c>
      <c r="G490" t="inlineStr">
        <is>
          <t>FINSPÅNG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11839-2025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45728</v>
      </c>
      <c r="E491" s="1" t="n">
        <v>46228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64408-2023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45280</v>
      </c>
      <c r="E492" s="1" t="n">
        <v>46228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Övriga Aktiebolag</t>
        </is>
      </c>
      <c r="I492" t="n">
        <v>13.6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46228</v>
      </c>
      <c r="F493" t="inlineStr">
        <is>
          <t>ÖSTERGÖTLANDS LÄN</t>
        </is>
      </c>
      <c r="G493" t="inlineStr">
        <is>
          <t>FINSPÅNG</t>
        </is>
      </c>
      <c r="I493" t="n">
        <v>9.300000000000001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46228</v>
      </c>
      <c r="F494" t="inlineStr">
        <is>
          <t>ÖSTERGÖTLANDS LÄN</t>
        </is>
      </c>
      <c r="G494" t="inlineStr">
        <is>
          <t>FINSPÅNG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45225</v>
      </c>
      <c r="E495" s="1" t="n">
        <v>46228</v>
      </c>
      <c r="F495" t="inlineStr">
        <is>
          <t>ÖSTERGÖTLANDS LÄN</t>
        </is>
      </c>
      <c r="G495" t="inlineStr">
        <is>
          <t>FINSPÅNG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44987</v>
      </c>
      <c r="E496" s="1" t="n">
        <v>46228</v>
      </c>
      <c r="F496" t="inlineStr">
        <is>
          <t>ÖSTERGÖTLANDS LÄN</t>
        </is>
      </c>
      <c r="G496" t="inlineStr">
        <is>
          <t>FINSPÅNG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46228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46228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45177</v>
      </c>
      <c r="E499" s="1" t="n">
        <v>46228</v>
      </c>
      <c r="F499" t="inlineStr">
        <is>
          <t>ÖSTERGÖTLANDS LÄN</t>
        </is>
      </c>
      <c r="G499" t="inlineStr">
        <is>
          <t>FINSPÅNG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46228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45147</v>
      </c>
      <c r="E501" s="1" t="n">
        <v>46228</v>
      </c>
      <c r="F501" t="inlineStr">
        <is>
          <t>ÖSTERGÖTLANDS LÄN</t>
        </is>
      </c>
      <c r="G501" t="inlineStr">
        <is>
          <t>FINSPÅNG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44966</v>
      </c>
      <c r="E502" s="1" t="n">
        <v>46228</v>
      </c>
      <c r="F502" t="inlineStr">
        <is>
          <t>ÖSTERGÖTLANDS LÄN</t>
        </is>
      </c>
      <c r="G502" t="inlineStr">
        <is>
          <t>FINSPÅNG</t>
        </is>
      </c>
      <c r="I502" t="n">
        <v>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53572-2023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45230</v>
      </c>
      <c r="E503" s="1" t="n">
        <v>46228</v>
      </c>
      <c r="F503" t="inlineStr">
        <is>
          <t>ÖSTERGÖTLANDS LÄN</t>
        </is>
      </c>
      <c r="G503" t="inlineStr">
        <is>
          <t>FINSPÅNG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45040</v>
      </c>
      <c r="E504" s="1" t="n">
        <v>46228</v>
      </c>
      <c r="F504" t="inlineStr">
        <is>
          <t>ÖSTERGÖTLANDS LÄN</t>
        </is>
      </c>
      <c r="G504" t="inlineStr">
        <is>
          <t>FINSPÅNG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46196</v>
      </c>
      <c r="E505" s="1" t="n">
        <v>46228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45845</v>
      </c>
      <c r="E506" s="1" t="n">
        <v>46228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46228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46228</v>
      </c>
      <c r="F508" t="inlineStr">
        <is>
          <t>ÖSTERGÖTLANDS LÄN</t>
        </is>
      </c>
      <c r="G508" t="inlineStr">
        <is>
          <t>FINSPÅNG</t>
        </is>
      </c>
      <c r="I508" t="n">
        <v>11.2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44876</v>
      </c>
      <c r="E509" s="1" t="n">
        <v>46228</v>
      </c>
      <c r="F509" t="inlineStr">
        <is>
          <t>ÖSTERGÖTLANDS LÄN</t>
        </is>
      </c>
      <c r="G509" t="inlineStr">
        <is>
          <t>FINSPÅNG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46228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45179</v>
      </c>
      <c r="E511" s="1" t="n">
        <v>46228</v>
      </c>
      <c r="F511" t="inlineStr">
        <is>
          <t>ÖSTERGÖTLANDS LÄN</t>
        </is>
      </c>
      <c r="G511" t="inlineStr">
        <is>
          <t>FINSPÅNG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45179</v>
      </c>
      <c r="E512" s="1" t="n">
        <v>46228</v>
      </c>
      <c r="F512" t="inlineStr">
        <is>
          <t>ÖSTERGÖTLANDS LÄN</t>
        </is>
      </c>
      <c r="G512" t="inlineStr">
        <is>
          <t>FINSPÅNG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45709</v>
      </c>
      <c r="E513" s="1" t="n">
        <v>46228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46228</v>
      </c>
      <c r="F514" t="inlineStr">
        <is>
          <t>ÖSTERGÖTLANDS LÄN</t>
        </is>
      </c>
      <c r="G514" t="inlineStr">
        <is>
          <t>FINSPÅNG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46228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46228</v>
      </c>
      <c r="F516" t="inlineStr">
        <is>
          <t>ÖSTERGÖTLANDS LÄN</t>
        </is>
      </c>
      <c r="G516" t="inlineStr">
        <is>
          <t>FINSPÅNG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45309</v>
      </c>
      <c r="E517" s="1" t="n">
        <v>46228</v>
      </c>
      <c r="F517" t="inlineStr">
        <is>
          <t>ÖSTERGÖTLANDS LÄN</t>
        </is>
      </c>
      <c r="G517" t="inlineStr">
        <is>
          <t>FINSPÅNG</t>
        </is>
      </c>
      <c r="I517" t="n">
        <v>15.1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46228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46228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46228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46228</v>
      </c>
      <c r="F521" t="inlineStr">
        <is>
          <t>ÖSTERGÖTLANDS LÄN</t>
        </is>
      </c>
      <c r="G521" t="inlineStr">
        <is>
          <t>FINSPÅNG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46228</v>
      </c>
      <c r="F522" t="inlineStr">
        <is>
          <t>ÖSTERGÖTLANDS LÄN</t>
        </is>
      </c>
      <c r="G522" t="inlineStr">
        <is>
          <t>FINSPÅNG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62221-2025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46228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45323</v>
      </c>
      <c r="E524" s="1" t="n">
        <v>46228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46228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46228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46228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44930</v>
      </c>
      <c r="E528" s="1" t="n">
        <v>46228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45086</v>
      </c>
      <c r="E529" s="1" t="n">
        <v>46228</v>
      </c>
      <c r="F529" t="inlineStr">
        <is>
          <t>ÖSTERGÖTLANDS LÄN</t>
        </is>
      </c>
      <c r="G529" t="inlineStr">
        <is>
          <t>FINSPÅNG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46228</v>
      </c>
      <c r="F530" t="inlineStr">
        <is>
          <t>ÖSTERGÖTLANDS LÄN</t>
        </is>
      </c>
      <c r="G530" t="inlineStr">
        <is>
          <t>FINSPÅNG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46228</v>
      </c>
      <c r="F531" t="inlineStr">
        <is>
          <t>ÖSTERGÖTLANDS LÄN</t>
        </is>
      </c>
      <c r="G531" t="inlineStr">
        <is>
          <t>FINSPÅNG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44939</v>
      </c>
      <c r="E532" s="1" t="n">
        <v>46228</v>
      </c>
      <c r="F532" t="inlineStr">
        <is>
          <t>ÖSTERGÖTLANDS LÄN</t>
        </is>
      </c>
      <c r="G532" t="inlineStr">
        <is>
          <t>FINSPÅNG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52004-2024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46228</v>
      </c>
      <c r="F533" t="inlineStr">
        <is>
          <t>ÖSTERGÖTLANDS LÄN</t>
        </is>
      </c>
      <c r="G533" t="inlineStr">
        <is>
          <t>FINSPÅNG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44732</v>
      </c>
      <c r="E534" s="1" t="n">
        <v>46228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45425</v>
      </c>
      <c r="E535" s="1" t="n">
        <v>46228</v>
      </c>
      <c r="F535" t="inlineStr">
        <is>
          <t>ÖSTERGÖTLANDS LÄN</t>
        </is>
      </c>
      <c r="G535" t="inlineStr">
        <is>
          <t>FINSPÅNG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46228</v>
      </c>
      <c r="F536" t="inlineStr">
        <is>
          <t>ÖSTERGÖTLANDS LÄN</t>
        </is>
      </c>
      <c r="G536" t="inlineStr">
        <is>
          <t>FINSPÅNG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46228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46228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55624-2024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45622</v>
      </c>
      <c r="E539" s="1" t="n">
        <v>46228</v>
      </c>
      <c r="F539" t="inlineStr">
        <is>
          <t>ÖSTERGÖTLANDS LÄN</t>
        </is>
      </c>
      <c r="G539" t="inlineStr">
        <is>
          <t>FINSPÅNG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46228</v>
      </c>
      <c r="F540" t="inlineStr">
        <is>
          <t>ÖSTERGÖTLANDS LÄN</t>
        </is>
      </c>
      <c r="G540" t="inlineStr">
        <is>
          <t>FINSPÅNG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55052-2023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45237</v>
      </c>
      <c r="E541" s="1" t="n">
        <v>46228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Kyrkan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12814-2022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44642</v>
      </c>
      <c r="E542" s="1" t="n">
        <v>46228</v>
      </c>
      <c r="F542" t="inlineStr">
        <is>
          <t>ÖSTERGÖTLANDS LÄN</t>
        </is>
      </c>
      <c r="G542" t="inlineStr">
        <is>
          <t>FINSPÅNG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35276-2025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45853</v>
      </c>
      <c r="E543" s="1" t="n">
        <v>46228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46228</v>
      </c>
      <c r="F544" t="inlineStr">
        <is>
          <t>ÖSTERGÖTLANDS LÄN</t>
        </is>
      </c>
      <c r="G544" t="inlineStr">
        <is>
          <t>FINSPÅNG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45770</v>
      </c>
      <c r="E545" s="1" t="n">
        <v>46228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46228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46228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46228</v>
      </c>
      <c r="F548" t="inlineStr">
        <is>
          <t>ÖSTERGÖTLANDS LÄN</t>
        </is>
      </c>
      <c r="G548" t="inlineStr">
        <is>
          <t>FINSPÅNG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29078-2022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44749</v>
      </c>
      <c r="E549" s="1" t="n">
        <v>46228</v>
      </c>
      <c r="F549" t="inlineStr">
        <is>
          <t>ÖSTERGÖTLANDS LÄN</t>
        </is>
      </c>
      <c r="G549" t="inlineStr">
        <is>
          <t>FINSPÅNG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45082</v>
      </c>
      <c r="E550" s="1" t="n">
        <v>46228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45082</v>
      </c>
      <c r="E551" s="1" t="n">
        <v>46228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45167</v>
      </c>
      <c r="E552" s="1" t="n">
        <v>46228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46228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46228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46077</v>
      </c>
      <c r="E555" s="1" t="n">
        <v>46228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Kyrkan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46228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44930</v>
      </c>
      <c r="E557" s="1" t="n">
        <v>46228</v>
      </c>
      <c r="F557" t="inlineStr">
        <is>
          <t>ÖSTERGÖTLANDS LÄN</t>
        </is>
      </c>
      <c r="G557" t="inlineStr">
        <is>
          <t>FINSPÅNG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44782</v>
      </c>
      <c r="E558" s="1" t="n">
        <v>46228</v>
      </c>
      <c r="F558" t="inlineStr">
        <is>
          <t>ÖSTERGÖTLANDS LÄN</t>
        </is>
      </c>
      <c r="G558" t="inlineStr">
        <is>
          <t>FINSPÅNG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46228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46228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46228</v>
      </c>
      <c r="F561" t="inlineStr">
        <is>
          <t>ÖSTERGÖTLANDS LÄN</t>
        </is>
      </c>
      <c r="G561" t="inlineStr">
        <is>
          <t>FINSPÅNG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42779-2023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46228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46228</v>
      </c>
      <c r="F563" t="inlineStr">
        <is>
          <t>ÖSTERGÖTLANDS LÄN</t>
        </is>
      </c>
      <c r="G563" t="inlineStr">
        <is>
          <t>FINSPÅNG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46228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46228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41932-2021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44425</v>
      </c>
      <c r="E566" s="1" t="n">
        <v>46228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44754</v>
      </c>
      <c r="E567" s="1" t="n">
        <v>46228</v>
      </c>
      <c r="F567" t="inlineStr">
        <is>
          <t>ÖSTERGÖTLANDS LÄN</t>
        </is>
      </c>
      <c r="G567" t="inlineStr">
        <is>
          <t>FINSPÅNG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46040</v>
      </c>
      <c r="E568" s="1" t="n">
        <v>46228</v>
      </c>
      <c r="F568" t="inlineStr">
        <is>
          <t>ÖSTERGÖTLANDS LÄN</t>
        </is>
      </c>
      <c r="G568" t="inlineStr">
        <is>
          <t>FINSPÅNG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45421</v>
      </c>
      <c r="E569" s="1" t="n">
        <v>46228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46228</v>
      </c>
      <c r="F570" t="inlineStr">
        <is>
          <t>ÖSTERGÖTLANDS LÄN</t>
        </is>
      </c>
      <c r="G570" t="inlineStr">
        <is>
          <t>FINSPÅNG</t>
        </is>
      </c>
      <c r="I570" t="n">
        <v>13.3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46040</v>
      </c>
      <c r="E571" s="1" t="n">
        <v>46228</v>
      </c>
      <c r="F571" t="inlineStr">
        <is>
          <t>ÖSTERGÖTLANDS LÄN</t>
        </is>
      </c>
      <c r="G571" t="inlineStr">
        <is>
          <t>FINSPÅNG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46228</v>
      </c>
      <c r="F572" t="inlineStr">
        <is>
          <t>ÖSTERGÖTLANDS LÄN</t>
        </is>
      </c>
      <c r="G572" t="inlineStr">
        <is>
          <t>FINSPÅNG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46228</v>
      </c>
      <c r="F573" t="inlineStr">
        <is>
          <t>ÖSTERGÖTLANDS LÄN</t>
        </is>
      </c>
      <c r="G573" t="inlineStr">
        <is>
          <t>FINSPÅNG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22938-2026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46228</v>
      </c>
      <c r="F574" t="inlineStr">
        <is>
          <t>ÖSTERGÖTLANDS LÄN</t>
        </is>
      </c>
      <c r="G574" t="inlineStr">
        <is>
          <t>FINSPÅNG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10184-2023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44986</v>
      </c>
      <c r="E575" s="1" t="n">
        <v>46228</v>
      </c>
      <c r="F575" t="inlineStr">
        <is>
          <t>ÖSTERGÖTLANDS LÄN</t>
        </is>
      </c>
      <c r="G575" t="inlineStr">
        <is>
          <t>FINSPÅNG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44770</v>
      </c>
      <c r="E576" s="1" t="n">
        <v>46228</v>
      </c>
      <c r="F576" t="inlineStr">
        <is>
          <t>ÖSTERGÖTLANDS LÄN</t>
        </is>
      </c>
      <c r="G576" t="inlineStr">
        <is>
          <t>FINSPÅNG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42785-2024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46228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46228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46228</v>
      </c>
      <c r="F579" t="inlineStr">
        <is>
          <t>ÖSTERGÖTLANDS LÄN</t>
        </is>
      </c>
      <c r="G579" t="inlineStr">
        <is>
          <t>FINSPÅNG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46228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45302</v>
      </c>
      <c r="E582" s="1" t="n">
        <v>46228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46228</v>
      </c>
      <c r="F583" t="inlineStr">
        <is>
          <t>ÖSTERGÖTLANDS LÄN</t>
        </is>
      </c>
      <c r="G583" t="inlineStr">
        <is>
          <t>FINSPÅNG</t>
        </is>
      </c>
      <c r="I583" t="n">
        <v>18.6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45601</v>
      </c>
      <c r="E584" s="1" t="n">
        <v>46228</v>
      </c>
      <c r="F584" t="inlineStr">
        <is>
          <t>ÖSTERGÖTLANDS LÄN</t>
        </is>
      </c>
      <c r="G584" t="inlineStr">
        <is>
          <t>FINSPÅNG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46228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46228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46228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44678</v>
      </c>
      <c r="E588" s="1" t="n">
        <v>46228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46228</v>
      </c>
      <c r="F589" t="inlineStr">
        <is>
          <t>ÖSTERGÖTLANDS LÄN</t>
        </is>
      </c>
      <c r="G589" t="inlineStr">
        <is>
          <t>FINSPÅNG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44637</v>
      </c>
      <c r="E590" s="1" t="n">
        <v>46228</v>
      </c>
      <c r="F590" t="inlineStr">
        <is>
          <t>ÖSTERGÖTLANDS LÄN</t>
        </is>
      </c>
      <c r="G590" t="inlineStr">
        <is>
          <t>FINSPÅNG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46228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Övriga Aktiebolag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46228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64103-2023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46228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46228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46228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46228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Övriga Aktiebolag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46060</v>
      </c>
      <c r="E597" s="1" t="n">
        <v>46228</v>
      </c>
      <c r="F597" t="inlineStr">
        <is>
          <t>ÖSTERGÖTLANDS LÄN</t>
        </is>
      </c>
      <c r="G597" t="inlineStr">
        <is>
          <t>FINSPÅNG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46228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8079-2026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46063</v>
      </c>
      <c r="E599" s="1" t="n">
        <v>46228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46228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7743-2023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44973</v>
      </c>
      <c r="E601" s="1" t="n">
        <v>46228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56425-2022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44891</v>
      </c>
      <c r="E602" s="1" t="n">
        <v>46228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46228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46228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8553-2026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46228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45616</v>
      </c>
      <c r="E606" s="1" t="n">
        <v>46228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46228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46228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46228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46228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46228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46228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46228</v>
      </c>
      <c r="F613" t="inlineStr">
        <is>
          <t>ÖSTERGÖTLANDS LÄN</t>
        </is>
      </c>
      <c r="G613" t="inlineStr">
        <is>
          <t>FINSPÅNG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46228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46228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46228</v>
      </c>
      <c r="F616" t="inlineStr">
        <is>
          <t>ÖSTERGÖTLANDS LÄN</t>
        </is>
      </c>
      <c r="G616" t="inlineStr">
        <is>
          <t>FINSPÅNG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44966</v>
      </c>
      <c r="E617" s="1" t="n">
        <v>46228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44953</v>
      </c>
      <c r="E618" s="1" t="n">
        <v>46228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46228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44823</v>
      </c>
      <c r="E620" s="1" t="n">
        <v>46228</v>
      </c>
      <c r="F620" t="inlineStr">
        <is>
          <t>ÖSTERGÖTLANDS LÄN</t>
        </is>
      </c>
      <c r="G620" t="inlineStr">
        <is>
          <t>FINSPÅNG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47317-2023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45202</v>
      </c>
      <c r="E621" s="1" t="n">
        <v>46228</v>
      </c>
      <c r="F621" t="inlineStr">
        <is>
          <t>ÖSTERGÖTLANDS LÄN</t>
        </is>
      </c>
      <c r="G621" t="inlineStr">
        <is>
          <t>FINSPÅNG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46228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46228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12483-2024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45379</v>
      </c>
      <c r="E624" s="1" t="n">
        <v>46228</v>
      </c>
      <c r="F624" t="inlineStr">
        <is>
          <t>ÖSTERGÖTLANDS LÄN</t>
        </is>
      </c>
      <c r="G624" t="inlineStr">
        <is>
          <t>FINSPÅNG</t>
        </is>
      </c>
      <c r="I624" t="n">
        <v>11.9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46228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45428</v>
      </c>
      <c r="E626" s="1" t="n">
        <v>46228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46228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Kyrkan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11211-2026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46228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46080</v>
      </c>
      <c r="E629" s="1" t="n">
        <v>46228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46228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11251-2026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46080</v>
      </c>
      <c r="E631" s="1" t="n">
        <v>46228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46080</v>
      </c>
      <c r="E632" s="1" t="n">
        <v>46228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41328-2023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46228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45770</v>
      </c>
      <c r="E634" s="1" t="n">
        <v>46228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11839-2026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46085</v>
      </c>
      <c r="E635" s="1" t="n">
        <v>46228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11814-2026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46085</v>
      </c>
      <c r="E636" s="1" t="n">
        <v>46228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45236</v>
      </c>
      <c r="E637" s="1" t="n">
        <v>46228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54730-2023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46228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46228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11807-2026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46228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46228</v>
      </c>
      <c r="F641" t="inlineStr">
        <is>
          <t>ÖSTERGÖTLANDS LÄN</t>
        </is>
      </c>
      <c r="G641" t="inlineStr">
        <is>
          <t>FINSPÅNG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45357</v>
      </c>
      <c r="E642" s="1" t="n">
        <v>46228</v>
      </c>
      <c r="F642" t="inlineStr">
        <is>
          <t>ÖSTERGÖTLANDS LÄN</t>
        </is>
      </c>
      <c r="G642" t="inlineStr">
        <is>
          <t>FINSPÅNG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46228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15952-2023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45022</v>
      </c>
      <c r="E644" s="1" t="n">
        <v>46228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46228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Sveaskog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46228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46228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38964-2022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46228</v>
      </c>
      <c r="F648" t="inlineStr">
        <is>
          <t>ÖSTERGÖTLANDS LÄN</t>
        </is>
      </c>
      <c r="G648" t="inlineStr">
        <is>
          <t>FINSPÅNG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45314</v>
      </c>
      <c r="E649" s="1" t="n">
        <v>46228</v>
      </c>
      <c r="F649" t="inlineStr">
        <is>
          <t>ÖSTERGÖTLANDS LÄN</t>
        </is>
      </c>
      <c r="G649" t="inlineStr">
        <is>
          <t>FINSPÅNG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13768-2026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46228</v>
      </c>
      <c r="F650" t="inlineStr">
        <is>
          <t>ÖSTERGÖTLANDS LÄN</t>
        </is>
      </c>
      <c r="G650" t="inlineStr">
        <is>
          <t>FINSPÅNG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46228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46228</v>
      </c>
      <c r="F652" t="inlineStr">
        <is>
          <t>ÖSTERGÖTLANDS LÄN</t>
        </is>
      </c>
      <c r="G652" t="inlineStr">
        <is>
          <t>FINSPÅNG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46228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46228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Sveaskog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46228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36406-2024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45535</v>
      </c>
      <c r="E656" s="1" t="n">
        <v>46228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Kommuner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14064-2026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46228</v>
      </c>
      <c r="F657" t="inlineStr">
        <is>
          <t>ÖSTERGÖTLANDS LÄN</t>
        </is>
      </c>
      <c r="G657" t="inlineStr">
        <is>
          <t>FINSPÅNG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58367-2023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45250</v>
      </c>
      <c r="E658" s="1" t="n">
        <v>46228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46228</v>
      </c>
      <c r="F659" t="inlineStr">
        <is>
          <t>ÖSTERGÖTLANDS LÄN</t>
        </is>
      </c>
      <c r="G659" t="inlineStr">
        <is>
          <t>FINSPÅNG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46317-2023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46228</v>
      </c>
      <c r="F660" t="inlineStr">
        <is>
          <t>ÖSTERGÖTLANDS LÄN</t>
        </is>
      </c>
      <c r="G660" t="inlineStr">
        <is>
          <t>FINSPÅNG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46228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46228</v>
      </c>
      <c r="F662" t="inlineStr">
        <is>
          <t>ÖSTERGÖTLANDS LÄN</t>
        </is>
      </c>
      <c r="G662" t="inlineStr">
        <is>
          <t>FINSPÅNG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31152-2026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46209</v>
      </c>
      <c r="E663" s="1" t="n">
        <v>46228</v>
      </c>
      <c r="F663" t="inlineStr">
        <is>
          <t>ÖSTERGÖTLANDS LÄN</t>
        </is>
      </c>
      <c r="G663" t="inlineStr">
        <is>
          <t>FINSPÅNG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6731-2023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44966</v>
      </c>
      <c r="E664" s="1" t="n">
        <v>46228</v>
      </c>
      <c r="F664" t="inlineStr">
        <is>
          <t>ÖSTERGÖTLANDS LÄN</t>
        </is>
      </c>
      <c r="G664" t="inlineStr">
        <is>
          <t>FINSPÅNG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44806</v>
      </c>
      <c r="E665" s="1" t="n">
        <v>46228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46218</v>
      </c>
      <c r="E666" s="1" t="n">
        <v>46228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Sveaskog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45113</v>
      </c>
      <c r="E667" s="1" t="n">
        <v>46228</v>
      </c>
      <c r="F667" t="inlineStr">
        <is>
          <t>ÖSTERGÖTLANDS LÄN</t>
        </is>
      </c>
      <c r="G667" t="inlineStr">
        <is>
          <t>FINSPÅNG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46219</v>
      </c>
      <c r="E668" s="1" t="n">
        <v>46228</v>
      </c>
      <c r="F668" t="inlineStr">
        <is>
          <t>ÖSTERGÖTLANDS LÄN</t>
        </is>
      </c>
      <c r="G668" t="inlineStr">
        <is>
          <t>FINSPÅNG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46228</v>
      </c>
      <c r="F669" t="inlineStr">
        <is>
          <t>ÖSTERGÖTLANDS LÄN</t>
        </is>
      </c>
      <c r="G669" t="inlineStr">
        <is>
          <t>FINSPÅNG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46228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46228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46228</v>
      </c>
      <c r="F673" t="inlineStr">
        <is>
          <t>ÖSTERGÖTLANDS LÄN</t>
        </is>
      </c>
      <c r="G673" t="inlineStr">
        <is>
          <t>FINSPÅNG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46228</v>
      </c>
      <c r="F674" t="inlineStr">
        <is>
          <t>ÖSTERGÖTLANDS LÄN</t>
        </is>
      </c>
      <c r="G674" t="inlineStr">
        <is>
          <t>FINSPÅNG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46228</v>
      </c>
      <c r="F675" t="inlineStr">
        <is>
          <t>ÖSTERGÖTLANDS LÄN</t>
        </is>
      </c>
      <c r="G675" t="inlineStr">
        <is>
          <t>FINSPÅNG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46228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46228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46228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46228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46228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44834</v>
      </c>
      <c r="E681" s="1" t="n">
        <v>46228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46228</v>
      </c>
      <c r="F682" t="inlineStr">
        <is>
          <t>ÖSTERGÖTLANDS LÄN</t>
        </is>
      </c>
      <c r="G682" t="inlineStr">
        <is>
          <t>FINSPÅNG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46228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46228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50341-2022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46228</v>
      </c>
      <c r="F685" t="inlineStr">
        <is>
          <t>ÖSTERGÖTLANDS LÄN</t>
        </is>
      </c>
      <c r="G685" t="inlineStr">
        <is>
          <t>FINSPÅNG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46121</v>
      </c>
      <c r="E686" s="1" t="n">
        <v>46228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17769-2026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46228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44953</v>
      </c>
      <c r="E688" s="1" t="n">
        <v>46228</v>
      </c>
      <c r="F688" t="inlineStr">
        <is>
          <t>ÖSTERGÖTLANDS LÄN</t>
        </is>
      </c>
      <c r="G688" t="inlineStr">
        <is>
          <t>FINSPÅNG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42204-2023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45179</v>
      </c>
      <c r="E689" s="1" t="n">
        <v>46228</v>
      </c>
      <c r="F689" t="inlineStr">
        <is>
          <t>ÖSTERGÖTLANDS LÄN</t>
        </is>
      </c>
      <c r="G689" t="inlineStr">
        <is>
          <t>FINSPÅNG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46228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44879</v>
      </c>
      <c r="E691" s="1" t="n">
        <v>46228</v>
      </c>
      <c r="F691" t="inlineStr">
        <is>
          <t>ÖSTERGÖTLANDS LÄN</t>
        </is>
      </c>
      <c r="G691" t="inlineStr">
        <is>
          <t>FINSPÅNG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46228</v>
      </c>
      <c r="F692" t="inlineStr">
        <is>
          <t>ÖSTERGÖTLANDS LÄN</t>
        </is>
      </c>
      <c r="G692" t="inlineStr">
        <is>
          <t>FINSPÅNG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46228</v>
      </c>
      <c r="F693" t="inlineStr">
        <is>
          <t>ÖSTERGÖTLANDS LÄN</t>
        </is>
      </c>
      <c r="G693" t="inlineStr">
        <is>
          <t>FINSPÅNG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46178</v>
      </c>
      <c r="E694" s="1" t="n">
        <v>46228</v>
      </c>
      <c r="F694" t="inlineStr">
        <is>
          <t>ÖSTERGÖTLANDS LÄN</t>
        </is>
      </c>
      <c r="G694" t="inlineStr">
        <is>
          <t>FINSPÅNG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25629-2026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46228</v>
      </c>
      <c r="F695" t="inlineStr">
        <is>
          <t>ÖSTERGÖTLANDS LÄN</t>
        </is>
      </c>
      <c r="G695" t="inlineStr">
        <is>
          <t>FINSPÅNG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45713</v>
      </c>
      <c r="E696" s="1" t="n">
        <v>46228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45735</v>
      </c>
      <c r="E697" s="1" t="n">
        <v>46228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49677-2022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44862</v>
      </c>
      <c r="E698" s="1" t="n">
        <v>46228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9.6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46228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46129</v>
      </c>
      <c r="E700" s="1" t="n">
        <v>46228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56309-2022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44887</v>
      </c>
      <c r="E701" s="1" t="n">
        <v>46228</v>
      </c>
      <c r="F701" t="inlineStr">
        <is>
          <t>ÖSTERGÖTLANDS LÄN</t>
        </is>
      </c>
      <c r="G701" t="inlineStr">
        <is>
          <t>FINSPÅNG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56264-2022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44887</v>
      </c>
      <c r="E702" s="1" t="n">
        <v>46228</v>
      </c>
      <c r="F702" t="inlineStr">
        <is>
          <t>ÖSTERGÖTLANDS LÄN</t>
        </is>
      </c>
      <c r="G702" t="inlineStr">
        <is>
          <t>FINSPÅNG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18657-2024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46228</v>
      </c>
      <c r="F703" t="inlineStr">
        <is>
          <t>ÖSTERGÖTLANDS LÄN</t>
        </is>
      </c>
      <c r="G703" t="inlineStr">
        <is>
          <t>FINSPÅNG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46228</v>
      </c>
      <c r="F704" t="inlineStr">
        <is>
          <t>ÖSTERGÖTLANDS LÄN</t>
        </is>
      </c>
      <c r="G704" t="inlineStr">
        <is>
          <t>FINSPÅNG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44616</v>
      </c>
      <c r="E705" s="1" t="n">
        <v>46228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46225</v>
      </c>
      <c r="E706" s="1" t="n">
        <v>46228</v>
      </c>
      <c r="F706" t="inlineStr">
        <is>
          <t>ÖSTERGÖTLANDS LÄN</t>
        </is>
      </c>
      <c r="G706" t="inlineStr">
        <is>
          <t>FINSPÅNG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46228</v>
      </c>
      <c r="F707" t="inlineStr">
        <is>
          <t>ÖSTERGÖTLANDS LÄN</t>
        </is>
      </c>
      <c r="G707" t="inlineStr">
        <is>
          <t>FINSPÅNG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44995</v>
      </c>
      <c r="E708" s="1" t="n">
        <v>46228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46228</v>
      </c>
      <c r="F709" t="inlineStr">
        <is>
          <t>ÖSTERGÖTLANDS LÄN</t>
        </is>
      </c>
      <c r="G709" t="inlineStr">
        <is>
          <t>FINSPÅNG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46228</v>
      </c>
      <c r="F710" t="inlineStr">
        <is>
          <t>ÖSTERGÖTLANDS LÄN</t>
        </is>
      </c>
      <c r="G710" t="inlineStr">
        <is>
          <t>FINSPÅNG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25943-2026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46228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44813</v>
      </c>
      <c r="E712" s="1" t="n">
        <v>46228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46228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34941-2023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45142</v>
      </c>
      <c r="E714" s="1" t="n">
        <v>46228</v>
      </c>
      <c r="F714" t="inlineStr">
        <is>
          <t>ÖSTERGÖTLANDS LÄN</t>
        </is>
      </c>
      <c r="G714" t="inlineStr">
        <is>
          <t>FINSPÅNG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46228</v>
      </c>
      <c r="F715" t="inlineStr">
        <is>
          <t>ÖSTERGÖTLANDS LÄN</t>
        </is>
      </c>
      <c r="G715" t="inlineStr">
        <is>
          <t>FINSPÅNG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44653</v>
      </c>
      <c r="E716" s="1" t="n">
        <v>46228</v>
      </c>
      <c r="F716" t="inlineStr">
        <is>
          <t>ÖSTERGÖTLANDS LÄN</t>
        </is>
      </c>
      <c r="G716" t="inlineStr">
        <is>
          <t>FINSPÅNG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46226</v>
      </c>
      <c r="E717" s="1" t="n">
        <v>46228</v>
      </c>
      <c r="F717" t="inlineStr">
        <is>
          <t>ÖSTERGÖTLANDS LÄN</t>
        </is>
      </c>
      <c r="G717" t="inlineStr">
        <is>
          <t>FINSPÅNG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46228</v>
      </c>
      <c r="F718" t="inlineStr">
        <is>
          <t>ÖSTERGÖTLANDS LÄN</t>
        </is>
      </c>
      <c r="G718" t="inlineStr">
        <is>
          <t>FINSPÅNG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46228</v>
      </c>
      <c r="F719" t="inlineStr">
        <is>
          <t>ÖSTERGÖTLANDS LÄN</t>
        </is>
      </c>
      <c r="G719" t="inlineStr">
        <is>
          <t>FINSPÅNG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46228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26905-2026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46185</v>
      </c>
      <c r="E721" s="1" t="n">
        <v>46228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48767-2024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45593</v>
      </c>
      <c r="E722" s="1" t="n">
        <v>46228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10420-2023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46228</v>
      </c>
      <c r="F723" t="inlineStr">
        <is>
          <t>ÖSTERGÖTLANDS LÄN</t>
        </is>
      </c>
      <c r="G723" t="inlineStr">
        <is>
          <t>FINSPÅNG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45555</v>
      </c>
      <c r="E724" s="1" t="n">
        <v>46228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46228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46228</v>
      </c>
      <c r="F726" t="inlineStr">
        <is>
          <t>ÖSTERGÖTLANDS LÄN</t>
        </is>
      </c>
      <c r="G726" t="inlineStr">
        <is>
          <t>FINSPÅNG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22579-2024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45447</v>
      </c>
      <c r="E727" s="1" t="n">
        <v>46228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25195-2022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44729</v>
      </c>
      <c r="E728" s="1" t="n">
        <v>46228</v>
      </c>
      <c r="F728" t="inlineStr">
        <is>
          <t>ÖSTERGÖTLANDS LÄN</t>
        </is>
      </c>
      <c r="G728" t="inlineStr">
        <is>
          <t>FINSPÅNG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44844</v>
      </c>
      <c r="E729" s="1" t="n">
        <v>46228</v>
      </c>
      <c r="F729" t="inlineStr">
        <is>
          <t>ÖSTERGÖTLANDS LÄN</t>
        </is>
      </c>
      <c r="G729" t="inlineStr">
        <is>
          <t>FINSPÅNG</t>
        </is>
      </c>
      <c r="I729" t="n">
        <v>16.6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7788-2023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44973</v>
      </c>
      <c r="E730" s="1" t="n">
        <v>46228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46228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45095</v>
      </c>
      <c r="E732" s="1" t="n">
        <v>46228</v>
      </c>
      <c r="F732" t="inlineStr">
        <is>
          <t>ÖSTERGÖTLANDS LÄN</t>
        </is>
      </c>
      <c r="G732" t="inlineStr">
        <is>
          <t>FINSPÅNG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59672-2024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46228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68122-2021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44526</v>
      </c>
      <c r="E734" s="1" t="n">
        <v>46228</v>
      </c>
      <c r="F734" t="inlineStr">
        <is>
          <t>ÖSTERGÖTLANDS LÄN</t>
        </is>
      </c>
      <c r="G734" t="inlineStr">
        <is>
          <t>FINSPÅNG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62158-2022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44922</v>
      </c>
      <c r="E735" s="1" t="n">
        <v>46228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34758-2022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44795</v>
      </c>
      <c r="E736" s="1" t="n">
        <v>46228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45260</v>
      </c>
      <c r="E737" s="1" t="n">
        <v>46228</v>
      </c>
      <c r="F737" t="inlineStr">
        <is>
          <t>ÖSTERGÖTLANDS LÄN</t>
        </is>
      </c>
      <c r="G737" t="inlineStr">
        <is>
          <t>FINSPÅNG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59468-2021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44491</v>
      </c>
      <c r="E738" s="1" t="n">
        <v>46228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18306-2023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45041</v>
      </c>
      <c r="E739" s="1" t="n">
        <v>46228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Naturvårdsverket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46228</v>
      </c>
      <c r="F740" t="inlineStr">
        <is>
          <t>ÖSTERGÖTLANDS LÄN</t>
        </is>
      </c>
      <c r="G740" t="inlineStr">
        <is>
          <t>FINSPÅNG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51610-2022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44871</v>
      </c>
      <c r="E741" s="1" t="n">
        <v>46228</v>
      </c>
      <c r="F741" t="inlineStr">
        <is>
          <t>ÖSTERGÖTLANDS LÄN</t>
        </is>
      </c>
      <c r="G741" t="inlineStr">
        <is>
          <t>FINSPÅNG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46228</v>
      </c>
      <c r="F742" t="inlineStr">
        <is>
          <t>ÖSTERGÖTLANDS LÄN</t>
        </is>
      </c>
      <c r="G742" t="inlineStr">
        <is>
          <t>FINSPÅNG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5336-2025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45692</v>
      </c>
      <c r="E743" s="1" t="n">
        <v>46228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22354-2023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46228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47224-2023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45202</v>
      </c>
      <c r="E745" s="1" t="n">
        <v>46228</v>
      </c>
      <c r="F745" t="inlineStr">
        <is>
          <t>ÖSTERGÖTLANDS LÄN</t>
        </is>
      </c>
      <c r="G745" t="inlineStr">
        <is>
          <t>FINSPÅNG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6527-2023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44966</v>
      </c>
      <c r="E746" s="1" t="n">
        <v>46228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4071-2024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46228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6575-2024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45341</v>
      </c>
      <c r="E748" s="1" t="n">
        <v>46228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Övriga Aktiebolag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73260-2021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44550</v>
      </c>
      <c r="E749" s="1" t="n">
        <v>46228</v>
      </c>
      <c r="F749" t="inlineStr">
        <is>
          <t>ÖSTERGÖTLANDS LÄN</t>
        </is>
      </c>
      <c r="G749" t="inlineStr">
        <is>
          <t>FINSPÅNG</t>
        </is>
      </c>
      <c r="I749" t="n">
        <v>10.3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42705-2024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46228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46228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55612-2021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44476</v>
      </c>
      <c r="E752" s="1" t="n">
        <v>46228</v>
      </c>
      <c r="F752" t="inlineStr">
        <is>
          <t>ÖSTERGÖTLANDS LÄN</t>
        </is>
      </c>
      <c r="G752" t="inlineStr">
        <is>
          <t>FINSPÅNG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21517-2024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45441</v>
      </c>
      <c r="E753" s="1" t="n">
        <v>46228</v>
      </c>
      <c r="F753" t="inlineStr">
        <is>
          <t>ÖSTERGÖTLANDS LÄN</t>
        </is>
      </c>
      <c r="G753" t="inlineStr">
        <is>
          <t>FINSPÅNG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45374</v>
      </c>
      <c r="E754" s="1" t="n">
        <v>46228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Kyrkan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13821-2024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45391</v>
      </c>
      <c r="E755" s="1" t="n">
        <v>46228</v>
      </c>
      <c r="F755" t="inlineStr">
        <is>
          <t>ÖSTERGÖTLANDS LÄN</t>
        </is>
      </c>
      <c r="G755" t="inlineStr">
        <is>
          <t>FINSPÅNG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44981</v>
      </c>
      <c r="E756" s="1" t="n">
        <v>46228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17557-2022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44679</v>
      </c>
      <c r="E757" s="1" t="n">
        <v>46228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Övriga Aktiebolag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45293</v>
      </c>
      <c r="E758" s="1" t="n">
        <v>46228</v>
      </c>
      <c r="F758" t="inlineStr">
        <is>
          <t>ÖSTERGÖTLANDS LÄN</t>
        </is>
      </c>
      <c r="G758" t="inlineStr">
        <is>
          <t>FINSPÅNG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40296-2024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45554</v>
      </c>
      <c r="E759" s="1" t="n">
        <v>46228</v>
      </c>
      <c r="F759" t="inlineStr">
        <is>
          <t>ÖSTERGÖTLANDS LÄN</t>
        </is>
      </c>
      <c r="G759" t="inlineStr">
        <is>
          <t>FINSPÅNG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45214</v>
      </c>
      <c r="E760" s="1" t="n">
        <v>46228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32431-2023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45110</v>
      </c>
      <c r="E761" s="1" t="n">
        <v>46228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45660</v>
      </c>
      <c r="E762" s="1" t="n">
        <v>46228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45735</v>
      </c>
      <c r="E763" s="1" t="n">
        <v>46228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32795-2024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45516</v>
      </c>
      <c r="E764" s="1" t="n">
        <v>46228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Kommuner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46228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46228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46228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46228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18488-2025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45763</v>
      </c>
      <c r="E769" s="1" t="n">
        <v>46228</v>
      </c>
      <c r="F769" t="inlineStr">
        <is>
          <t>ÖSTERGÖTLANDS LÄN</t>
        </is>
      </c>
      <c r="G769" t="inlineStr">
        <is>
          <t>FINSPÅNG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73655-2021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44551</v>
      </c>
      <c r="E770" s="1" t="n">
        <v>46228</v>
      </c>
      <c r="F770" t="inlineStr">
        <is>
          <t>ÖSTERGÖTLANDS LÄN</t>
        </is>
      </c>
      <c r="G770" t="inlineStr">
        <is>
          <t>FINSPÅNG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43051-2022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44833</v>
      </c>
      <c r="E771" s="1" t="n">
        <v>46228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28558-2023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45103</v>
      </c>
      <c r="E772" s="1" t="n">
        <v>46228</v>
      </c>
      <c r="F772" t="inlineStr">
        <is>
          <t>ÖSTERGÖTLANDS LÄN</t>
        </is>
      </c>
      <c r="G772" t="inlineStr">
        <is>
          <t>FINSPÅNG</t>
        </is>
      </c>
      <c r="I772" t="n">
        <v>11.1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54916-2024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45618</v>
      </c>
      <c r="E773" s="1" t="n">
        <v>46228</v>
      </c>
      <c r="F773" t="inlineStr">
        <is>
          <t>ÖSTERGÖTLANDS LÄN</t>
        </is>
      </c>
      <c r="G773" t="inlineStr">
        <is>
          <t>FINSPÅNG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59702-2024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45639</v>
      </c>
      <c r="E774" s="1" t="n">
        <v>46228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45299</v>
      </c>
      <c r="E775" s="1" t="n">
        <v>46228</v>
      </c>
      <c r="F775" t="inlineStr">
        <is>
          <t>ÖSTERGÖTLANDS LÄN</t>
        </is>
      </c>
      <c r="G775" t="inlineStr">
        <is>
          <t>FINSPÅNG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46228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44714</v>
      </c>
      <c r="E777" s="1" t="n">
        <v>46228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10215-2022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44622</v>
      </c>
      <c r="E778" s="1" t="n">
        <v>46228</v>
      </c>
      <c r="F778" t="inlineStr">
        <is>
          <t>ÖSTERGÖTLANDS LÄN</t>
        </is>
      </c>
      <c r="G778" t="inlineStr">
        <is>
          <t>FINSPÅNG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54299-2023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45232</v>
      </c>
      <c r="E779" s="1" t="n">
        <v>46228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56288-2022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44887</v>
      </c>
      <c r="E780" s="1" t="n">
        <v>46228</v>
      </c>
      <c r="F780" t="inlineStr">
        <is>
          <t>ÖSTERGÖTLANDS LÄN</t>
        </is>
      </c>
      <c r="G780" t="inlineStr">
        <is>
          <t>FINSPÅNG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18356-2024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45422</v>
      </c>
      <c r="E781" s="1" t="n">
        <v>46228</v>
      </c>
      <c r="F781" t="inlineStr">
        <is>
          <t>ÖSTERGÖTLANDS LÄN</t>
        </is>
      </c>
      <c r="G781" t="inlineStr">
        <is>
          <t>FINSPÅNG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10206-2022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44622</v>
      </c>
      <c r="E782" s="1" t="n">
        <v>46228</v>
      </c>
      <c r="F782" t="inlineStr">
        <is>
          <t>ÖSTERGÖTLANDS LÄN</t>
        </is>
      </c>
      <c r="G782" t="inlineStr">
        <is>
          <t>FINSPÅNG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45314-2023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45191</v>
      </c>
      <c r="E783" s="1" t="n">
        <v>46228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44595</v>
      </c>
      <c r="E784" s="1" t="n">
        <v>46228</v>
      </c>
      <c r="F784" t="inlineStr">
        <is>
          <t>ÖSTERGÖTLANDS LÄN</t>
        </is>
      </c>
      <c r="G784" t="inlineStr">
        <is>
          <t>FINSPÅNG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46228</v>
      </c>
      <c r="F785" t="inlineStr">
        <is>
          <t>ÖSTERGÖTLANDS LÄN</t>
        </is>
      </c>
      <c r="G785" t="inlineStr">
        <is>
          <t>FINSPÅNG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2047-2024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45308</v>
      </c>
      <c r="E786" s="1" t="n">
        <v>46228</v>
      </c>
      <c r="F786" t="inlineStr">
        <is>
          <t>ÖSTERGÖTLANDS LÄN</t>
        </is>
      </c>
      <c r="G786" t="inlineStr">
        <is>
          <t>FINSPÅNG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46228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53670-2024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46228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36110-2023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45149</v>
      </c>
      <c r="E789" s="1" t="n">
        <v>46228</v>
      </c>
      <c r="F789" t="inlineStr">
        <is>
          <t>ÖSTERGÖTLANDS LÄN</t>
        </is>
      </c>
      <c r="G789" t="inlineStr">
        <is>
          <t>FINSPÅNG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18349-2025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46228</v>
      </c>
      <c r="F790" t="inlineStr">
        <is>
          <t>ÖSTERGÖTLANDS LÄN</t>
        </is>
      </c>
      <c r="G790" t="inlineStr">
        <is>
          <t>FINSPÅNG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39358-2022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44817</v>
      </c>
      <c r="E791" s="1" t="n">
        <v>46228</v>
      </c>
      <c r="F791" t="inlineStr">
        <is>
          <t>ÖSTERGÖTLANDS LÄN</t>
        </is>
      </c>
      <c r="G791" t="inlineStr">
        <is>
          <t>FINSPÅNG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46228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45622</v>
      </c>
      <c r="E793" s="1" t="n">
        <v>46228</v>
      </c>
      <c r="F793" t="inlineStr">
        <is>
          <t>ÖSTERGÖTLANDS LÄN</t>
        </is>
      </c>
      <c r="G793" t="inlineStr">
        <is>
          <t>FINSPÅNG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40065-2024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45554</v>
      </c>
      <c r="E794" s="1" t="n">
        <v>46228</v>
      </c>
      <c r="F794" t="inlineStr">
        <is>
          <t>ÖSTERGÖTLANDS LÄN</t>
        </is>
      </c>
      <c r="G794" t="inlineStr">
        <is>
          <t>FINSPÅNG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45095</v>
      </c>
      <c r="E795" s="1" t="n">
        <v>46228</v>
      </c>
      <c r="F795" t="inlineStr">
        <is>
          <t>ÖSTERGÖTLANDS LÄN</t>
        </is>
      </c>
      <c r="G795" t="inlineStr">
        <is>
          <t>FINSPÅNG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46228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63585-2023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45275</v>
      </c>
      <c r="E797" s="1" t="n">
        <v>46228</v>
      </c>
      <c r="F797" t="inlineStr">
        <is>
          <t>ÖSTERGÖTLANDS LÄN</t>
        </is>
      </c>
      <c r="G797" t="inlineStr">
        <is>
          <t>FINSPÅNG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44564</v>
      </c>
      <c r="E798" s="1" t="n">
        <v>46228</v>
      </c>
      <c r="F798" t="inlineStr">
        <is>
          <t>ÖSTERGÖTLANDS LÄN</t>
        </is>
      </c>
      <c r="G798" t="inlineStr">
        <is>
          <t>FINSPÅNG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46228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Naturvårdsverket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45407</v>
      </c>
      <c r="E800" s="1" t="n">
        <v>46228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46228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47836-2021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44448</v>
      </c>
      <c r="E802" s="1" t="n">
        <v>46228</v>
      </c>
      <c r="F802" t="inlineStr">
        <is>
          <t>ÖSTERGÖTLANDS LÄN</t>
        </is>
      </c>
      <c r="G802" t="inlineStr">
        <is>
          <t>FINSPÅNG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59777-2023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45257</v>
      </c>
      <c r="E803" s="1" t="n">
        <v>46228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59827-2023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46228</v>
      </c>
      <c r="F804" t="inlineStr">
        <is>
          <t>ÖSTERGÖTLANDS LÄN</t>
        </is>
      </c>
      <c r="G804" t="inlineStr">
        <is>
          <t>FINSPÅNG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46228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46228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42699-2024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46228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46228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13457-2025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45736</v>
      </c>
      <c r="E809" s="1" t="n">
        <v>46228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60249-2024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45642</v>
      </c>
      <c r="E810" s="1" t="n">
        <v>46228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46228</v>
      </c>
      <c r="F811" t="inlineStr">
        <is>
          <t>ÖSTERGÖTLANDS LÄN</t>
        </is>
      </c>
      <c r="G811" t="inlineStr">
        <is>
          <t>FINSPÅNG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45530</v>
      </c>
      <c r="E812" s="1" t="n">
        <v>46228</v>
      </c>
      <c r="F812" t="inlineStr">
        <is>
          <t>ÖSTERGÖTLANDS LÄN</t>
        </is>
      </c>
      <c r="G812" t="inlineStr">
        <is>
          <t>FINSPÅNG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46228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Kyrkan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46228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46228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24328-2025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46228</v>
      </c>
      <c r="F816" t="inlineStr">
        <is>
          <t>ÖSTERGÖTLANDS LÄN</t>
        </is>
      </c>
      <c r="G816" t="inlineStr">
        <is>
          <t>FINSPÅNG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45797</v>
      </c>
      <c r="E817" s="1" t="n">
        <v>46228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24021-2025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45796</v>
      </c>
      <c r="E818" s="1" t="n">
        <v>46228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Naturvårdsverket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24310-2025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45797</v>
      </c>
      <c r="E819" s="1" t="n">
        <v>46228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46228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45702</v>
      </c>
      <c r="E821" s="1" t="n">
        <v>46228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46228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46228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25306-2025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46228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46228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46228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8.199999999999999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45812</v>
      </c>
      <c r="E827" s="1" t="n">
        <v>46228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45812</v>
      </c>
      <c r="E828" s="1" t="n">
        <v>46228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27192-2025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45812</v>
      </c>
      <c r="E829" s="1" t="n">
        <v>46228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45817</v>
      </c>
      <c r="E830" s="1" t="n">
        <v>46228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7.5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27890-2025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46228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45639</v>
      </c>
      <c r="E832" s="1" t="n">
        <v>46228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46228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28491-2025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45819</v>
      </c>
      <c r="E834" s="1" t="n">
        <v>46228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28508-2025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46228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28792-2025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45820</v>
      </c>
      <c r="E836" s="1" t="n">
        <v>46228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46228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29419-2025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45824</v>
      </c>
      <c r="E838" s="1" t="n">
        <v>46228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29454-2025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46228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29430-2025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45824</v>
      </c>
      <c r="E840" s="1" t="n">
        <v>46228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32246-2025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45835</v>
      </c>
      <c r="E841" s="1" t="n">
        <v>46228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45840</v>
      </c>
      <c r="E842" s="1" t="n">
        <v>46228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46228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34309-2025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45846</v>
      </c>
      <c r="E844" s="1" t="n">
        <v>46228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20831-2025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45776</v>
      </c>
      <c r="E845" s="1" t="n">
        <v>46228</v>
      </c>
      <c r="F845" t="inlineStr">
        <is>
          <t>ÖSTERGÖTLANDS LÄN</t>
        </is>
      </c>
      <c r="G845" t="inlineStr">
        <is>
          <t>FINSPÅNG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35375-2025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45854</v>
      </c>
      <c r="E846" s="1" t="n">
        <v>46228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35374-2025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45854</v>
      </c>
      <c r="E847" s="1" t="n">
        <v>46228</v>
      </c>
      <c r="F847" t="inlineStr">
        <is>
          <t>ÖSTERGÖTLANDS LÄN</t>
        </is>
      </c>
      <c r="G847" t="inlineStr">
        <is>
          <t>FINSPÅNG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35279-2025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45853</v>
      </c>
      <c r="E848" s="1" t="n">
        <v>46228</v>
      </c>
      <c r="F848" t="inlineStr">
        <is>
          <t>ÖSTERGÖTLANDS LÄN</t>
        </is>
      </c>
      <c r="G848" t="inlineStr">
        <is>
          <t>FINSPÅNG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35492-2025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45855</v>
      </c>
      <c r="E849" s="1" t="n">
        <v>46228</v>
      </c>
      <c r="F849" t="inlineStr">
        <is>
          <t>ÖSTERGÖTLANDS LÄN</t>
        </is>
      </c>
      <c r="G849" t="inlineStr">
        <is>
          <t>FINSPÅNG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33997-2024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46228</v>
      </c>
      <c r="F850" t="inlineStr">
        <is>
          <t>ÖSTERGÖTLANDS LÄN</t>
        </is>
      </c>
      <c r="G850" t="inlineStr">
        <is>
          <t>FINSPÅNG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35970-2025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45863</v>
      </c>
      <c r="E851" s="1" t="n">
        <v>46228</v>
      </c>
      <c r="F851" t="inlineStr">
        <is>
          <t>ÖSTERGÖTLANDS LÄN</t>
        </is>
      </c>
      <c r="G851" t="inlineStr">
        <is>
          <t>FINSPÅNG</t>
        </is>
      </c>
      <c r="I851" t="n">
        <v>22.6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31043-2025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45831</v>
      </c>
      <c r="E852" s="1" t="n">
        <v>46228</v>
      </c>
      <c r="F852" t="inlineStr">
        <is>
          <t>ÖSTERGÖTLANDS LÄN</t>
        </is>
      </c>
      <c r="G852" t="inlineStr">
        <is>
          <t>FINSPÅNG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36592-2025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45870</v>
      </c>
      <c r="E853" s="1" t="n">
        <v>46228</v>
      </c>
      <c r="F853" t="inlineStr">
        <is>
          <t>ÖSTERGÖTLANDS LÄN</t>
        </is>
      </c>
      <c r="G853" t="inlineStr">
        <is>
          <t>FINSPÅNG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5129-2024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45644</v>
      </c>
      <c r="E854" s="1" t="n">
        <v>46228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1605-2024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45428</v>
      </c>
      <c r="E855" s="1" t="n">
        <v>46228</v>
      </c>
      <c r="F855" t="inlineStr">
        <is>
          <t>ÖSTERGÖTLANDS LÄN</t>
        </is>
      </c>
      <c r="G855" t="inlineStr">
        <is>
          <t>FINSPÅNG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1637-2024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45429</v>
      </c>
      <c r="E856" s="1" t="n">
        <v>46228</v>
      </c>
      <c r="F856" t="inlineStr">
        <is>
          <t>ÖSTERGÖTLANDS LÄN</t>
        </is>
      </c>
      <c r="G856" t="inlineStr">
        <is>
          <t>FINSPÅNG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4163-2023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45250</v>
      </c>
      <c r="E857" s="1" t="n">
        <v>46228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4854-2021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44413</v>
      </c>
      <c r="E858" s="1" t="n">
        <v>46228</v>
      </c>
      <c r="F858" t="inlineStr">
        <is>
          <t>ÖSTERGÖTLANDS LÄN</t>
        </is>
      </c>
      <c r="G858" t="inlineStr">
        <is>
          <t>FINSPÅNG</t>
        </is>
      </c>
      <c r="I858" t="n">
        <v>0.1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1759-2026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46188</v>
      </c>
      <c r="E859" s="1" t="n">
        <v>46228</v>
      </c>
      <c r="F859" t="inlineStr">
        <is>
          <t>ÖSTERGÖTLANDS LÄN</t>
        </is>
      </c>
      <c r="G859" t="inlineStr">
        <is>
          <t>FINSPÅNG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2026-07-25T01:54:13Z</dcterms:created>
  <dcterms:modified xmlns:dcterms="http://purl.org/dc/terms/" xmlns:xsi="http://www.w3.org/2001/XMLSchema-instance" xsi:type="dcterms:W3CDTF">2026-07-25T01:54:14Z</dcterms:modified>
</cp:coreProperties>
</file>