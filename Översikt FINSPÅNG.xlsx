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46305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46305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46305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46305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46305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46305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46305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46305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46305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46305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46305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46305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46305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46305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8</v>
      </c>
      <c r="U23" t="n">
        <v>6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28464-2025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46305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1.8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7</v>
      </c>
      <c r="U24" t="n">
        <v>7</v>
      </c>
      <c r="V24" s="2" t="inlineStr">
        <is>
          <t>Dropptaggsvamp
Tallticka
Spillkråka</t>
        </is>
      </c>
      <c r="W24">
        <f>HYPERLINK("https://klasma.github.io/Logging_0562/artfynd/A 28464-2025 artfynd.xlsx", "A 28464-2025")</f>
        <v/>
      </c>
      <c r="X24">
        <f>HYPERLINK("https://klasma.github.io/Logging_0562/kartor/A 28464-2025 karta.png", "A 28464-2025")</f>
        <v/>
      </c>
      <c r="Y24">
        <f>HYPERLINK("https://klasma.github.io/Logging_0562/kartor_geotiff/A 28464-2025 georefererad karta.tif", "A 28464-2025")</f>
        <v/>
      </c>
      <c r="AA24">
        <f>HYPERLINK("https://klasma.github.io/Logging_0562/klagomål/A 28464-2025 FSC-klagomål.docx", "A 28464-2025")</f>
        <v/>
      </c>
      <c r="AB24">
        <f>HYPERLINK("https://klasma.github.io/Logging_0562/klagomålsmail/A 28464-2025 FSC-klagomål mail.docx", "A 28464-2025")</f>
        <v/>
      </c>
      <c r="AC24">
        <f>HYPERLINK("https://klasma.github.io/Logging_0562/tillsyn/A 28464-2025 tillsynsbegäran.docx", "A 28464-2025")</f>
        <v/>
      </c>
      <c r="AD24">
        <f>HYPERLINK("https://klasma.github.io/Logging_0562/tillsynsmail/A 28464-2025 tillsynsbegäran mail.docx", "A 28464-2025")</f>
        <v/>
      </c>
      <c r="AE24">
        <f>HYPERLINK("https://klasma.github.io/Logging_0562/fåglar/A 28464-2025 prioriterade fågelarter.docx", "A 28464-2025")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46305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46305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46305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46305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46305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9412-2023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44981</v>
      </c>
      <c r="E31" s="1" t="n">
        <v>46305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Bronshjon
Fläcknycklar</t>
        </is>
      </c>
      <c r="W31">
        <f>HYPERLINK("https://klasma.github.io/Logging_0562/artfynd/A 9412-2023 artfynd.xlsx", "A 9412-2023")</f>
        <v/>
      </c>
      <c r="X31">
        <f>HYPERLINK("https://klasma.github.io/Logging_0562/kartor/A 9412-2023 karta.png", "A 9412-2023")</f>
        <v/>
      </c>
      <c r="Y31">
        <f>HYPERLINK("https://klasma.github.io/Logging_0562/kartor_geotiff/A 9412-2023 georefererad karta.tif", "A 9412-2023")</f>
        <v/>
      </c>
      <c r="AA31">
        <f>HYPERLINK("https://klasma.github.io/Logging_0562/klagomål/A 9412-2023 FSC-klagomål.docx", "A 9412-2023")</f>
        <v/>
      </c>
      <c r="AB31">
        <f>HYPERLINK("https://klasma.github.io/Logging_0562/klagomålsmail/A 9412-2023 FSC-klagomål mail.docx", "A 9412-2023")</f>
        <v/>
      </c>
      <c r="AC31">
        <f>HYPERLINK("https://klasma.github.io/Logging_0562/tillsyn/A 9412-2023 tillsynsbegäran.docx", "A 9412-2023")</f>
        <v/>
      </c>
      <c r="AD31">
        <f>HYPERLINK("https://klasma.github.io/Logging_0562/tillsynsmail/A 9412-2023 tillsynsbegäran mail.docx", "A 9412-2023")</f>
        <v/>
      </c>
    </row>
    <row r="32" ht="15" customHeight="1">
      <c r="A32" t="inlineStr">
        <is>
          <t>A 58806-2022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44903</v>
      </c>
      <c r="E32" s="1" t="n">
        <v>46305</v>
      </c>
      <c r="F32" t="inlineStr">
        <is>
          <t>ÖSTERGÖTLANDS LÄN</t>
        </is>
      </c>
      <c r="G32" t="inlineStr">
        <is>
          <t>FINSPÅNG</t>
        </is>
      </c>
      <c r="I32" t="n">
        <v>3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Flagellkvastmossa</t>
        </is>
      </c>
      <c r="W32">
        <f>HYPERLINK("https://klasma.github.io/Logging_0562/artfynd/A 58806-2022 artfynd.xlsx", "A 58806-2022")</f>
        <v/>
      </c>
      <c r="X32">
        <f>HYPERLINK("https://klasma.github.io/Logging_0562/kartor/A 58806-2022 karta.png", "A 58806-2022")</f>
        <v/>
      </c>
      <c r="Y32">
        <f>HYPERLINK("https://klasma.github.io/Logging_0562/kartor_geotiff/A 58806-2022 georefererad karta.tif", "A 58806-2022")</f>
        <v/>
      </c>
      <c r="Z32">
        <f>HYPERLINK("https://klasma.github.io/Logging_0562/knärot/A 58806-2022 karta knärot.png", "A 58806-2022")</f>
        <v/>
      </c>
      <c r="AA32">
        <f>HYPERLINK("https://klasma.github.io/Logging_0562/klagomål/A 58806-2022 FSC-klagomål.docx", "A 58806-2022")</f>
        <v/>
      </c>
      <c r="AB32">
        <f>HYPERLINK("https://klasma.github.io/Logging_0562/klagomålsmail/A 58806-2022 FSC-klagomål mail.docx", "A 58806-2022")</f>
        <v/>
      </c>
      <c r="AC32">
        <f>HYPERLINK("https://klasma.github.io/Logging_0562/tillsyn/A 58806-2022 tillsynsbegäran.docx", "A 58806-2022")</f>
        <v/>
      </c>
      <c r="AD32">
        <f>HYPERLINK("https://klasma.github.io/Logging_0562/tillsynsmail/A 58806-2022 tillsynsbegäran mail.docx", "A 58806-2022")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46305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46305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46305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46305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40002-2025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46305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taggsvamp
Orre</t>
        </is>
      </c>
      <c r="W37">
        <f>HYPERLINK("https://klasma.github.io/Logging_0562/artfynd/A 40002-2025 artfynd.xlsx", "A 40002-2025")</f>
        <v/>
      </c>
      <c r="X37">
        <f>HYPERLINK("https://klasma.github.io/Logging_0562/kartor/A 40002-2025 karta.png", "A 40002-2025")</f>
        <v/>
      </c>
      <c r="Y37">
        <f>HYPERLINK("https://klasma.github.io/Logging_0562/kartor_geotiff/A 40002-2025 georefererad karta.tif", "A 40002-2025")</f>
        <v/>
      </c>
      <c r="AA37">
        <f>HYPERLINK("https://klasma.github.io/Logging_0562/klagomål/A 40002-2025 FSC-klagomål.docx", "A 40002-2025")</f>
        <v/>
      </c>
      <c r="AB37">
        <f>HYPERLINK("https://klasma.github.io/Logging_0562/klagomålsmail/A 40002-2025 FSC-klagomål mail.docx", "A 40002-2025")</f>
        <v/>
      </c>
      <c r="AC37">
        <f>HYPERLINK("https://klasma.github.io/Logging_0562/tillsyn/A 40002-2025 tillsynsbegäran.docx", "A 40002-2025")</f>
        <v/>
      </c>
      <c r="AD37">
        <f>HYPERLINK("https://klasma.github.io/Logging_0562/tillsynsmail/A 40002-2025 tillsynsbegäran mail.docx", "A 40002-2025")</f>
        <v/>
      </c>
      <c r="AE37">
        <f>HYPERLINK("https://klasma.github.io/Logging_0562/fåglar/A 40002-2025 prioriterade fågelarter.docx", "A 40002-2025")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46305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46305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Tallticka
Blompraktbagge</t>
        </is>
      </c>
      <c r="W39">
        <f>HYPERLINK("https://klasma.github.io/Logging_0562/artfynd/A 21566-2024 artfynd.xlsx", "A 21566-2024")</f>
        <v/>
      </c>
      <c r="X39">
        <f>HYPERLINK("https://klasma.github.io/Logging_0562/kartor/A 21566-2024 karta.png", "A 21566-2024")</f>
        <v/>
      </c>
      <c r="Y39">
        <f>HYPERLINK("https://klasma.github.io/Logging_0562/kartor_geotiff/A 21566-2024 georefererad karta.tif", "A 21566-2024")</f>
        <v/>
      </c>
      <c r="AA39">
        <f>HYPERLINK("https://klasma.github.io/Logging_0562/klagomål/A 21566-2024 FSC-klagomål.docx", "A 21566-2024")</f>
        <v/>
      </c>
      <c r="AB39">
        <f>HYPERLINK("https://klasma.github.io/Logging_0562/klagomålsmail/A 21566-2024 FSC-klagomål mail.docx", "A 21566-2024")</f>
        <v/>
      </c>
      <c r="AC39">
        <f>HYPERLINK("https://klasma.github.io/Logging_0562/tillsyn/A 21566-2024 tillsynsbegäran.docx", "A 21566-2024")</f>
        <v/>
      </c>
      <c r="AD39">
        <f>HYPERLINK("https://klasma.github.io/Logging_0562/tillsynsmail/A 21566-2024 tillsynsbegäran mail.docx", "A 21566-2024")</f>
        <v/>
      </c>
    </row>
    <row r="40" ht="15" customHeight="1">
      <c r="A40" t="inlineStr">
        <is>
          <t>A 51549-2025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45950</v>
      </c>
      <c r="E40" s="1" t="n">
        <v>46305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Övriga Aktiebolag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Svedjenäva
Mattlummer</t>
        </is>
      </c>
      <c r="W40">
        <f>HYPERLINK("https://klasma.github.io/Logging_0562/artfynd/A 51549-2025 artfynd.xlsx", "A 51549-2025")</f>
        <v/>
      </c>
      <c r="X40">
        <f>HYPERLINK("https://klasma.github.io/Logging_0562/kartor/A 51549-2025 karta.png", "A 51549-2025")</f>
        <v/>
      </c>
      <c r="Y40">
        <f>HYPERLINK("https://klasma.github.io/Logging_0562/kartor_geotiff/A 51549-2025 georefererad karta.tif", "A 51549-2025")</f>
        <v/>
      </c>
      <c r="AA40">
        <f>HYPERLINK("https://klasma.github.io/Logging_0562/klagomål/A 51549-2025 FSC-klagomål.docx", "A 51549-2025")</f>
        <v/>
      </c>
      <c r="AB40">
        <f>HYPERLINK("https://klasma.github.io/Logging_0562/klagomålsmail/A 51549-2025 FSC-klagomål mail.docx", "A 51549-2025")</f>
        <v/>
      </c>
      <c r="AC40">
        <f>HYPERLINK("https://klasma.github.io/Logging_0562/tillsyn/A 51549-2025 tillsynsbegäran.docx", "A 51549-2025")</f>
        <v/>
      </c>
      <c r="AD40">
        <f>HYPERLINK("https://klasma.github.io/Logging_0562/tillsynsmail/A 51549-2025 tillsynsbegäran mail.docx", "A 51549-2025")</f>
        <v/>
      </c>
    </row>
    <row r="41" ht="15" customHeight="1">
      <c r="A41" t="inlineStr">
        <is>
          <t>A 60890-2024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46305</v>
      </c>
      <c r="F41" t="inlineStr">
        <is>
          <t>ÖSTERGÖTLANDS LÄN</t>
        </is>
      </c>
      <c r="G41" t="inlineStr">
        <is>
          <t>FINSPÅNG</t>
        </is>
      </c>
      <c r="I41" t="n">
        <v>2.2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Fläcknycklar
Grönvit nattviol</t>
        </is>
      </c>
      <c r="W41">
        <f>HYPERLINK("https://klasma.github.io/Logging_0562/artfynd/A 60890-2024 artfynd.xlsx", "A 60890-2024")</f>
        <v/>
      </c>
      <c r="X41">
        <f>HYPERLINK("https://klasma.github.io/Logging_0562/kartor/A 60890-2024 karta.png", "A 60890-2024")</f>
        <v/>
      </c>
      <c r="Y41">
        <f>HYPERLINK("https://klasma.github.io/Logging_0562/kartor_geotiff/A 60890-2024 georefererad karta.tif", "A 60890-2024")</f>
        <v/>
      </c>
      <c r="AA41">
        <f>HYPERLINK("https://klasma.github.io/Logging_0562/klagomål/A 60890-2024 FSC-klagomål.docx", "A 60890-2024")</f>
        <v/>
      </c>
      <c r="AB41">
        <f>HYPERLINK("https://klasma.github.io/Logging_0562/klagomålsmail/A 60890-2024 FSC-klagomål mail.docx", "A 60890-2024")</f>
        <v/>
      </c>
      <c r="AC41">
        <f>HYPERLINK("https://klasma.github.io/Logging_0562/tillsyn/A 60890-2024 tillsynsbegäran.docx", "A 60890-2024")</f>
        <v/>
      </c>
      <c r="AD41">
        <f>HYPERLINK("https://klasma.github.io/Logging_0562/tillsynsmail/A 60890-2024 tillsynsbegäran mail.docx", "A 60890-2024")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46305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Blåmossa
Bronshjon</t>
        </is>
      </c>
      <c r="W42">
        <f>HYPERLINK("https://klasma.github.io/Logging_0562/artfynd/A 54654-2023 artfynd.xlsx", "A 54654-2023")</f>
        <v/>
      </c>
      <c r="X42">
        <f>HYPERLINK("https://klasma.github.io/Logging_0562/kartor/A 54654-2023 karta.png", "A 54654-2023")</f>
        <v/>
      </c>
      <c r="Y42">
        <f>HYPERLINK("https://klasma.github.io/Logging_0562/kartor_geotiff/A 54654-2023 georefererad karta.tif", "A 54654-2023")</f>
        <v/>
      </c>
      <c r="AA42">
        <f>HYPERLINK("https://klasma.github.io/Logging_0562/klagomål/A 54654-2023 FSC-klagomål.docx", "A 54654-2023")</f>
        <v/>
      </c>
      <c r="AB42">
        <f>HYPERLINK("https://klasma.github.io/Logging_0562/klagomålsmail/A 54654-2023 FSC-klagomål mail.docx", "A 54654-2023")</f>
        <v/>
      </c>
      <c r="AC42">
        <f>HYPERLINK("https://klasma.github.io/Logging_0562/tillsyn/A 54654-2023 tillsynsbegäran.docx", "A 54654-2023")</f>
        <v/>
      </c>
      <c r="AD42">
        <f>HYPERLINK("https://klasma.github.io/Logging_0562/tillsynsmail/A 54654-2023 tillsynsbegäran mail.docx", "A 54654-2023")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46305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46305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46305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S 7749-2021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44480</v>
      </c>
      <c r="E46" s="1" t="n">
        <v>46305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Lopplummer (aggregat)
Revlummer</t>
        </is>
      </c>
      <c r="W46">
        <f>HYPERLINK("https://klasma.github.io/Logging_0562/artfynd/S 7749-2021 artfynd.xlsx", "S 7749-2021")</f>
        <v/>
      </c>
      <c r="X46">
        <f>HYPERLINK("https://klasma.github.io/Logging_0562/kartor/S 7749-2021 karta.png", "S 7749-2021")</f>
        <v/>
      </c>
      <c r="Y46">
        <f>HYPERLINK("https://klasma.github.io/Logging_0562/kartor_geotiff/S 7749-2021 georefererad karta.tif", "S 7749-2021")</f>
        <v/>
      </c>
      <c r="AA46">
        <f>HYPERLINK("https://klasma.github.io/Logging_0562/klagomål/S 7749-2021 FSC-klagomål.docx", "S 7749-2021")</f>
        <v/>
      </c>
      <c r="AB46">
        <f>HYPERLINK("https://klasma.github.io/Logging_0562/klagomålsmail/S 7749-2021 FSC-klagomål mail.docx", "S 7749-2021")</f>
        <v/>
      </c>
      <c r="AC46">
        <f>HYPERLINK("https://klasma.github.io/Logging_0562/tillsyn/S 7749-2021 tillsynsbegäran.docx", "S 7749-2021")</f>
        <v/>
      </c>
      <c r="AD46">
        <f>HYPERLINK("https://klasma.github.io/Logging_0562/tillsynsmail/S 7749-2021 tillsynsbegäran mail.docx", "S 7749-2021")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46305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46305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68414-2021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44529</v>
      </c>
      <c r="E49" s="1" t="n">
        <v>46305</v>
      </c>
      <c r="F49" t="inlineStr">
        <is>
          <t>ÖSTERGÖTLANDS LÄN</t>
        </is>
      </c>
      <c r="G49" t="inlineStr">
        <is>
          <t>FINSPÅNG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HYPERLINK("https://klasma.github.io/Logging_0562/artfynd/A 68414-2021 artfynd.xlsx", "A 68414-2021")</f>
        <v/>
      </c>
      <c r="X49">
        <f>HYPERLINK("https://klasma.github.io/Logging_0562/kartor/A 68414-2021 karta.png", "A 68414-2021")</f>
        <v/>
      </c>
      <c r="Y49">
        <f>HYPERLINK("https://klasma.github.io/Logging_0562/kartor_geotiff/A 68414-2021 georefererad karta.tif", "A 68414-2021")</f>
        <v/>
      </c>
      <c r="AA49">
        <f>HYPERLINK("https://klasma.github.io/Logging_0562/klagomål/A 68414-2021 FSC-klagomål.docx", "A 68414-2021")</f>
        <v/>
      </c>
      <c r="AB49">
        <f>HYPERLINK("https://klasma.github.io/Logging_0562/klagomålsmail/A 68414-2021 FSC-klagomål mail.docx", "A 68414-2021")</f>
        <v/>
      </c>
      <c r="AC49">
        <f>HYPERLINK("https://klasma.github.io/Logging_0562/tillsyn/A 68414-2021 tillsynsbegäran.docx", "A 68414-2021")</f>
        <v/>
      </c>
      <c r="AD49">
        <f>HYPERLINK("https://klasma.github.io/Logging_0562/tillsynsmail/A 68414-2021 tillsynsbegäran mail.docx", "A 68414-2021")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54302-2023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46305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Lopplummer (aggregat)</t>
        </is>
      </c>
      <c r="W51">
        <f>HYPERLINK("https://klasma.github.io/Logging_0562/artfynd/A 54302-2023 artfynd.xlsx", "A 54302-2023")</f>
        <v/>
      </c>
      <c r="X51">
        <f>HYPERLINK("https://klasma.github.io/Logging_0562/kartor/A 54302-2023 karta.png", "A 54302-2023")</f>
        <v/>
      </c>
      <c r="Y51">
        <f>HYPERLINK("https://klasma.github.io/Logging_0562/kartor_geotiff/A 54302-2023 georefererad karta.tif", "A 54302-2023")</f>
        <v/>
      </c>
      <c r="AA51">
        <f>HYPERLINK("https://klasma.github.io/Logging_0562/klagomål/A 54302-2023 FSC-klagomål.docx", "A 54302-2023")</f>
        <v/>
      </c>
      <c r="AB51">
        <f>HYPERLINK("https://klasma.github.io/Logging_0562/klagomålsmail/A 54302-2023 FSC-klagomål mail.docx", "A 54302-2023")</f>
        <v/>
      </c>
      <c r="AC51">
        <f>HYPERLINK("https://klasma.github.io/Logging_0562/tillsyn/A 54302-2023 tillsynsbegäran.docx", "A 54302-2023")</f>
        <v/>
      </c>
      <c r="AD51">
        <f>HYPERLINK("https://klasma.github.io/Logging_0562/tillsynsmail/A 54302-2023 tillsynsbegäran mail.docx", "A 54302-2023")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46305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15123-2025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45744</v>
      </c>
      <c r="E53" s="1" t="n">
        <v>46305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Naturvårdsverket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Orre</t>
        </is>
      </c>
      <c r="W53">
        <f>HYPERLINK("https://klasma.github.io/Logging_0562/artfynd/A 15123-2025 artfynd.xlsx", "A 15123-2025")</f>
        <v/>
      </c>
      <c r="X53">
        <f>HYPERLINK("https://klasma.github.io/Logging_0562/kartor/A 15123-2025 karta.png", "A 15123-2025")</f>
        <v/>
      </c>
      <c r="Y53">
        <f>HYPERLINK("https://klasma.github.io/Logging_0562/kartor_geotiff/A 15123-2025 georefererad karta.tif", "A 15123-2025")</f>
        <v/>
      </c>
      <c r="AA53">
        <f>HYPERLINK("https://klasma.github.io/Logging_0562/klagomål/A 15123-2025 FSC-klagomål.docx", "A 15123-2025")</f>
        <v/>
      </c>
      <c r="AB53">
        <f>HYPERLINK("https://klasma.github.io/Logging_0562/klagomålsmail/A 15123-2025 FSC-klagomål mail.docx", "A 15123-2025")</f>
        <v/>
      </c>
      <c r="AC53">
        <f>HYPERLINK("https://klasma.github.io/Logging_0562/tillsyn/A 15123-2025 tillsynsbegäran.docx", "A 15123-2025")</f>
        <v/>
      </c>
      <c r="AD53">
        <f>HYPERLINK("https://klasma.github.io/Logging_0562/tillsynsmail/A 15123-2025 tillsynsbegäran mail.docx", "A 15123-2025")</f>
        <v/>
      </c>
      <c r="AE53">
        <f>HYPERLINK("https://klasma.github.io/Logging_0562/fåglar/A 15123-2025 prioriterade fågelarter.docx", "A 15123-2025")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46305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HYPERLINK("https://klasma.github.io/Logging_0562/artfynd/A 22259-2024 artfynd.xlsx", "A 22259-2024")</f>
        <v/>
      </c>
      <c r="X54">
        <f>HYPERLINK("https://klasma.github.io/Logging_0562/kartor/A 22259-2024 karta.png", "A 22259-2024")</f>
        <v/>
      </c>
      <c r="Y54">
        <f>HYPERLINK("https://klasma.github.io/Logging_0562/kartor_geotiff/A 22259-2024 georefererad karta.tif", "A 22259-2024")</f>
        <v/>
      </c>
      <c r="AA54">
        <f>HYPERLINK("https://klasma.github.io/Logging_0562/klagomål/A 22259-2024 FSC-klagomål.docx", "A 22259-2024")</f>
        <v/>
      </c>
      <c r="AB54">
        <f>HYPERLINK("https://klasma.github.io/Logging_0562/klagomålsmail/A 22259-2024 FSC-klagomål mail.docx", "A 22259-2024")</f>
        <v/>
      </c>
      <c r="AC54">
        <f>HYPERLINK("https://klasma.github.io/Logging_0562/tillsyn/A 22259-2024 tillsynsbegäran.docx", "A 22259-2024")</f>
        <v/>
      </c>
      <c r="AD54">
        <f>HYPERLINK("https://klasma.github.io/Logging_0562/tillsynsmail/A 22259-2024 tillsynsbegäran mail.docx", "A 22259-2024")</f>
        <v/>
      </c>
    </row>
    <row r="55" ht="15" customHeight="1">
      <c r="A55" t="inlineStr">
        <is>
          <t>A 61254-2022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46305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HYPERLINK("https://klasma.github.io/Logging_0562/artfynd/A 61254-2022 artfynd.xlsx", "A 61254-2022")</f>
        <v/>
      </c>
      <c r="X55">
        <f>HYPERLINK("https://klasma.github.io/Logging_0562/kartor/A 61254-2022 karta.png", "A 61254-2022")</f>
        <v/>
      </c>
      <c r="Y55">
        <f>HYPERLINK("https://klasma.github.io/Logging_0562/kartor_geotiff/A 61254-2022 georefererad karta.tif", "A 61254-2022")</f>
        <v/>
      </c>
      <c r="AA55">
        <f>HYPERLINK("https://klasma.github.io/Logging_0562/klagomål/A 61254-2022 FSC-klagomål.docx", "A 61254-2022")</f>
        <v/>
      </c>
      <c r="AB55">
        <f>HYPERLINK("https://klasma.github.io/Logging_0562/klagomålsmail/A 61254-2022 FSC-klagomål mail.docx", "A 61254-2022")</f>
        <v/>
      </c>
      <c r="AC55">
        <f>HYPERLINK("https://klasma.github.io/Logging_0562/tillsyn/A 61254-2022 tillsynsbegäran.docx", "A 61254-2022")</f>
        <v/>
      </c>
      <c r="AD55">
        <f>HYPERLINK("https://klasma.github.io/Logging_0562/tillsynsmail/A 61254-2022 tillsynsbegäran mail.docx", "A 61254-2022")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46305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42947-2024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46305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42947-2024 artfynd.xlsx", "A 42947-2024")</f>
        <v/>
      </c>
      <c r="X57">
        <f>HYPERLINK("https://klasma.github.io/Logging_0562/kartor/A 42947-2024 karta.png", "A 42947-2024")</f>
        <v/>
      </c>
      <c r="Y57">
        <f>HYPERLINK("https://klasma.github.io/Logging_0562/kartor_geotiff/A 42947-2024 georefererad karta.tif", "A 42947-2024")</f>
        <v/>
      </c>
      <c r="Z57">
        <f>HYPERLINK("https://klasma.github.io/Logging_0562/knärot/A 42947-2024 karta knärot.png", "A 42947-2024")</f>
        <v/>
      </c>
      <c r="AA57">
        <f>HYPERLINK("https://klasma.github.io/Logging_0562/klagomål/A 42947-2024 FSC-klagomål.docx", "A 42947-2024")</f>
        <v/>
      </c>
      <c r="AB57">
        <f>HYPERLINK("https://klasma.github.io/Logging_0562/klagomålsmail/A 42947-2024 FSC-klagomål mail.docx", "A 42947-2024")</f>
        <v/>
      </c>
      <c r="AC57">
        <f>HYPERLINK("https://klasma.github.io/Logging_0562/tillsyn/A 42947-2024 tillsynsbegäran.docx", "A 42947-2024")</f>
        <v/>
      </c>
      <c r="AD57">
        <f>HYPERLINK("https://klasma.github.io/Logging_0562/tillsynsmail/A 42947-2024 tillsynsbegäran mail.docx", "A 42947-2024")</f>
        <v/>
      </c>
    </row>
    <row r="58" ht="15" customHeight="1">
      <c r="A58" t="inlineStr">
        <is>
          <t>A 42366-2025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46305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Vit vedfingersvamp</t>
        </is>
      </c>
      <c r="W58">
        <f>HYPERLINK("https://klasma.github.io/Logging_0562/artfynd/A 42366-2025 artfynd.xlsx", "A 42366-2025")</f>
        <v/>
      </c>
      <c r="X58">
        <f>HYPERLINK("https://klasma.github.io/Logging_0562/kartor/A 42366-2025 karta.png", "A 42366-2025")</f>
        <v/>
      </c>
      <c r="Y58">
        <f>HYPERLINK("https://klasma.github.io/Logging_0562/kartor_geotiff/A 42366-2025 georefererad karta.tif", "A 42366-2025")</f>
        <v/>
      </c>
      <c r="AA58">
        <f>HYPERLINK("https://klasma.github.io/Logging_0562/klagomål/A 42366-2025 FSC-klagomål.docx", "A 42366-2025")</f>
        <v/>
      </c>
      <c r="AB58">
        <f>HYPERLINK("https://klasma.github.io/Logging_0562/klagomålsmail/A 42366-2025 FSC-klagomål mail.docx", "A 42366-2025")</f>
        <v/>
      </c>
      <c r="AC58">
        <f>HYPERLINK("https://klasma.github.io/Logging_0562/tillsyn/A 42366-2025 tillsynsbegäran.docx", "A 42366-2025")</f>
        <v/>
      </c>
      <c r="AD58">
        <f>HYPERLINK("https://klasma.github.io/Logging_0562/tillsynsmail/A 42366-2025 tillsynsbegäran mail.docx", "A 42366-2025")</f>
        <v/>
      </c>
    </row>
    <row r="59" ht="15" customHeight="1">
      <c r="A59" t="inlineStr">
        <is>
          <t>A 61104-2022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46305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HYPERLINK("https://klasma.github.io/Logging_0562/artfynd/A 61104-2022 artfynd.xlsx", "A 61104-2022")</f>
        <v/>
      </c>
      <c r="X59">
        <f>HYPERLINK("https://klasma.github.io/Logging_0562/kartor/A 61104-2022 karta.png", "A 61104-2022")</f>
        <v/>
      </c>
      <c r="Y59">
        <f>HYPERLINK("https://klasma.github.io/Logging_0562/kartor_geotiff/A 61104-2022 georefererad karta.tif", "A 61104-2022")</f>
        <v/>
      </c>
      <c r="AA59">
        <f>HYPERLINK("https://klasma.github.io/Logging_0562/klagomål/A 61104-2022 FSC-klagomål.docx", "A 61104-2022")</f>
        <v/>
      </c>
      <c r="AB59">
        <f>HYPERLINK("https://klasma.github.io/Logging_0562/klagomålsmail/A 61104-2022 FSC-klagomål mail.docx", "A 61104-2022")</f>
        <v/>
      </c>
      <c r="AC59">
        <f>HYPERLINK("https://klasma.github.io/Logging_0562/tillsyn/A 61104-2022 tillsynsbegäran.docx", "A 61104-2022")</f>
        <v/>
      </c>
      <c r="AD59">
        <f>HYPERLINK("https://klasma.github.io/Logging_0562/tillsynsmail/A 61104-2022 tillsynsbegäran mail.docx", "A 61104-2022")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46305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46305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46305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46305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36128-2023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46305</v>
      </c>
      <c r="F64" t="inlineStr">
        <is>
          <t>ÖSTERGÖTLANDS LÄN</t>
        </is>
      </c>
      <c r="G64" t="inlineStr">
        <is>
          <t>FINSPÅNG</t>
        </is>
      </c>
      <c r="I64" t="n">
        <v>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HYPERLINK("https://klasma.github.io/Logging_0562/artfynd/A 36128-2023 artfynd.xlsx", "A 36128-2023")</f>
        <v/>
      </c>
      <c r="X64">
        <f>HYPERLINK("https://klasma.github.io/Logging_0562/kartor/A 36128-2023 karta.png", "A 36128-2023")</f>
        <v/>
      </c>
      <c r="Y64">
        <f>HYPERLINK("https://klasma.github.io/Logging_0562/kartor_geotiff/A 36128-2023 georefererad karta.tif", "A 36128-2023")</f>
        <v/>
      </c>
      <c r="AA64">
        <f>HYPERLINK("https://klasma.github.io/Logging_0562/klagomål/A 36128-2023 FSC-klagomål.docx", "A 36128-2023")</f>
        <v/>
      </c>
      <c r="AB64">
        <f>HYPERLINK("https://klasma.github.io/Logging_0562/klagomålsmail/A 36128-2023 FSC-klagomål mail.docx", "A 36128-2023")</f>
        <v/>
      </c>
      <c r="AC64">
        <f>HYPERLINK("https://klasma.github.io/Logging_0562/tillsyn/A 36128-2023 tillsynsbegäran.docx", "A 36128-2023")</f>
        <v/>
      </c>
      <c r="AD64">
        <f>HYPERLINK("https://klasma.github.io/Logging_0562/tillsynsmail/A 36128-2023 tillsynsbegäran mail.docx", "A 36128-2023")</f>
        <v/>
      </c>
      <c r="AE64">
        <f>HYPERLINK("https://klasma.github.io/Logging_0562/fåglar/A 36128-2023 prioriterade fågelarter.docx", "A 36128-2023")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46305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53265-2023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46305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HYPERLINK("https://klasma.github.io/Logging_0562/artfynd/A 53265-2023 artfynd.xlsx", "A 53265-2023")</f>
        <v/>
      </c>
      <c r="X66">
        <f>HYPERLINK("https://klasma.github.io/Logging_0562/kartor/A 53265-2023 karta.png", "A 53265-2023")</f>
        <v/>
      </c>
      <c r="Y66">
        <f>HYPERLINK("https://klasma.github.io/Logging_0562/kartor_geotiff/A 53265-2023 georefererad karta.tif", "A 53265-2023")</f>
        <v/>
      </c>
      <c r="AA66">
        <f>HYPERLINK("https://klasma.github.io/Logging_0562/klagomål/A 53265-2023 FSC-klagomål.docx", "A 53265-2023")</f>
        <v/>
      </c>
      <c r="AB66">
        <f>HYPERLINK("https://klasma.github.io/Logging_0562/klagomålsmail/A 53265-2023 FSC-klagomål mail.docx", "A 53265-2023")</f>
        <v/>
      </c>
      <c r="AC66">
        <f>HYPERLINK("https://klasma.github.io/Logging_0562/tillsyn/A 53265-2023 tillsynsbegäran.docx", "A 53265-2023")</f>
        <v/>
      </c>
      <c r="AD66">
        <f>HYPERLINK("https://klasma.github.io/Logging_0562/tillsynsmail/A 53265-2023 tillsynsbegäran mail.docx", "A 53265-2023")</f>
        <v/>
      </c>
    </row>
    <row r="67" ht="15" customHeight="1">
      <c r="A67" t="inlineStr">
        <is>
          <t>A 34310-2025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45846</v>
      </c>
      <c r="E67" s="1" t="n">
        <v>46305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HYPERLINK("https://klasma.github.io/Logging_0562/artfynd/A 34310-2025 artfynd.xlsx", "A 34310-2025")</f>
        <v/>
      </c>
      <c r="X67">
        <f>HYPERLINK("https://klasma.github.io/Logging_0562/kartor/A 34310-2025 karta.png", "A 34310-2025")</f>
        <v/>
      </c>
      <c r="Y67">
        <f>HYPERLINK("https://klasma.github.io/Logging_0562/kartor_geotiff/A 34310-2025 georefererad karta.tif", "A 34310-2025")</f>
        <v/>
      </c>
      <c r="AA67">
        <f>HYPERLINK("https://klasma.github.io/Logging_0562/klagomål/A 34310-2025 FSC-klagomål.docx", "A 34310-2025")</f>
        <v/>
      </c>
      <c r="AB67">
        <f>HYPERLINK("https://klasma.github.io/Logging_0562/klagomålsmail/A 34310-2025 FSC-klagomål mail.docx", "A 34310-2025")</f>
        <v/>
      </c>
      <c r="AC67">
        <f>HYPERLINK("https://klasma.github.io/Logging_0562/tillsyn/A 34310-2025 tillsynsbegäran.docx", "A 34310-2025")</f>
        <v/>
      </c>
      <c r="AD67">
        <f>HYPERLINK("https://klasma.github.io/Logging_0562/tillsynsmail/A 34310-2025 tillsynsbegäran mail.docx", "A 34310-2025")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46305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1177-2024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46305</v>
      </c>
      <c r="F69" t="inlineStr">
        <is>
          <t>ÖSTERGÖTLANDS LÄN</t>
        </is>
      </c>
      <c r="G69" t="inlineStr">
        <is>
          <t>FINSPÅNG</t>
        </is>
      </c>
      <c r="I69" t="n">
        <v>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1177-2024 artfynd.xlsx", "A 1177-2024")</f>
        <v/>
      </c>
      <c r="X69">
        <f>HYPERLINK("https://klasma.github.io/Logging_0562/kartor/A 1177-2024 karta.png", "A 1177-2024")</f>
        <v/>
      </c>
      <c r="Y69">
        <f>HYPERLINK("https://klasma.github.io/Logging_0562/kartor_geotiff/A 1177-2024 georefererad karta.tif", "A 1177-2024")</f>
        <v/>
      </c>
      <c r="Z69">
        <f>HYPERLINK("https://klasma.github.io/Logging_0562/knärot/A 1177-2024 karta knärot.png", "A 1177-2024")</f>
        <v/>
      </c>
      <c r="AA69">
        <f>HYPERLINK("https://klasma.github.io/Logging_0562/klagomål/A 1177-2024 FSC-klagomål.docx", "A 1177-2024")</f>
        <v/>
      </c>
      <c r="AB69">
        <f>HYPERLINK("https://klasma.github.io/Logging_0562/klagomålsmail/A 1177-2024 FSC-klagomål mail.docx", "A 1177-2024")</f>
        <v/>
      </c>
      <c r="AC69">
        <f>HYPERLINK("https://klasma.github.io/Logging_0562/tillsyn/A 1177-2024 tillsynsbegäran.docx", "A 1177-2024")</f>
        <v/>
      </c>
      <c r="AD69">
        <f>HYPERLINK("https://klasma.github.io/Logging_0562/tillsynsmail/A 1177-2024 tillsynsbegäran mail.docx", "A 1177-2024")</f>
        <v/>
      </c>
    </row>
    <row r="70" ht="15" customHeight="1">
      <c r="A70" t="inlineStr">
        <is>
          <t>A 39078-2022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46305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Skogsklocka</t>
        </is>
      </c>
      <c r="W70">
        <f>HYPERLINK("https://klasma.github.io/Logging_0562/artfynd/A 39078-2022 artfynd.xlsx", "A 39078-2022")</f>
        <v/>
      </c>
      <c r="X70">
        <f>HYPERLINK("https://klasma.github.io/Logging_0562/kartor/A 39078-2022 karta.png", "A 39078-2022")</f>
        <v/>
      </c>
      <c r="Y70">
        <f>HYPERLINK("https://klasma.github.io/Logging_0562/kartor_geotiff/A 39078-2022 georefererad karta.tif", "A 39078-2022")</f>
        <v/>
      </c>
      <c r="AA70">
        <f>HYPERLINK("https://klasma.github.io/Logging_0562/klagomål/A 39078-2022 FSC-klagomål.docx", "A 39078-2022")</f>
        <v/>
      </c>
      <c r="AB70">
        <f>HYPERLINK("https://klasma.github.io/Logging_0562/klagomålsmail/A 39078-2022 FSC-klagomål mail.docx", "A 39078-2022")</f>
        <v/>
      </c>
      <c r="AC70">
        <f>HYPERLINK("https://klasma.github.io/Logging_0562/tillsyn/A 39078-2022 tillsynsbegäran.docx", "A 39078-2022")</f>
        <v/>
      </c>
      <c r="AD70">
        <f>HYPERLINK("https://klasma.github.io/Logging_0562/tillsynsmail/A 39078-2022 tillsynsbegäran mail.docx", "A 39078-2022")</f>
        <v/>
      </c>
    </row>
    <row r="71" ht="15" customHeight="1">
      <c r="A71" t="inlineStr">
        <is>
          <t>A 11140-2023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46305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Grönvit nattviol</t>
        </is>
      </c>
      <c r="W71">
        <f>HYPERLINK("https://klasma.github.io/Logging_0562/artfynd/A 11140-2023 artfynd.xlsx", "A 11140-2023")</f>
        <v/>
      </c>
      <c r="X71">
        <f>HYPERLINK("https://klasma.github.io/Logging_0562/kartor/A 11140-2023 karta.png", "A 11140-2023")</f>
        <v/>
      </c>
      <c r="Y71">
        <f>HYPERLINK("https://klasma.github.io/Logging_0562/kartor_geotiff/A 11140-2023 georefererad karta.tif", "A 11140-2023")</f>
        <v/>
      </c>
      <c r="AA71">
        <f>HYPERLINK("https://klasma.github.io/Logging_0562/klagomål/A 11140-2023 FSC-klagomål.docx", "A 11140-2023")</f>
        <v/>
      </c>
      <c r="AB71">
        <f>HYPERLINK("https://klasma.github.io/Logging_0562/klagomålsmail/A 11140-2023 FSC-klagomål mail.docx", "A 11140-2023")</f>
        <v/>
      </c>
      <c r="AC71">
        <f>HYPERLINK("https://klasma.github.io/Logging_0562/tillsyn/A 11140-2023 tillsynsbegäran.docx", "A 11140-2023")</f>
        <v/>
      </c>
      <c r="AD71">
        <f>HYPERLINK("https://klasma.github.io/Logging_0562/tillsynsmail/A 11140-2023 tillsynsbegäran mail.docx", "A 11140-2023")</f>
        <v/>
      </c>
    </row>
    <row r="72" ht="15" customHeight="1">
      <c r="A72" t="inlineStr">
        <is>
          <t>A 40385-2024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46305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HYPERLINK("https://klasma.github.io/Logging_0562/artfynd/A 40385-2024 artfynd.xlsx", "A 40385-2024")</f>
        <v/>
      </c>
      <c r="X72">
        <f>HYPERLINK("https://klasma.github.io/Logging_0562/kartor/A 40385-2024 karta.png", "A 40385-2024")</f>
        <v/>
      </c>
      <c r="Y72">
        <f>HYPERLINK("https://klasma.github.io/Logging_0562/kartor_geotiff/A 40385-2024 georefererad karta.tif", "A 40385-2024")</f>
        <v/>
      </c>
      <c r="AA72">
        <f>HYPERLINK("https://klasma.github.io/Logging_0562/klagomål/A 40385-2024 FSC-klagomål.docx", "A 40385-2024")</f>
        <v/>
      </c>
      <c r="AB72">
        <f>HYPERLINK("https://klasma.github.io/Logging_0562/klagomålsmail/A 40385-2024 FSC-klagomål mail.docx", "A 40385-2024")</f>
        <v/>
      </c>
      <c r="AC72">
        <f>HYPERLINK("https://klasma.github.io/Logging_0562/tillsyn/A 40385-2024 tillsynsbegäran.docx", "A 40385-2024")</f>
        <v/>
      </c>
      <c r="AD72">
        <f>HYPERLINK("https://klasma.github.io/Logging_0562/tillsynsmail/A 40385-2024 tillsynsbegäran mail.docx", "A 40385-2024")</f>
        <v/>
      </c>
      <c r="AE72">
        <f>HYPERLINK("https://klasma.github.io/Logging_0562/fåglar/A 40385-2024 prioriterade fågelarter.docx", "A 40385-2024")</f>
        <v/>
      </c>
    </row>
    <row r="73" ht="15" customHeight="1">
      <c r="A73" t="inlineStr">
        <is>
          <t>A 37748-2025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46305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37748-2025 artfynd.xlsx", "A 37748-2025")</f>
        <v/>
      </c>
      <c r="X73">
        <f>HYPERLINK("https://klasma.github.io/Logging_0562/kartor/A 37748-2025 karta.png", "A 37748-2025")</f>
        <v/>
      </c>
      <c r="Y73">
        <f>HYPERLINK("https://klasma.github.io/Logging_0562/kartor_geotiff/A 37748-2025 georefererad karta.tif", "A 37748-2025")</f>
        <v/>
      </c>
      <c r="AA73">
        <f>HYPERLINK("https://klasma.github.io/Logging_0562/klagomål/A 37748-2025 FSC-klagomål.docx", "A 37748-2025")</f>
        <v/>
      </c>
      <c r="AB73">
        <f>HYPERLINK("https://klasma.github.io/Logging_0562/klagomålsmail/A 37748-2025 FSC-klagomål mail.docx", "A 37748-2025")</f>
        <v/>
      </c>
      <c r="AC73">
        <f>HYPERLINK("https://klasma.github.io/Logging_0562/tillsyn/A 37748-2025 tillsynsbegäran.docx", "A 37748-2025")</f>
        <v/>
      </c>
      <c r="AD73">
        <f>HYPERLINK("https://klasma.github.io/Logging_0562/tillsynsmail/A 37748-2025 tillsynsbegäran mail.docx", "A 37748-2025")</f>
        <v/>
      </c>
    </row>
    <row r="74" ht="15" customHeight="1">
      <c r="A74" t="inlineStr">
        <is>
          <t>A 22439-2023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46305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HYPERLINK("https://klasma.github.io/Logging_0562/artfynd/A 22439-2023 artfynd.xlsx", "A 22439-2023")</f>
        <v/>
      </c>
      <c r="X74">
        <f>HYPERLINK("https://klasma.github.io/Logging_0562/kartor/A 22439-2023 karta.png", "A 22439-2023")</f>
        <v/>
      </c>
      <c r="Y74">
        <f>HYPERLINK("https://klasma.github.io/Logging_0562/kartor_geotiff/A 22439-2023 georefererad karta.tif", "A 22439-2023")</f>
        <v/>
      </c>
      <c r="AA74">
        <f>HYPERLINK("https://klasma.github.io/Logging_0562/klagomål/A 22439-2023 FSC-klagomål.docx", "A 22439-2023")</f>
        <v/>
      </c>
      <c r="AB74">
        <f>HYPERLINK("https://klasma.github.io/Logging_0562/klagomålsmail/A 22439-2023 FSC-klagomål mail.docx", "A 22439-2023")</f>
        <v/>
      </c>
      <c r="AC74">
        <f>HYPERLINK("https://klasma.github.io/Logging_0562/tillsyn/A 22439-2023 tillsynsbegäran.docx", "A 22439-2023")</f>
        <v/>
      </c>
      <c r="AD74">
        <f>HYPERLINK("https://klasma.github.io/Logging_0562/tillsynsmail/A 22439-2023 tillsynsbegäran mail.docx", "A 22439-2023")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46305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46305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18915-2026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46129</v>
      </c>
      <c r="E77" s="1" t="n">
        <v>46305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HYPERLINK("https://klasma.github.io/Logging_0562/artfynd/A 18915-2026 artfynd.xlsx", "A 18915-2026")</f>
        <v/>
      </c>
      <c r="X77">
        <f>HYPERLINK("https://klasma.github.io/Logging_0562/kartor/A 18915-2026 karta.png", "A 18915-2026")</f>
        <v/>
      </c>
      <c r="Y77">
        <f>HYPERLINK("https://klasma.github.io/Logging_0562/kartor_geotiff/A 18915-2026 georefererad karta.tif", "A 18915-2026")</f>
        <v/>
      </c>
      <c r="AA77">
        <f>HYPERLINK("https://klasma.github.io/Logging_0562/klagomål/A 18915-2026 FSC-klagomål.docx", "A 18915-2026")</f>
        <v/>
      </c>
      <c r="AB77">
        <f>HYPERLINK("https://klasma.github.io/Logging_0562/klagomålsmail/A 18915-2026 FSC-klagomål mail.docx", "A 18915-2026")</f>
        <v/>
      </c>
      <c r="AC77">
        <f>HYPERLINK("https://klasma.github.io/Logging_0562/tillsyn/A 18915-2026 tillsynsbegäran.docx", "A 18915-2026")</f>
        <v/>
      </c>
      <c r="AD77">
        <f>HYPERLINK("https://klasma.github.io/Logging_0562/tillsynsmail/A 18915-2026 tillsynsbegäran mail.docx", "A 18915-2026")</f>
        <v/>
      </c>
      <c r="AE77">
        <f>HYPERLINK("https://klasma.github.io/Logging_0562/fåglar/A 18915-2026 prioriterade fågelarter.docx", "A 18915-2026")</f>
        <v/>
      </c>
    </row>
    <row r="78" ht="15" customHeight="1">
      <c r="A78" t="inlineStr">
        <is>
          <t>A 663-2023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44930</v>
      </c>
      <c r="E78" s="1" t="n">
        <v>46305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663-2023 artfynd.xlsx", "A 663-2023")</f>
        <v/>
      </c>
      <c r="X78">
        <f>HYPERLINK("https://klasma.github.io/Logging_0562/kartor/A 663-2023 karta.png", "A 663-2023")</f>
        <v/>
      </c>
      <c r="Y78">
        <f>HYPERLINK("https://klasma.github.io/Logging_0562/kartor_geotiff/A 663-2023 georefererad karta.tif", "A 663-2023")</f>
        <v/>
      </c>
      <c r="AA78">
        <f>HYPERLINK("https://klasma.github.io/Logging_0562/klagomål/A 663-2023 FSC-klagomål.docx", "A 663-2023")</f>
        <v/>
      </c>
      <c r="AB78">
        <f>HYPERLINK("https://klasma.github.io/Logging_0562/klagomålsmail/A 663-2023 FSC-klagomål mail.docx", "A 663-2023")</f>
        <v/>
      </c>
      <c r="AC78">
        <f>HYPERLINK("https://klasma.github.io/Logging_0562/tillsyn/A 663-2023 tillsynsbegäran.docx", "A 663-2023")</f>
        <v/>
      </c>
      <c r="AD78">
        <f>HYPERLINK("https://klasma.github.io/Logging_0562/tillsynsmail/A 663-2023 tillsynsbegäran mail.docx", "A 663-2023")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46305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46305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Hasselsnok</t>
        </is>
      </c>
      <c r="W80">
        <f>HYPERLINK("https://klasma.github.io/Logging_0562/artfynd/A 22555-2024 artfynd.xlsx", "A 22555-2024")</f>
        <v/>
      </c>
      <c r="X80">
        <f>HYPERLINK("https://klasma.github.io/Logging_0562/kartor/A 22555-2024 karta.png", "A 22555-2024")</f>
        <v/>
      </c>
      <c r="Y80">
        <f>HYPERLINK("https://klasma.github.io/Logging_0562/kartor_geotiff/A 22555-2024 georefererad karta.tif", "A 22555-2024")</f>
        <v/>
      </c>
      <c r="AA80">
        <f>HYPERLINK("https://klasma.github.io/Logging_0562/klagomål/A 22555-2024 FSC-klagomål.docx", "A 22555-2024")</f>
        <v/>
      </c>
      <c r="AB80">
        <f>HYPERLINK("https://klasma.github.io/Logging_0562/klagomålsmail/A 22555-2024 FSC-klagomål mail.docx", "A 22555-2024")</f>
        <v/>
      </c>
      <c r="AC80">
        <f>HYPERLINK("https://klasma.github.io/Logging_0562/tillsyn/A 22555-2024 tillsynsbegäran.docx", "A 22555-2024")</f>
        <v/>
      </c>
      <c r="AD80">
        <f>HYPERLINK("https://klasma.github.io/Logging_0562/tillsynsmail/A 22555-2024 tillsynsbegäran mail.docx", "A 22555-2024")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46305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46305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7265-2026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46058</v>
      </c>
      <c r="E83" s="1" t="n">
        <v>46305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2.2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HYPERLINK("https://klasma.github.io/Logging_0562/artfynd/A 7265-2026 artfynd.xlsx", "A 7265-2026")</f>
        <v/>
      </c>
      <c r="X83">
        <f>HYPERLINK("https://klasma.github.io/Logging_0562/kartor/A 7265-2026 karta.png", "A 7265-2026")</f>
        <v/>
      </c>
      <c r="Y83">
        <f>HYPERLINK("https://klasma.github.io/Logging_0562/kartor_geotiff/A 7265-2026 georefererad karta.tif", "A 7265-2026")</f>
        <v/>
      </c>
      <c r="AA83">
        <f>HYPERLINK("https://klasma.github.io/Logging_0562/klagomål/A 7265-2026 FSC-klagomål.docx", "A 7265-2026")</f>
        <v/>
      </c>
      <c r="AB83">
        <f>HYPERLINK("https://klasma.github.io/Logging_0562/klagomålsmail/A 7265-2026 FSC-klagomål mail.docx", "A 7265-2026")</f>
        <v/>
      </c>
      <c r="AC83">
        <f>HYPERLINK("https://klasma.github.io/Logging_0562/tillsyn/A 7265-2026 tillsynsbegäran.docx", "A 7265-2026")</f>
        <v/>
      </c>
      <c r="AD83">
        <f>HYPERLINK("https://klasma.github.io/Logging_0562/tillsynsmail/A 7265-2026 tillsynsbegäran mail.docx", "A 7265-2026")</f>
        <v/>
      </c>
      <c r="AE83">
        <f>HYPERLINK("https://klasma.github.io/Logging_0562/fåglar/A 7265-2026 prioriterade fågelarter.docx", "A 7265-2026")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46305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HYPERLINK("https://klasma.github.io/Logging_0562/artfynd/A 22587-2026 artfynd.xlsx", "A 22587-2026")</f>
        <v/>
      </c>
      <c r="X84">
        <f>HYPERLINK("https://klasma.github.io/Logging_0562/kartor/A 22587-2026 karta.png", "A 22587-2026")</f>
        <v/>
      </c>
      <c r="Y84">
        <f>HYPERLINK("https://klasma.github.io/Logging_0562/kartor_geotiff/A 22587-2026 georefererad karta.tif", "A 22587-2026")</f>
        <v/>
      </c>
      <c r="AA84">
        <f>HYPERLINK("https://klasma.github.io/Logging_0562/klagomål/A 22587-2026 FSC-klagomål.docx", "A 22587-2026")</f>
        <v/>
      </c>
      <c r="AB84">
        <f>HYPERLINK("https://klasma.github.io/Logging_0562/klagomålsmail/A 22587-2026 FSC-klagomål mail.docx", "A 22587-2026")</f>
        <v/>
      </c>
      <c r="AC84">
        <f>HYPERLINK("https://klasma.github.io/Logging_0562/tillsyn/A 22587-2026 tillsynsbegäran.docx", "A 22587-2026")</f>
        <v/>
      </c>
      <c r="AD84">
        <f>HYPERLINK("https://klasma.github.io/Logging_0562/tillsynsmail/A 22587-2026 tillsynsbegäran mail.docx", "A 22587-2026")</f>
        <v/>
      </c>
      <c r="AE84">
        <f>HYPERLINK("https://klasma.github.io/Logging_0562/fåglar/A 22587-2026 prioriterade fågelarter.docx", "A 22587-2026")</f>
        <v/>
      </c>
    </row>
    <row r="85" ht="15" customHeight="1">
      <c r="A85" t="inlineStr">
        <is>
          <t>A 27456-2026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46305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HYPERLINK("https://klasma.github.io/Logging_0562/artfynd/A 27456-2026 artfynd.xlsx", "A 27456-2026")</f>
        <v/>
      </c>
      <c r="X85">
        <f>HYPERLINK("https://klasma.github.io/Logging_0562/kartor/A 27456-2026 karta.png", "A 27456-2026")</f>
        <v/>
      </c>
      <c r="Y85">
        <f>HYPERLINK("https://klasma.github.io/Logging_0562/kartor_geotiff/A 27456-2026 georefererad karta.tif", "A 27456-2026")</f>
        <v/>
      </c>
      <c r="AA85">
        <f>HYPERLINK("https://klasma.github.io/Logging_0562/klagomål/A 27456-2026 FSC-klagomål.docx", "A 27456-2026")</f>
        <v/>
      </c>
      <c r="AB85">
        <f>HYPERLINK("https://klasma.github.io/Logging_0562/klagomålsmail/A 27456-2026 FSC-klagomål mail.docx", "A 27456-2026")</f>
        <v/>
      </c>
      <c r="AC85">
        <f>HYPERLINK("https://klasma.github.io/Logging_0562/tillsyn/A 27456-2026 tillsynsbegäran.docx", "A 27456-2026")</f>
        <v/>
      </c>
      <c r="AD85">
        <f>HYPERLINK("https://klasma.github.io/Logging_0562/tillsynsmail/A 27456-2026 tillsynsbegäran mail.docx", "A 27456-2026")</f>
        <v/>
      </c>
    </row>
    <row r="86" ht="15" customHeight="1">
      <c r="A86" t="inlineStr">
        <is>
          <t>A 25942-2026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46305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HYPERLINK("https://klasma.github.io/Logging_0562/artfynd/A 25942-2026 artfynd.xlsx", "A 25942-2026")</f>
        <v/>
      </c>
      <c r="X86">
        <f>HYPERLINK("https://klasma.github.io/Logging_0562/kartor/A 25942-2026 karta.png", "A 25942-2026")</f>
        <v/>
      </c>
      <c r="Y86">
        <f>HYPERLINK("https://klasma.github.io/Logging_0562/kartor_geotiff/A 25942-2026 georefererad karta.tif", "A 25942-2026")</f>
        <v/>
      </c>
      <c r="AA86">
        <f>HYPERLINK("https://klasma.github.io/Logging_0562/klagomål/A 25942-2026 FSC-klagomål.docx", "A 25942-2026")</f>
        <v/>
      </c>
      <c r="AB86">
        <f>HYPERLINK("https://klasma.github.io/Logging_0562/klagomålsmail/A 25942-2026 FSC-klagomål mail.docx", "A 25942-2026")</f>
        <v/>
      </c>
      <c r="AC86">
        <f>HYPERLINK("https://klasma.github.io/Logging_0562/tillsyn/A 25942-2026 tillsynsbegäran.docx", "A 25942-2026")</f>
        <v/>
      </c>
      <c r="AD86">
        <f>HYPERLINK("https://klasma.github.io/Logging_0562/tillsynsmail/A 25942-2026 tillsynsbegäran mail.docx", "A 25942-2026")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46305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46305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46305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46305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46305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46305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46305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46305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46305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46305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46305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46305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46305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46305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46305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46305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46305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46305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46305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46305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46305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46305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46305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46305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46305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46305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46305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46305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46305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46305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46305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46305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46305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46305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46305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46305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46305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46305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46305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46305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46305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46305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46305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46305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46305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46305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46305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46305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46305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46305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46305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46305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46305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46305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46305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46305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44819</v>
      </c>
      <c r="E144" s="1" t="n">
        <v>46305</v>
      </c>
      <c r="F144" t="inlineStr">
        <is>
          <t>ÖSTERGÖTLANDS LÄN</t>
        </is>
      </c>
      <c r="G144" t="inlineStr">
        <is>
          <t>FINSPÅNG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46305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46305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44595</v>
      </c>
      <c r="E147" s="1" t="n">
        <v>46305</v>
      </c>
      <c r="F147" t="inlineStr">
        <is>
          <t>ÖSTERGÖTLANDS LÄN</t>
        </is>
      </c>
      <c r="G147" t="inlineStr">
        <is>
          <t>FINSPÅNG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46305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46305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46305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46305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63321-2021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44508</v>
      </c>
      <c r="E152" s="1" t="n">
        <v>46305</v>
      </c>
      <c r="F152" t="inlineStr">
        <is>
          <t>ÖSTERGÖTLANDS LÄN</t>
        </is>
      </c>
      <c r="G152" t="inlineStr">
        <is>
          <t>FINSPÅNG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46305</v>
      </c>
      <c r="F153" t="inlineStr">
        <is>
          <t>ÖSTERGÖTLANDS LÄN</t>
        </is>
      </c>
      <c r="G153" t="inlineStr">
        <is>
          <t>FINSPÅNG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46305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46305</v>
      </c>
      <c r="F155" t="inlineStr">
        <is>
          <t>ÖSTERGÖTLANDS LÄN</t>
        </is>
      </c>
      <c r="G155" t="inlineStr">
        <is>
          <t>FINSPÅNG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46305</v>
      </c>
      <c r="F156" t="inlineStr">
        <is>
          <t>ÖSTERGÖTLANDS LÄN</t>
        </is>
      </c>
      <c r="G156" t="inlineStr">
        <is>
          <t>FINSPÅNG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46305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44627</v>
      </c>
      <c r="E158" s="1" t="n">
        <v>46305</v>
      </c>
      <c r="F158" t="inlineStr">
        <is>
          <t>ÖSTERGÖTLANDS LÄN</t>
        </is>
      </c>
      <c r="G158" t="inlineStr">
        <is>
          <t>FINSPÅNG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46305</v>
      </c>
      <c r="F159" t="inlineStr">
        <is>
          <t>ÖSTERGÖTLANDS LÄN</t>
        </is>
      </c>
      <c r="G159" t="inlineStr">
        <is>
          <t>FINSPÅNG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46305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46305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44743</v>
      </c>
      <c r="E162" s="1" t="n">
        <v>46305</v>
      </c>
      <c r="F162" t="inlineStr">
        <is>
          <t>ÖSTERGÖTLANDS LÄN</t>
        </is>
      </c>
      <c r="G162" t="inlineStr">
        <is>
          <t>FINSPÅNG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46305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44713</v>
      </c>
      <c r="E164" s="1" t="n">
        <v>46305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19890-2022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44697</v>
      </c>
      <c r="E165" s="1" t="n">
        <v>46305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69717-2021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46305</v>
      </c>
      <c r="F166" t="inlineStr">
        <is>
          <t>ÖSTERGÖTLANDS LÄN</t>
        </is>
      </c>
      <c r="G166" t="inlineStr">
        <is>
          <t>FINSPÅNG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46305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73831-2021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46305</v>
      </c>
      <c r="F168" t="inlineStr">
        <is>
          <t>ÖSTERGÖTLANDS LÄN</t>
        </is>
      </c>
      <c r="G168" t="inlineStr">
        <is>
          <t>FINSPÅNG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46305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46305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46305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46305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56883-2021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46305</v>
      </c>
      <c r="F173" t="inlineStr">
        <is>
          <t>ÖSTERGÖTLANDS LÄN</t>
        </is>
      </c>
      <c r="G173" t="inlineStr">
        <is>
          <t>FINSPÅNG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45374</v>
      </c>
      <c r="E174" s="1" t="n">
        <v>46305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Kyrkan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69994-2021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46305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44601</v>
      </c>
      <c r="E176" s="1" t="n">
        <v>46305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44678</v>
      </c>
      <c r="E177" s="1" t="n">
        <v>46305</v>
      </c>
      <c r="F177" t="inlineStr">
        <is>
          <t>ÖSTERGÖTLANDS LÄN</t>
        </is>
      </c>
      <c r="G177" t="inlineStr">
        <is>
          <t>FINSPÅNG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46305</v>
      </c>
      <c r="F178" t="inlineStr">
        <is>
          <t>ÖSTERGÖTLANDS LÄN</t>
        </is>
      </c>
      <c r="G178" t="inlineStr">
        <is>
          <t>FINSPÅNG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46305</v>
      </c>
      <c r="F179" t="inlineStr">
        <is>
          <t>ÖSTERGÖTLANDS LÄN</t>
        </is>
      </c>
      <c r="G179" t="inlineStr">
        <is>
          <t>FINSPÅNG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46305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46305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46305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46305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46305</v>
      </c>
      <c r="F184" t="inlineStr">
        <is>
          <t>ÖSTERGÖTLANDS LÄN</t>
        </is>
      </c>
      <c r="G184" t="inlineStr">
        <is>
          <t>FINSPÅNG</t>
        </is>
      </c>
      <c r="I184" t="n">
        <v>16.6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45181</v>
      </c>
      <c r="E185" s="1" t="n">
        <v>46305</v>
      </c>
      <c r="F185" t="inlineStr">
        <is>
          <t>ÖSTERGÖTLANDS LÄN</t>
        </is>
      </c>
      <c r="G185" t="inlineStr">
        <is>
          <t>FINSPÅNG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45042</v>
      </c>
      <c r="E186" s="1" t="n">
        <v>46305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46305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45225</v>
      </c>
      <c r="E188" s="1" t="n">
        <v>46305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44564</v>
      </c>
      <c r="E189" s="1" t="n">
        <v>46305</v>
      </c>
      <c r="F189" t="inlineStr">
        <is>
          <t>ÖSTERGÖTLANDS LÄN</t>
        </is>
      </c>
      <c r="G189" t="inlineStr">
        <is>
          <t>FINSPÅNG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46305</v>
      </c>
      <c r="F190" t="inlineStr">
        <is>
          <t>ÖSTERGÖTLANDS LÄN</t>
        </is>
      </c>
      <c r="G190" t="inlineStr">
        <is>
          <t>FINSPÅNG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45082</v>
      </c>
      <c r="E191" s="1" t="n">
        <v>46305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45566</v>
      </c>
      <c r="E192" s="1" t="n">
        <v>46305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45095</v>
      </c>
      <c r="E193" s="1" t="n">
        <v>46305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44806</v>
      </c>
      <c r="E194" s="1" t="n">
        <v>46305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36110-2023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45149</v>
      </c>
      <c r="E195" s="1" t="n">
        <v>46305</v>
      </c>
      <c r="F195" t="inlineStr">
        <is>
          <t>ÖSTERGÖTLANDS LÄN</t>
        </is>
      </c>
      <c r="G195" t="inlineStr">
        <is>
          <t>FINSPÅNG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46305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46305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46305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46305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46305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45086</v>
      </c>
      <c r="E201" s="1" t="n">
        <v>46305</v>
      </c>
      <c r="F201" t="inlineStr">
        <is>
          <t>ÖSTERGÖTLANDS LÄN</t>
        </is>
      </c>
      <c r="G201" t="inlineStr">
        <is>
          <t>FINSPÅNG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44816</v>
      </c>
      <c r="E202" s="1" t="n">
        <v>46305</v>
      </c>
      <c r="F202" t="inlineStr">
        <is>
          <t>ÖSTERGÖTLANDS LÄN</t>
        </is>
      </c>
      <c r="G202" t="inlineStr">
        <is>
          <t>FINSPÅNG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46305</v>
      </c>
      <c r="F203" t="inlineStr">
        <is>
          <t>ÖSTERGÖTLANDS LÄN</t>
        </is>
      </c>
      <c r="G203" t="inlineStr">
        <is>
          <t>FINSPÅNG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45618</v>
      </c>
      <c r="E204" s="1" t="n">
        <v>46305</v>
      </c>
      <c r="F204" t="inlineStr">
        <is>
          <t>ÖSTERGÖTLANDS LÄN</t>
        </is>
      </c>
      <c r="G204" t="inlineStr">
        <is>
          <t>FINSPÅNG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46305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Naturvårdsverket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45744</v>
      </c>
      <c r="E206" s="1" t="n">
        <v>46305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46305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44754</v>
      </c>
      <c r="E208" s="1" t="n">
        <v>46305</v>
      </c>
      <c r="F208" t="inlineStr">
        <is>
          <t>ÖSTERGÖTLANDS LÄN</t>
        </is>
      </c>
      <c r="G208" t="inlineStr">
        <is>
          <t>FINSPÅNG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46305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46305</v>
      </c>
      <c r="F210" t="inlineStr">
        <is>
          <t>ÖSTERGÖTLANDS LÄN</t>
        </is>
      </c>
      <c r="G210" t="inlineStr">
        <is>
          <t>FINSPÅNG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44802</v>
      </c>
      <c r="E211" s="1" t="n">
        <v>46305</v>
      </c>
      <c r="F211" t="inlineStr">
        <is>
          <t>ÖSTERGÖTLANDS LÄN</t>
        </is>
      </c>
      <c r="G211" t="inlineStr">
        <is>
          <t>FINSPÅNG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46305</v>
      </c>
      <c r="F212" t="inlineStr">
        <is>
          <t>ÖSTERGÖTLANDS LÄN</t>
        </is>
      </c>
      <c r="G212" t="inlineStr">
        <is>
          <t>FINSPÅNG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46305</v>
      </c>
      <c r="F213" t="inlineStr">
        <is>
          <t>ÖSTERGÖTLANDS LÄN</t>
        </is>
      </c>
      <c r="G213" t="inlineStr">
        <is>
          <t>FINSPÅNG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46305</v>
      </c>
      <c r="F214" t="inlineStr">
        <is>
          <t>ÖSTERGÖTLANDS LÄN</t>
        </is>
      </c>
      <c r="G214" t="inlineStr">
        <is>
          <t>FINSPÅNG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46305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45247</v>
      </c>
      <c r="E216" s="1" t="n">
        <v>46305</v>
      </c>
      <c r="F216" t="inlineStr">
        <is>
          <t>ÖSTERGÖTLANDS LÄN</t>
        </is>
      </c>
      <c r="G216" t="inlineStr">
        <is>
          <t>FINSPÅNG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44778</v>
      </c>
      <c r="E217" s="1" t="n">
        <v>46305</v>
      </c>
      <c r="F217" t="inlineStr">
        <is>
          <t>ÖSTERGÖTLANDS LÄN</t>
        </is>
      </c>
      <c r="G217" t="inlineStr">
        <is>
          <t>FINSPÅNG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46305</v>
      </c>
      <c r="F218" t="inlineStr">
        <is>
          <t>ÖSTERGÖTLANDS LÄN</t>
        </is>
      </c>
      <c r="G218" t="inlineStr">
        <is>
          <t>FINSPÅNG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46305</v>
      </c>
      <c r="F219" t="inlineStr">
        <is>
          <t>ÖSTERGÖTLANDS LÄN</t>
        </is>
      </c>
      <c r="G219" t="inlineStr">
        <is>
          <t>FINSPÅNG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45214</v>
      </c>
      <c r="E220" s="1" t="n">
        <v>46305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46305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45421</v>
      </c>
      <c r="E222" s="1" t="n">
        <v>46305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46305</v>
      </c>
      <c r="F223" t="inlineStr">
        <is>
          <t>ÖSTERGÖTLANDS LÄN</t>
        </is>
      </c>
      <c r="G223" t="inlineStr">
        <is>
          <t>FINSPÅNG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46305</v>
      </c>
      <c r="F224" t="inlineStr">
        <is>
          <t>ÖSTERGÖTLANDS LÄN</t>
        </is>
      </c>
      <c r="G224" t="inlineStr">
        <is>
          <t>FINSPÅNG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46305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46305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Övriga Aktiebolag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46305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46305</v>
      </c>
      <c r="F228" t="inlineStr">
        <is>
          <t>ÖSTERGÖTLANDS LÄN</t>
        </is>
      </c>
      <c r="G228" t="inlineStr">
        <is>
          <t>FINSPÅNG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45275</v>
      </c>
      <c r="E229" s="1" t="n">
        <v>46305</v>
      </c>
      <c r="F229" t="inlineStr">
        <is>
          <t>ÖSTERGÖTLANDS LÄN</t>
        </is>
      </c>
      <c r="G229" t="inlineStr">
        <is>
          <t>FINSPÅNG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46305</v>
      </c>
      <c r="F230" t="inlineStr">
        <is>
          <t>ÖSTERGÖTLANDS LÄN</t>
        </is>
      </c>
      <c r="G230" t="inlineStr">
        <is>
          <t>FINSPÅNG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45447</v>
      </c>
      <c r="E231" s="1" t="n">
        <v>46305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46305</v>
      </c>
      <c r="F232" t="inlineStr">
        <is>
          <t>ÖSTERGÖTLANDS LÄN</t>
        </is>
      </c>
      <c r="G232" t="inlineStr">
        <is>
          <t>FINSPÅNG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45688</v>
      </c>
      <c r="E233" s="1" t="n">
        <v>46305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46305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46305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46305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46305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46305</v>
      </c>
      <c r="F238" t="inlineStr">
        <is>
          <t>ÖSTERGÖTLANDS LÄN</t>
        </is>
      </c>
      <c r="G238" t="inlineStr">
        <is>
          <t>FINSPÅNG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46305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46305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47224-2023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45202</v>
      </c>
      <c r="E241" s="1" t="n">
        <v>46305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46305</v>
      </c>
      <c r="F242" t="inlineStr">
        <is>
          <t>ÖSTERGÖTLANDS LÄN</t>
        </is>
      </c>
      <c r="G242" t="inlineStr">
        <is>
          <t>FINSPÅNG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44993</v>
      </c>
      <c r="E243" s="1" t="n">
        <v>46305</v>
      </c>
      <c r="F243" t="inlineStr">
        <is>
          <t>ÖSTERGÖTLANDS LÄN</t>
        </is>
      </c>
      <c r="G243" t="inlineStr">
        <is>
          <t>FINSPÅNG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46305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45442</v>
      </c>
      <c r="E245" s="1" t="n">
        <v>46305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46305</v>
      </c>
      <c r="F246" t="inlineStr">
        <is>
          <t>ÖSTERGÖTLANDS LÄN</t>
        </is>
      </c>
      <c r="G246" t="inlineStr">
        <is>
          <t>FINSPÅNG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46305</v>
      </c>
      <c r="F247" t="inlineStr">
        <is>
          <t>ÖSTERGÖTLANDS LÄN</t>
        </is>
      </c>
      <c r="G247" t="inlineStr">
        <is>
          <t>FINSPÅNG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46305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46305</v>
      </c>
      <c r="F249" t="inlineStr">
        <is>
          <t>ÖSTERGÖTLANDS LÄN</t>
        </is>
      </c>
      <c r="G249" t="inlineStr">
        <is>
          <t>FINSPÅNG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36406-2024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45535</v>
      </c>
      <c r="E250" s="1" t="n">
        <v>46305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31176-2022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44770</v>
      </c>
      <c r="E251" s="1" t="n">
        <v>46305</v>
      </c>
      <c r="F251" t="inlineStr">
        <is>
          <t>ÖSTERGÖTLANDS LÄN</t>
        </is>
      </c>
      <c r="G251" t="inlineStr">
        <is>
          <t>FINSPÅNG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44986</v>
      </c>
      <c r="E252" s="1" t="n">
        <v>46305</v>
      </c>
      <c r="F252" t="inlineStr">
        <is>
          <t>ÖSTERGÖTLANDS LÄN</t>
        </is>
      </c>
      <c r="G252" t="inlineStr">
        <is>
          <t>FINSPÅNG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44957</v>
      </c>
      <c r="E253" s="1" t="n">
        <v>46305</v>
      </c>
      <c r="F253" t="inlineStr">
        <is>
          <t>ÖSTERGÖTLANDS LÄN</t>
        </is>
      </c>
      <c r="G253" t="inlineStr">
        <is>
          <t>FINSPÅNG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46305</v>
      </c>
      <c r="F254" t="inlineStr">
        <is>
          <t>ÖSTERGÖTLANDS LÄN</t>
        </is>
      </c>
      <c r="G254" t="inlineStr">
        <is>
          <t>FINSPÅNG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46305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44981</v>
      </c>
      <c r="E256" s="1" t="n">
        <v>46305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46305</v>
      </c>
      <c r="F257" t="inlineStr">
        <is>
          <t>ÖSTERGÖTLANDS LÄN</t>
        </is>
      </c>
      <c r="G257" t="inlineStr">
        <is>
          <t>FINSPÅNG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44922</v>
      </c>
      <c r="E258" s="1" t="n">
        <v>46305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45191</v>
      </c>
      <c r="E259" s="1" t="n">
        <v>46305</v>
      </c>
      <c r="F259" t="inlineStr">
        <is>
          <t>ÖSTERGÖTLANDS LÄN</t>
        </is>
      </c>
      <c r="G259" t="inlineStr">
        <is>
          <t>FINSPÅNG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45391</v>
      </c>
      <c r="E260" s="1" t="n">
        <v>46305</v>
      </c>
      <c r="F260" t="inlineStr">
        <is>
          <t>ÖSTERGÖTLANDS LÄN</t>
        </is>
      </c>
      <c r="G260" t="inlineStr">
        <is>
          <t>FINSPÅNG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46305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46305</v>
      </c>
      <c r="F262" t="inlineStr">
        <is>
          <t>ÖSTERGÖTLANDS LÄN</t>
        </is>
      </c>
      <c r="G262" t="inlineStr">
        <is>
          <t>FINSPÅNG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45178</v>
      </c>
      <c r="E263" s="1" t="n">
        <v>46305</v>
      </c>
      <c r="F263" t="inlineStr">
        <is>
          <t>ÖSTERGÖTLANDS LÄN</t>
        </is>
      </c>
      <c r="G263" t="inlineStr">
        <is>
          <t>FINSPÅNG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46305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46305</v>
      </c>
      <c r="F265" t="inlineStr">
        <is>
          <t>ÖSTERGÖTLANDS LÄN</t>
        </is>
      </c>
      <c r="G265" t="inlineStr">
        <is>
          <t>FINSPÅNG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46305</v>
      </c>
      <c r="F266" t="inlineStr">
        <is>
          <t>ÖSTERGÖTLANDS LÄN</t>
        </is>
      </c>
      <c r="G266" t="inlineStr">
        <is>
          <t>FINSPÅNG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46305</v>
      </c>
      <c r="F267" t="inlineStr">
        <is>
          <t>ÖSTERGÖTLANDS LÄN</t>
        </is>
      </c>
      <c r="G267" t="inlineStr">
        <is>
          <t>FINSPÅNG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45177</v>
      </c>
      <c r="E268" s="1" t="n">
        <v>46305</v>
      </c>
      <c r="F268" t="inlineStr">
        <is>
          <t>ÖSTERGÖTLANDS LÄN</t>
        </is>
      </c>
      <c r="G268" t="inlineStr">
        <is>
          <t>FINSPÅNG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45623</v>
      </c>
      <c r="E269" s="1" t="n">
        <v>46305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46305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45197</v>
      </c>
      <c r="E271" s="1" t="n">
        <v>46305</v>
      </c>
      <c r="F271" t="inlineStr">
        <is>
          <t>ÖSTERGÖTLANDS LÄN</t>
        </is>
      </c>
      <c r="G271" t="inlineStr">
        <is>
          <t>FINSPÅNG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46305</v>
      </c>
      <c r="F272" t="inlineStr">
        <is>
          <t>ÖSTERGÖTLANDS LÄN</t>
        </is>
      </c>
      <c r="G272" t="inlineStr">
        <is>
          <t>FINSPÅNG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46305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46305</v>
      </c>
      <c r="F274" t="inlineStr">
        <is>
          <t>ÖSTERGÖTLANDS LÄN</t>
        </is>
      </c>
      <c r="G274" t="inlineStr">
        <is>
          <t>FINSPÅNG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46305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46305</v>
      </c>
      <c r="F276" t="inlineStr">
        <is>
          <t>ÖSTERGÖTLANDS LÄN</t>
        </is>
      </c>
      <c r="G276" t="inlineStr">
        <is>
          <t>FINSPÅNG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7743-2023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44973</v>
      </c>
      <c r="E277" s="1" t="n">
        <v>46305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73260-2021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44550</v>
      </c>
      <c r="E278" s="1" t="n">
        <v>46305</v>
      </c>
      <c r="F278" t="inlineStr">
        <is>
          <t>ÖSTERGÖTLANDS LÄN</t>
        </is>
      </c>
      <c r="G278" t="inlineStr">
        <is>
          <t>FINSPÅNG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63321-2021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46305</v>
      </c>
      <c r="F279" t="inlineStr">
        <is>
          <t>ÖSTERGÖTLANDS LÄN</t>
        </is>
      </c>
      <c r="G279" t="inlineStr">
        <is>
          <t>FINSPÅNG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46305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44922</v>
      </c>
      <c r="E281" s="1" t="n">
        <v>46305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46305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44891</v>
      </c>
      <c r="E283" s="1" t="n">
        <v>46305</v>
      </c>
      <c r="F283" t="inlineStr">
        <is>
          <t>ÖSTERGÖTLANDS LÄN</t>
        </is>
      </c>
      <c r="G283" t="inlineStr">
        <is>
          <t>FINSPÅNG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46305</v>
      </c>
      <c r="F284" t="inlineStr">
        <is>
          <t>ÖSTERGÖTLANDS LÄN</t>
        </is>
      </c>
      <c r="G284" t="inlineStr">
        <is>
          <t>FINSPÅNG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46305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45551</v>
      </c>
      <c r="E286" s="1" t="n">
        <v>46305</v>
      </c>
      <c r="F286" t="inlineStr">
        <is>
          <t>ÖSTERGÖTLANDS LÄN</t>
        </is>
      </c>
      <c r="G286" t="inlineStr">
        <is>
          <t>FINSPÅNG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46305</v>
      </c>
      <c r="F287" t="inlineStr">
        <is>
          <t>ÖSTERGÖTLANDS LÄN</t>
        </is>
      </c>
      <c r="G287" t="inlineStr">
        <is>
          <t>FINSPÅNG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45095</v>
      </c>
      <c r="E288" s="1" t="n">
        <v>46305</v>
      </c>
      <c r="F288" t="inlineStr">
        <is>
          <t>ÖSTERGÖTLANDS LÄN</t>
        </is>
      </c>
      <c r="G288" t="inlineStr">
        <is>
          <t>FINSPÅNG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46305</v>
      </c>
      <c r="F289" t="inlineStr">
        <is>
          <t>ÖSTERGÖTLANDS LÄN</t>
        </is>
      </c>
      <c r="G289" t="inlineStr">
        <is>
          <t>FINSPÅNG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46305</v>
      </c>
      <c r="F290" t="inlineStr">
        <is>
          <t>ÖSTERGÖTLANDS LÄN</t>
        </is>
      </c>
      <c r="G290" t="inlineStr">
        <is>
          <t>FINSPÅNG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44617</v>
      </c>
      <c r="E291" s="1" t="n">
        <v>46305</v>
      </c>
      <c r="F291" t="inlineStr">
        <is>
          <t>ÖSTERGÖTLANDS LÄN</t>
        </is>
      </c>
      <c r="G291" t="inlineStr">
        <is>
          <t>FINSPÅNG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46305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46305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46305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Övriga Aktiebolag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46305</v>
      </c>
      <c r="F295" t="inlineStr">
        <is>
          <t>ÖSTERGÖTLANDS LÄN</t>
        </is>
      </c>
      <c r="G295" t="inlineStr">
        <is>
          <t>FINSPÅNG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45391</v>
      </c>
      <c r="E296" s="1" t="n">
        <v>46305</v>
      </c>
      <c r="F296" t="inlineStr">
        <is>
          <t>ÖSTERGÖTLANDS LÄN</t>
        </is>
      </c>
      <c r="G296" t="inlineStr">
        <is>
          <t>FINSPÅNG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44678</v>
      </c>
      <c r="E297" s="1" t="n">
        <v>46305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46305</v>
      </c>
      <c r="F298" t="inlineStr">
        <is>
          <t>ÖSTERGÖTLANDS LÄN</t>
        </is>
      </c>
      <c r="G298" t="inlineStr">
        <is>
          <t>FINSPÅNG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46305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46305</v>
      </c>
      <c r="F300" t="inlineStr">
        <is>
          <t>ÖSTERGÖTLANDS LÄN</t>
        </is>
      </c>
      <c r="G300" t="inlineStr">
        <is>
          <t>FINSPÅNG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45621</v>
      </c>
      <c r="E301" s="1" t="n">
        <v>46305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44860</v>
      </c>
      <c r="E302" s="1" t="n">
        <v>46305</v>
      </c>
      <c r="F302" t="inlineStr">
        <is>
          <t>ÖSTERGÖTLANDS LÄN</t>
        </is>
      </c>
      <c r="G302" t="inlineStr">
        <is>
          <t>FINSPÅNG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45328</v>
      </c>
      <c r="E303" s="1" t="n">
        <v>46305</v>
      </c>
      <c r="F303" t="inlineStr">
        <is>
          <t>ÖSTERGÖTLANDS LÄN</t>
        </is>
      </c>
      <c r="G303" t="inlineStr">
        <is>
          <t>FINSPÅNG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46305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Kyrkan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44946</v>
      </c>
      <c r="E305" s="1" t="n">
        <v>46305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44946</v>
      </c>
      <c r="E306" s="1" t="n">
        <v>46305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45467</v>
      </c>
      <c r="E307" s="1" t="n">
        <v>46305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46305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46305</v>
      </c>
      <c r="F309" t="inlineStr">
        <is>
          <t>ÖSTERGÖTLANDS LÄN</t>
        </is>
      </c>
      <c r="G309" t="inlineStr">
        <is>
          <t>FINSPÅNG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46305</v>
      </c>
      <c r="F310" t="inlineStr">
        <is>
          <t>ÖSTERGÖTLANDS LÄN</t>
        </is>
      </c>
      <c r="G310" t="inlineStr">
        <is>
          <t>FINSPÅNG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46305</v>
      </c>
      <c r="F311" t="inlineStr">
        <is>
          <t>ÖSTERGÖTLANDS LÄN</t>
        </is>
      </c>
      <c r="G311" t="inlineStr">
        <is>
          <t>FINSPÅNG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45250</v>
      </c>
      <c r="E312" s="1" t="n">
        <v>46305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48443-2023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45206</v>
      </c>
      <c r="E313" s="1" t="n">
        <v>46305</v>
      </c>
      <c r="F313" t="inlineStr">
        <is>
          <t>ÖSTERGÖTLANDS LÄN</t>
        </is>
      </c>
      <c r="G313" t="inlineStr">
        <is>
          <t>FINSPÅNG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45133</v>
      </c>
      <c r="E314" s="1" t="n">
        <v>46305</v>
      </c>
      <c r="F314" t="inlineStr">
        <is>
          <t>ÖSTERGÖTLANDS LÄN</t>
        </is>
      </c>
      <c r="G314" t="inlineStr">
        <is>
          <t>FINSPÅNG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73655-2021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44551</v>
      </c>
      <c r="E315" s="1" t="n">
        <v>46305</v>
      </c>
      <c r="F315" t="inlineStr">
        <is>
          <t>ÖSTERGÖTLANDS LÄN</t>
        </is>
      </c>
      <c r="G315" t="inlineStr">
        <is>
          <t>FINSPÅNG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46305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46305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Allmännings- och besparingsskogar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46305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46305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46305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22603-2024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45447</v>
      </c>
      <c r="E322" s="1" t="n">
        <v>46305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46305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46305</v>
      </c>
      <c r="F324" t="inlineStr">
        <is>
          <t>ÖSTERGÖTLANDS LÄN</t>
        </is>
      </c>
      <c r="G324" t="inlineStr">
        <is>
          <t>FINSPÅNG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46305</v>
      </c>
      <c r="F325" t="inlineStr">
        <is>
          <t>ÖSTERGÖTLANDS LÄN</t>
        </is>
      </c>
      <c r="G325" t="inlineStr">
        <is>
          <t>FINSPÅNG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45337</v>
      </c>
      <c r="E326" s="1" t="n">
        <v>46305</v>
      </c>
      <c r="F326" t="inlineStr">
        <is>
          <t>ÖSTERGÖTLANDS LÄN</t>
        </is>
      </c>
      <c r="G326" t="inlineStr">
        <is>
          <t>FINSPÅNG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58991-2021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44490</v>
      </c>
      <c r="E327" s="1" t="n">
        <v>46305</v>
      </c>
      <c r="F327" t="inlineStr">
        <is>
          <t>ÖSTERGÖTLANDS LÄN</t>
        </is>
      </c>
      <c r="G327" t="inlineStr">
        <is>
          <t>FINSPÅNG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46305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46305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64408-2023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45280</v>
      </c>
      <c r="E330" s="1" t="n">
        <v>46305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13.6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45407-2022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44844</v>
      </c>
      <c r="E331" s="1" t="n">
        <v>46305</v>
      </c>
      <c r="F331" t="inlineStr">
        <is>
          <t>ÖSTERGÖTLANDS LÄN</t>
        </is>
      </c>
      <c r="G331" t="inlineStr">
        <is>
          <t>FINSPÅNG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45411-2022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46305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44866</v>
      </c>
      <c r="E333" s="1" t="n">
        <v>46305</v>
      </c>
      <c r="F333" t="inlineStr">
        <is>
          <t>ÖSTERGÖTLANDS LÄN</t>
        </is>
      </c>
      <c r="G333" t="inlineStr">
        <is>
          <t>FINSPÅNG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44840</v>
      </c>
      <c r="E334" s="1" t="n">
        <v>46305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39655-2023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45167</v>
      </c>
      <c r="E335" s="1" t="n">
        <v>46305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Kyrkan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46305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46305</v>
      </c>
      <c r="F337" t="inlineStr">
        <is>
          <t>ÖSTERGÖTLANDS LÄN</t>
        </is>
      </c>
      <c r="G337" t="inlineStr">
        <is>
          <t>FINSPÅNG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15900-2025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46305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45639</v>
      </c>
      <c r="E339" s="1" t="n">
        <v>46305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46305</v>
      </c>
      <c r="F340" t="inlineStr">
        <is>
          <t>ÖSTERGÖTLANDS LÄN</t>
        </is>
      </c>
      <c r="G340" t="inlineStr">
        <is>
          <t>FINSPÅNG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46305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46305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46305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46305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46305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14866-2022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44656</v>
      </c>
      <c r="E346" s="1" t="n">
        <v>46305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46305</v>
      </c>
      <c r="F347" t="inlineStr">
        <is>
          <t>ÖSTERGÖTLANDS LÄN</t>
        </is>
      </c>
      <c r="G347" t="inlineStr">
        <is>
          <t>FINSPÅNG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46305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46305</v>
      </c>
      <c r="F349" t="inlineStr">
        <is>
          <t>ÖSTERGÖTLANDS LÄN</t>
        </is>
      </c>
      <c r="G349" t="inlineStr">
        <is>
          <t>FINSPÅNG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46305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46305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46305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46305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46305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46305</v>
      </c>
      <c r="F355" t="inlineStr">
        <is>
          <t>ÖSTERGÖTLANDS LÄN</t>
        </is>
      </c>
      <c r="G355" t="inlineStr">
        <is>
          <t>FINSPÅNG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46305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44887</v>
      </c>
      <c r="E357" s="1" t="n">
        <v>46305</v>
      </c>
      <c r="F357" t="inlineStr">
        <is>
          <t>ÖSTERGÖTLANDS LÄN</t>
        </is>
      </c>
      <c r="G357" t="inlineStr">
        <is>
          <t>FINSPÅNG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46305</v>
      </c>
      <c r="F358" t="inlineStr">
        <is>
          <t>ÖSTERGÖTLANDS LÄN</t>
        </is>
      </c>
      <c r="G358" t="inlineStr">
        <is>
          <t>FINSPÅNG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46305</v>
      </c>
      <c r="F359" t="inlineStr">
        <is>
          <t>ÖSTERGÖTLANDS LÄN</t>
        </is>
      </c>
      <c r="G359" t="inlineStr">
        <is>
          <t>FINSPÅNG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46305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54299-2023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46305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46305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46305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52557-2024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45609</v>
      </c>
      <c r="E364" s="1" t="n">
        <v>46305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46305</v>
      </c>
      <c r="F365" t="inlineStr">
        <is>
          <t>ÖSTERGÖTLANDS LÄN</t>
        </is>
      </c>
      <c r="G365" t="inlineStr">
        <is>
          <t>FINSPÅNG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45041</v>
      </c>
      <c r="E366" s="1" t="n">
        <v>46305</v>
      </c>
      <c r="F366" t="inlineStr">
        <is>
          <t>ÖSTERGÖTLANDS LÄN</t>
        </is>
      </c>
      <c r="G366" t="inlineStr">
        <is>
          <t>FINSPÅNG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45642</v>
      </c>
      <c r="E367" s="1" t="n">
        <v>46305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21655-2023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46305</v>
      </c>
      <c r="F368" t="inlineStr">
        <is>
          <t>ÖSTERGÖTLANDS LÄN</t>
        </is>
      </c>
      <c r="G368" t="inlineStr">
        <is>
          <t>FINSPÅNG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46305</v>
      </c>
      <c r="F369" t="inlineStr">
        <is>
          <t>ÖSTERGÖTLANDS LÄN</t>
        </is>
      </c>
      <c r="G369" t="inlineStr">
        <is>
          <t>FINSPÅNG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46305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46305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45566</v>
      </c>
      <c r="E372" s="1" t="n">
        <v>46305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46305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46305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45601</v>
      </c>
      <c r="E375" s="1" t="n">
        <v>46305</v>
      </c>
      <c r="F375" t="inlineStr">
        <is>
          <t>ÖSTERGÖTLANDS LÄN</t>
        </is>
      </c>
      <c r="G375" t="inlineStr">
        <is>
          <t>FINSPÅNG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45040</v>
      </c>
      <c r="E376" s="1" t="n">
        <v>46305</v>
      </c>
      <c r="F376" t="inlineStr">
        <is>
          <t>ÖSTERGÖTLANDS LÄN</t>
        </is>
      </c>
      <c r="G376" t="inlineStr">
        <is>
          <t>FINSPÅNG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46305</v>
      </c>
      <c r="F377" t="inlineStr">
        <is>
          <t>ÖSTERGÖTLANDS LÄN</t>
        </is>
      </c>
      <c r="G377" t="inlineStr">
        <is>
          <t>FINSPÅNG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46305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Övriga Aktiebolag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45530</v>
      </c>
      <c r="E379" s="1" t="n">
        <v>46305</v>
      </c>
      <c r="F379" t="inlineStr">
        <is>
          <t>ÖSTERGÖTLANDS LÄN</t>
        </is>
      </c>
      <c r="G379" t="inlineStr">
        <is>
          <t>FINSPÅNG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55457-2024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46305</v>
      </c>
      <c r="F380" t="inlineStr">
        <is>
          <t>ÖSTERGÖTLANDS LÄN</t>
        </is>
      </c>
      <c r="G380" t="inlineStr">
        <is>
          <t>FINSPÅNG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45068</v>
      </c>
      <c r="E381" s="1" t="n">
        <v>46305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46305</v>
      </c>
      <c r="F382" t="inlineStr">
        <is>
          <t>ÖSTERGÖTLANDS LÄN</t>
        </is>
      </c>
      <c r="G382" t="inlineStr">
        <is>
          <t>FINSPÅNG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45149</v>
      </c>
      <c r="E383" s="1" t="n">
        <v>46305</v>
      </c>
      <c r="F383" t="inlineStr">
        <is>
          <t>ÖSTERGÖTLANDS LÄN</t>
        </is>
      </c>
      <c r="G383" t="inlineStr">
        <is>
          <t>FINSPÅNG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46305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54581-2024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45617</v>
      </c>
      <c r="E385" s="1" t="n">
        <v>46305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45302</v>
      </c>
      <c r="E386" s="1" t="n">
        <v>46305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46305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46305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46305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44622</v>
      </c>
      <c r="E390" s="1" t="n">
        <v>46305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46305</v>
      </c>
      <c r="F391" t="inlineStr">
        <is>
          <t>ÖSTERGÖTLANDS LÄN</t>
        </is>
      </c>
      <c r="G391" t="inlineStr">
        <is>
          <t>FINSPÅNG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45530</v>
      </c>
      <c r="E392" s="1" t="n">
        <v>46305</v>
      </c>
      <c r="F392" t="inlineStr">
        <is>
          <t>ÖSTERGÖTLANDS LÄN</t>
        </is>
      </c>
      <c r="G392" t="inlineStr">
        <is>
          <t>FINSPÅNG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44564</v>
      </c>
      <c r="E393" s="1" t="n">
        <v>46305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46305</v>
      </c>
      <c r="F394" t="inlineStr">
        <is>
          <t>ÖSTERGÖTLANDS LÄN</t>
        </is>
      </c>
      <c r="G394" t="inlineStr">
        <is>
          <t>FINSPÅNG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46305</v>
      </c>
      <c r="F395" t="inlineStr">
        <is>
          <t>ÖSTERGÖTLANDS LÄN</t>
        </is>
      </c>
      <c r="G395" t="inlineStr">
        <is>
          <t>FINSPÅNG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46305</v>
      </c>
      <c r="F396" t="inlineStr">
        <is>
          <t>ÖSTERGÖTLANDS LÄN</t>
        </is>
      </c>
      <c r="G396" t="inlineStr">
        <is>
          <t>FINSPÅNG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65742-2021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44516</v>
      </c>
      <c r="E397" s="1" t="n">
        <v>46305</v>
      </c>
      <c r="F397" t="inlineStr">
        <is>
          <t>ÖSTERGÖTLANDS LÄN</t>
        </is>
      </c>
      <c r="G397" t="inlineStr">
        <is>
          <t>FINSPÅNG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18134-2023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45040</v>
      </c>
      <c r="E398" s="1" t="n">
        <v>46305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45554</v>
      </c>
      <c r="E399" s="1" t="n">
        <v>46305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46305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46305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Kyrkan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44491</v>
      </c>
      <c r="E402" s="1" t="n">
        <v>46305</v>
      </c>
      <c r="F402" t="inlineStr">
        <is>
          <t>ÖSTERGÖTLANDS LÄN</t>
        </is>
      </c>
      <c r="G402" t="inlineStr">
        <is>
          <t>FINSPÅNG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46305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44677</v>
      </c>
      <c r="E404" s="1" t="n">
        <v>46305</v>
      </c>
      <c r="F404" t="inlineStr">
        <is>
          <t>ÖSTERGÖTLANDS LÄN</t>
        </is>
      </c>
      <c r="G404" t="inlineStr">
        <is>
          <t>FINSPÅNG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45609</v>
      </c>
      <c r="E405" s="1" t="n">
        <v>46305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45554</v>
      </c>
      <c r="E406" s="1" t="n">
        <v>46305</v>
      </c>
      <c r="F406" t="inlineStr">
        <is>
          <t>ÖSTERGÖTLANDS LÄN</t>
        </is>
      </c>
      <c r="G406" t="inlineStr">
        <is>
          <t>FINSPÅNG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45554</v>
      </c>
      <c r="E407" s="1" t="n">
        <v>46305</v>
      </c>
      <c r="F407" t="inlineStr">
        <is>
          <t>ÖSTERGÖTLANDS LÄN</t>
        </is>
      </c>
      <c r="G407" t="inlineStr">
        <is>
          <t>FINSPÅNG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46305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Naturvårdsverket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46305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45555</v>
      </c>
      <c r="E410" s="1" t="n">
        <v>46305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46305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46305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Naturvårdsverket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45551</v>
      </c>
      <c r="E413" s="1" t="n">
        <v>46305</v>
      </c>
      <c r="F413" t="inlineStr">
        <is>
          <t>ÖSTERGÖTLANDS LÄN</t>
        </is>
      </c>
      <c r="G413" t="inlineStr">
        <is>
          <t>FINSPÅNG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45428</v>
      </c>
      <c r="E414" s="1" t="n">
        <v>46305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47567-2025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45931</v>
      </c>
      <c r="E415" s="1" t="n">
        <v>46305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45229</v>
      </c>
      <c r="E416" s="1" t="n">
        <v>46305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46305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Övriga Aktiebolag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24310-2025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45797</v>
      </c>
      <c r="E418" s="1" t="n">
        <v>46305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24328-2025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45797</v>
      </c>
      <c r="E419" s="1" t="n">
        <v>46305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45797</v>
      </c>
      <c r="E420" s="1" t="n">
        <v>46305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10215-2022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44622</v>
      </c>
      <c r="E421" s="1" t="n">
        <v>46305</v>
      </c>
      <c r="F421" t="inlineStr">
        <is>
          <t>ÖSTERGÖTLANDS LÄN</t>
        </is>
      </c>
      <c r="G421" t="inlineStr">
        <is>
          <t>FINSPÅNG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45702</v>
      </c>
      <c r="E422" s="1" t="n">
        <v>46305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Övriga Aktiebolag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46305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46305</v>
      </c>
      <c r="F424" t="inlineStr">
        <is>
          <t>ÖSTERGÖTLANDS LÄN</t>
        </is>
      </c>
      <c r="G424" t="inlineStr">
        <is>
          <t>FINSPÅNG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46305</v>
      </c>
      <c r="F425" t="inlineStr">
        <is>
          <t>ÖSTERGÖTLANDS LÄN</t>
        </is>
      </c>
      <c r="G425" t="inlineStr">
        <is>
          <t>FINSPÅNG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46305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46305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45179</v>
      </c>
      <c r="E428" s="1" t="n">
        <v>46305</v>
      </c>
      <c r="F428" t="inlineStr">
        <is>
          <t>ÖSTERGÖTLANDS LÄN</t>
        </is>
      </c>
      <c r="G428" t="inlineStr">
        <is>
          <t>FINSPÅNG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42205-2023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45179</v>
      </c>
      <c r="E429" s="1" t="n">
        <v>46305</v>
      </c>
      <c r="F429" t="inlineStr">
        <is>
          <t>ÖSTERGÖTLANDS LÄN</t>
        </is>
      </c>
      <c r="G429" t="inlineStr">
        <is>
          <t>FINSPÅNG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46305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46305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45935</v>
      </c>
      <c r="E432" s="1" t="n">
        <v>46305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45800</v>
      </c>
      <c r="E433" s="1" t="n">
        <v>46305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Naturvårdsverket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45206</v>
      </c>
      <c r="E434" s="1" t="n">
        <v>46305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46305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Naturvårdsverket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44734</v>
      </c>
      <c r="E436" s="1" t="n">
        <v>46305</v>
      </c>
      <c r="F436" t="inlineStr">
        <is>
          <t>ÖSTERGÖTLANDS LÄN</t>
        </is>
      </c>
      <c r="G436" t="inlineStr">
        <is>
          <t>FINSPÅNG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44732</v>
      </c>
      <c r="E437" s="1" t="n">
        <v>46305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24806-2023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45084</v>
      </c>
      <c r="E438" s="1" t="n">
        <v>46305</v>
      </c>
      <c r="F438" t="inlineStr">
        <is>
          <t>ÖSTERGÖTLANDS LÄN</t>
        </is>
      </c>
      <c r="G438" t="inlineStr">
        <is>
          <t>FINSPÅNG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45456</v>
      </c>
      <c r="E439" s="1" t="n">
        <v>46305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45174</v>
      </c>
      <c r="E440" s="1" t="n">
        <v>46305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45645</v>
      </c>
      <c r="E441" s="1" t="n">
        <v>46305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61998-2022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44918</v>
      </c>
      <c r="E442" s="1" t="n">
        <v>46305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45705</v>
      </c>
      <c r="E443" s="1" t="n">
        <v>46305</v>
      </c>
      <c r="F443" t="inlineStr">
        <is>
          <t>ÖSTERGÖTLANDS LÄN</t>
        </is>
      </c>
      <c r="G443" t="inlineStr">
        <is>
          <t>FINSPÅNG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44795</v>
      </c>
      <c r="E444" s="1" t="n">
        <v>46305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46305</v>
      </c>
      <c r="F445" t="inlineStr">
        <is>
          <t>ÖSTERGÖTLANDS LÄN</t>
        </is>
      </c>
      <c r="G445" t="inlineStr">
        <is>
          <t>FINSPÅNG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44614</v>
      </c>
      <c r="E446" s="1" t="n">
        <v>46305</v>
      </c>
      <c r="F446" t="inlineStr">
        <is>
          <t>ÖSTERGÖTLANDS LÄN</t>
        </is>
      </c>
      <c r="G446" t="inlineStr">
        <is>
          <t>FINSPÅNG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46305</v>
      </c>
      <c r="F447" t="inlineStr">
        <is>
          <t>ÖSTERGÖTLANDS LÄN</t>
        </is>
      </c>
      <c r="G447" t="inlineStr">
        <is>
          <t>FINSPÅNG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44679</v>
      </c>
      <c r="E448" s="1" t="n">
        <v>46305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Övriga Aktiebolag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24192-2022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44725</v>
      </c>
      <c r="E449" s="1" t="n">
        <v>46305</v>
      </c>
      <c r="F449" t="inlineStr">
        <is>
          <t>ÖSTERGÖTLANDS LÄN</t>
        </is>
      </c>
      <c r="G449" t="inlineStr">
        <is>
          <t>FINSPÅNG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46305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46305</v>
      </c>
      <c r="F451" t="inlineStr">
        <is>
          <t>ÖSTERGÖTLANDS LÄN</t>
        </is>
      </c>
      <c r="G451" t="inlineStr">
        <is>
          <t>FINSPÅNG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44634</v>
      </c>
      <c r="E452" s="1" t="n">
        <v>46305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14454-2022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44653</v>
      </c>
      <c r="E453" s="1" t="n">
        <v>46305</v>
      </c>
      <c r="F453" t="inlineStr">
        <is>
          <t>ÖSTERGÖTLANDS LÄN</t>
        </is>
      </c>
      <c r="G453" t="inlineStr">
        <is>
          <t>FINSPÅNG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46305</v>
      </c>
      <c r="F454" t="inlineStr">
        <is>
          <t>ÖSTERGÖTLANDS LÄN</t>
        </is>
      </c>
      <c r="G454" t="inlineStr">
        <is>
          <t>FINSPÅNG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45415</v>
      </c>
      <c r="E455" s="1" t="n">
        <v>46305</v>
      </c>
      <c r="F455" t="inlineStr">
        <is>
          <t>ÖSTERGÖTLANDS LÄN</t>
        </is>
      </c>
      <c r="G455" t="inlineStr">
        <is>
          <t>FINSPÅNG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46305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45762</v>
      </c>
      <c r="E457" s="1" t="n">
        <v>46305</v>
      </c>
      <c r="F457" t="inlineStr">
        <is>
          <t>ÖSTERGÖTLANDS LÄN</t>
        </is>
      </c>
      <c r="G457" t="inlineStr">
        <is>
          <t>FINSPÅNG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50395-2025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45944</v>
      </c>
      <c r="E458" s="1" t="n">
        <v>46305</v>
      </c>
      <c r="F458" t="inlineStr">
        <is>
          <t>ÖSTERGÖTLANDS LÄN</t>
        </is>
      </c>
      <c r="G458" t="inlineStr">
        <is>
          <t>FINSPÅNG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45812</v>
      </c>
      <c r="E459" s="1" t="n">
        <v>46305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46305</v>
      </c>
      <c r="F460" t="inlineStr">
        <is>
          <t>ÖSTERGÖTLANDS LÄN</t>
        </is>
      </c>
      <c r="G460" t="inlineStr">
        <is>
          <t>FINSPÅNG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45812</v>
      </c>
      <c r="E461" s="1" t="n">
        <v>46305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64103-2023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45279</v>
      </c>
      <c r="E462" s="1" t="n">
        <v>46305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45421</v>
      </c>
      <c r="E463" s="1" t="n">
        <v>46305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7269-2024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45344</v>
      </c>
      <c r="E464" s="1" t="n">
        <v>46305</v>
      </c>
      <c r="F464" t="inlineStr">
        <is>
          <t>ÖSTERGÖTLANDS LÄN</t>
        </is>
      </c>
      <c r="G464" t="inlineStr">
        <is>
          <t>FINSPÅNG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45639</v>
      </c>
      <c r="E465" s="1" t="n">
        <v>46305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45257</v>
      </c>
      <c r="E466" s="1" t="n">
        <v>46305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45819</v>
      </c>
      <c r="E467" s="1" t="n">
        <v>46305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45819</v>
      </c>
      <c r="E468" s="1" t="n">
        <v>46305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46305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46305</v>
      </c>
      <c r="F470" t="inlineStr">
        <is>
          <t>ÖSTERGÖTLANDS LÄN</t>
        </is>
      </c>
      <c r="G470" t="inlineStr">
        <is>
          <t>FINSPÅNG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51508-2025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46305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27892-2023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45095</v>
      </c>
      <c r="E472" s="1" t="n">
        <v>46305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46305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45824</v>
      </c>
      <c r="E474" s="1" t="n">
        <v>46305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45824</v>
      </c>
      <c r="E475" s="1" t="n">
        <v>46305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45824</v>
      </c>
      <c r="E476" s="1" t="n">
        <v>46305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45209</v>
      </c>
      <c r="E477" s="1" t="n">
        <v>46305</v>
      </c>
      <c r="F477" t="inlineStr">
        <is>
          <t>ÖSTERGÖTLANDS LÄN</t>
        </is>
      </c>
      <c r="G477" t="inlineStr">
        <is>
          <t>FINSPÅNG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46305</v>
      </c>
      <c r="F478" t="inlineStr">
        <is>
          <t>ÖSTERGÖTLANDS LÄN</t>
        </is>
      </c>
      <c r="G478" t="inlineStr">
        <is>
          <t>FINSPÅNG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45086</v>
      </c>
      <c r="E479" s="1" t="n">
        <v>46305</v>
      </c>
      <c r="F479" t="inlineStr">
        <is>
          <t>ÖSTERGÖTLANDS LÄN</t>
        </is>
      </c>
      <c r="G479" t="inlineStr">
        <is>
          <t>FINSPÅNG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45243</v>
      </c>
      <c r="E480" s="1" t="n">
        <v>46305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45071</v>
      </c>
      <c r="E481" s="1" t="n">
        <v>46305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45660</v>
      </c>
      <c r="E482" s="1" t="n">
        <v>46305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Övriga Aktiebolag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28722-2023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45103</v>
      </c>
      <c r="E483" s="1" t="n">
        <v>46305</v>
      </c>
      <c r="F483" t="inlineStr">
        <is>
          <t>ÖSTERGÖTLANDS LÄN</t>
        </is>
      </c>
      <c r="G483" t="inlineStr">
        <is>
          <t>FINSPÅNG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46305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39896-2023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46305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Övriga Aktiebolag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45075</v>
      </c>
      <c r="E486" s="1" t="n">
        <v>46305</v>
      </c>
      <c r="F486" t="inlineStr">
        <is>
          <t>ÖSTERGÖTLANDS LÄN</t>
        </is>
      </c>
      <c r="G486" t="inlineStr">
        <is>
          <t>FINSPÅNG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45253</v>
      </c>
      <c r="E487" s="1" t="n">
        <v>46305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52659-2025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45955</v>
      </c>
      <c r="E488" s="1" t="n">
        <v>46305</v>
      </c>
      <c r="F488" t="inlineStr">
        <is>
          <t>ÖSTERGÖTLANDS LÄN</t>
        </is>
      </c>
      <c r="G488" t="inlineStr">
        <is>
          <t>FINSPÅNG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44664</v>
      </c>
      <c r="E489" s="1" t="n">
        <v>46305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59672-2024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45639</v>
      </c>
      <c r="E490" s="1" t="n">
        <v>46305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63482-2023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45274</v>
      </c>
      <c r="E491" s="1" t="n">
        <v>46305</v>
      </c>
      <c r="F491" t="inlineStr">
        <is>
          <t>ÖSTERGÖTLANDS LÄN</t>
        </is>
      </c>
      <c r="G491" t="inlineStr">
        <is>
          <t>FINSPÅNG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45665</v>
      </c>
      <c r="E492" s="1" t="n">
        <v>46305</v>
      </c>
      <c r="F492" t="inlineStr">
        <is>
          <t>ÖSTERGÖTLANDS LÄN</t>
        </is>
      </c>
      <c r="G492" t="inlineStr">
        <is>
          <t>FINSPÅNG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30920-2022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44767</v>
      </c>
      <c r="E493" s="1" t="n">
        <v>46305</v>
      </c>
      <c r="F493" t="inlineStr">
        <is>
          <t>ÖSTERGÖTLANDS LÄN</t>
        </is>
      </c>
      <c r="G493" t="inlineStr">
        <is>
          <t>FINSPÅNG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32246-2025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45835</v>
      </c>
      <c r="E494" s="1" t="n">
        <v>46305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46305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46305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26247-2022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44735</v>
      </c>
      <c r="E497" s="1" t="n">
        <v>46305</v>
      </c>
      <c r="F497" t="inlineStr">
        <is>
          <t>ÖSTERGÖTLANDS LÄN</t>
        </is>
      </c>
      <c r="G497" t="inlineStr">
        <is>
          <t>FINSPÅNG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46305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45516</v>
      </c>
      <c r="E499" s="1" t="n">
        <v>46305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45142</v>
      </c>
      <c r="E500" s="1" t="n">
        <v>46305</v>
      </c>
      <c r="F500" t="inlineStr">
        <is>
          <t>ÖSTERGÖTLANDS LÄN</t>
        </is>
      </c>
      <c r="G500" t="inlineStr">
        <is>
          <t>FINSPÅNG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46305</v>
      </c>
      <c r="F501" t="inlineStr">
        <is>
          <t>ÖSTERGÖTLANDS LÄN</t>
        </is>
      </c>
      <c r="G501" t="inlineStr">
        <is>
          <t>FINSPÅNG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46305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44729</v>
      </c>
      <c r="E503" s="1" t="n">
        <v>46305</v>
      </c>
      <c r="F503" t="inlineStr">
        <is>
          <t>ÖSTERGÖTLANDS LÄN</t>
        </is>
      </c>
      <c r="G503" t="inlineStr">
        <is>
          <t>FINSPÅNG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46305</v>
      </c>
      <c r="F504" t="inlineStr">
        <is>
          <t>ÖSTERGÖTLANDS LÄN</t>
        </is>
      </c>
      <c r="G504" t="inlineStr">
        <is>
          <t>FINSPÅNG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48691-2024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45593</v>
      </c>
      <c r="E505" s="1" t="n">
        <v>46305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Övriga Aktiebolag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61447-2024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45646</v>
      </c>
      <c r="E506" s="1" t="n">
        <v>46305</v>
      </c>
      <c r="F506" t="inlineStr">
        <is>
          <t>ÖSTERGÖTLANDS LÄN</t>
        </is>
      </c>
      <c r="G506" t="inlineStr">
        <is>
          <t>FINSPÅNG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46305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55292-2025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45969</v>
      </c>
      <c r="E508" s="1" t="n">
        <v>46305</v>
      </c>
      <c r="F508" t="inlineStr">
        <is>
          <t>ÖSTERGÖTLANDS LÄN</t>
        </is>
      </c>
      <c r="G508" t="inlineStr">
        <is>
          <t>FINSPÅNG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55431-2025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46305</v>
      </c>
      <c r="F509" t="inlineStr">
        <is>
          <t>ÖSTERGÖTLANDS LÄN</t>
        </is>
      </c>
      <c r="G509" t="inlineStr">
        <is>
          <t>FINSPÅNG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45314</v>
      </c>
      <c r="E510" s="1" t="n">
        <v>46305</v>
      </c>
      <c r="F510" t="inlineStr">
        <is>
          <t>ÖSTERGÖTLANDS LÄN</t>
        </is>
      </c>
      <c r="G510" t="inlineStr">
        <is>
          <t>FINSPÅNG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31323-2022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44774</v>
      </c>
      <c r="E511" s="1" t="n">
        <v>46305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45845</v>
      </c>
      <c r="E512" s="1" t="n">
        <v>46305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27697-2023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45095</v>
      </c>
      <c r="E513" s="1" t="n">
        <v>46305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45095</v>
      </c>
      <c r="E514" s="1" t="n">
        <v>46305</v>
      </c>
      <c r="F514" t="inlineStr">
        <is>
          <t>ÖSTERGÖTLANDS LÄN</t>
        </is>
      </c>
      <c r="G514" t="inlineStr">
        <is>
          <t>FINSPÅNG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16680-2022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44672</v>
      </c>
      <c r="E515" s="1" t="n">
        <v>46305</v>
      </c>
      <c r="F515" t="inlineStr">
        <is>
          <t>ÖSTERGÖTLANDS LÄN</t>
        </is>
      </c>
      <c r="G515" t="inlineStr">
        <is>
          <t>FINSPÅNG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45709</v>
      </c>
      <c r="E516" s="1" t="n">
        <v>46305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46305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46305</v>
      </c>
      <c r="F518" t="inlineStr">
        <is>
          <t>ÖSTERGÖTLANDS LÄN</t>
        </is>
      </c>
      <c r="G518" t="inlineStr">
        <is>
          <t>FINSPÅNG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40319-2022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46305</v>
      </c>
      <c r="F519" t="inlineStr">
        <is>
          <t>ÖSTERGÖTLANDS LÄN</t>
        </is>
      </c>
      <c r="G519" t="inlineStr">
        <is>
          <t>FINSPÅNG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46305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44973</v>
      </c>
      <c r="E521" s="1" t="n">
        <v>46305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45623</v>
      </c>
      <c r="E522" s="1" t="n">
        <v>46305</v>
      </c>
      <c r="F522" t="inlineStr">
        <is>
          <t>ÖSTERGÖTLANDS LÄN</t>
        </is>
      </c>
      <c r="G522" t="inlineStr">
        <is>
          <t>FINSPÅNG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45776</v>
      </c>
      <c r="E523" s="1" t="n">
        <v>46305</v>
      </c>
      <c r="F523" t="inlineStr">
        <is>
          <t>ÖSTERGÖTLANDS LÄN</t>
        </is>
      </c>
      <c r="G523" t="inlineStr">
        <is>
          <t>FINSPÅNG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38613-2022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44813</v>
      </c>
      <c r="E524" s="1" t="n">
        <v>46305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45002</v>
      </c>
      <c r="E525" s="1" t="n">
        <v>46305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43051-2022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44833</v>
      </c>
      <c r="E526" s="1" t="n">
        <v>46305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45468</v>
      </c>
      <c r="E527" s="1" t="n">
        <v>46305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45853</v>
      </c>
      <c r="E528" s="1" t="n">
        <v>46305</v>
      </c>
      <c r="F528" t="inlineStr">
        <is>
          <t>ÖSTERGÖTLANDS LÄN</t>
        </is>
      </c>
      <c r="G528" t="inlineStr">
        <is>
          <t>FINSPÅNG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45530</v>
      </c>
      <c r="E529" s="1" t="n">
        <v>46305</v>
      </c>
      <c r="F529" t="inlineStr">
        <is>
          <t>ÖSTERGÖTLANDS LÄN</t>
        </is>
      </c>
      <c r="G529" t="inlineStr">
        <is>
          <t>FINSPÅNG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46305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35375-2025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45854</v>
      </c>
      <c r="E531" s="1" t="n">
        <v>46305</v>
      </c>
      <c r="F531" t="inlineStr">
        <is>
          <t>ÖSTERGÖTLANDS LÄN</t>
        </is>
      </c>
      <c r="G531" t="inlineStr">
        <is>
          <t>FINSPÅNG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46305</v>
      </c>
      <c r="F532" t="inlineStr">
        <is>
          <t>ÖSTERGÖTLANDS LÄN</t>
        </is>
      </c>
      <c r="G532" t="inlineStr">
        <is>
          <t>FINSPÅNG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35374-2025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45854</v>
      </c>
      <c r="E533" s="1" t="n">
        <v>46305</v>
      </c>
      <c r="F533" t="inlineStr">
        <is>
          <t>ÖSTERGÖTLANDS LÄN</t>
        </is>
      </c>
      <c r="G533" t="inlineStr">
        <is>
          <t>FINSPÅNG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45523</v>
      </c>
      <c r="E534" s="1" t="n">
        <v>46305</v>
      </c>
      <c r="F534" t="inlineStr">
        <is>
          <t>ÖSTERGÖTLANDS LÄN</t>
        </is>
      </c>
      <c r="G534" t="inlineStr">
        <is>
          <t>FINSPÅNG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46305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45379</v>
      </c>
      <c r="E536" s="1" t="n">
        <v>46305</v>
      </c>
      <c r="F536" t="inlineStr">
        <is>
          <t>ÖSTERGÖTLANDS LÄN</t>
        </is>
      </c>
      <c r="G536" t="inlineStr">
        <is>
          <t>FINSPÅNG</t>
        </is>
      </c>
      <c r="I536" t="n">
        <v>11.9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46305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45309</v>
      </c>
      <c r="E538" s="1" t="n">
        <v>46305</v>
      </c>
      <c r="F538" t="inlineStr">
        <is>
          <t>ÖSTERGÖTLANDS LÄN</t>
        </is>
      </c>
      <c r="G538" t="inlineStr">
        <is>
          <t>FINSPÅNG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46305</v>
      </c>
      <c r="F539" t="inlineStr">
        <is>
          <t>ÖSTERGÖTLANDS LÄN</t>
        </is>
      </c>
      <c r="G539" t="inlineStr">
        <is>
          <t>FINSPÅNG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45147</v>
      </c>
      <c r="E540" s="1" t="n">
        <v>46305</v>
      </c>
      <c r="F540" t="inlineStr">
        <is>
          <t>ÖSTERGÖTLANDS LÄN</t>
        </is>
      </c>
      <c r="G540" t="inlineStr">
        <is>
          <t>FINSPÅNG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46305</v>
      </c>
      <c r="F541" t="inlineStr">
        <is>
          <t>ÖSTERGÖTLANDS LÄN</t>
        </is>
      </c>
      <c r="G541" t="inlineStr">
        <is>
          <t>FINSPÅNG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45257</v>
      </c>
      <c r="E542" s="1" t="n">
        <v>46305</v>
      </c>
      <c r="F542" t="inlineStr">
        <is>
          <t>ÖSTERGÖTLANDS LÄN</t>
        </is>
      </c>
      <c r="G542" t="inlineStr">
        <is>
          <t>FINSPÅNG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44759</v>
      </c>
      <c r="E543" s="1" t="n">
        <v>46305</v>
      </c>
      <c r="F543" t="inlineStr">
        <is>
          <t>ÖSTERGÖTLANDS LÄN</t>
        </is>
      </c>
      <c r="G543" t="inlineStr">
        <is>
          <t>FINSPÅNG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45302</v>
      </c>
      <c r="E544" s="1" t="n">
        <v>46305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45243-2022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44840</v>
      </c>
      <c r="E545" s="1" t="n">
        <v>46305</v>
      </c>
      <c r="F545" t="inlineStr">
        <is>
          <t>ÖSTERGÖTLANDS LÄN</t>
        </is>
      </c>
      <c r="G545" t="inlineStr">
        <is>
          <t>FINSPÅNG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44966</v>
      </c>
      <c r="E546" s="1" t="n">
        <v>46305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46305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46305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45870</v>
      </c>
      <c r="E549" s="1" t="n">
        <v>46305</v>
      </c>
      <c r="F549" t="inlineStr">
        <is>
          <t>ÖSTERGÖTLANDS LÄN</t>
        </is>
      </c>
      <c r="G549" t="inlineStr">
        <is>
          <t>FINSPÅNG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46305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44767</v>
      </c>
      <c r="E551" s="1" t="n">
        <v>46305</v>
      </c>
      <c r="F551" t="inlineStr">
        <is>
          <t>ÖSTERGÖTLANDS LÄN</t>
        </is>
      </c>
      <c r="G551" t="inlineStr">
        <is>
          <t>FINSPÅNG</t>
        </is>
      </c>
      <c r="I551" t="n">
        <v>10.6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46305</v>
      </c>
      <c r="F552" t="inlineStr">
        <is>
          <t>ÖSTERGÖTLANDS LÄN</t>
        </is>
      </c>
      <c r="G552" t="inlineStr">
        <is>
          <t>FINSPÅNG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46305</v>
      </c>
      <c r="F553" t="inlineStr">
        <is>
          <t>ÖSTERGÖTLANDS LÄN</t>
        </is>
      </c>
      <c r="G553" t="inlineStr">
        <is>
          <t>FINSPÅNG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39205-2022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46305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45041</v>
      </c>
      <c r="E555" s="1" t="n">
        <v>46305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Naturvårdsverket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45082</v>
      </c>
      <c r="E556" s="1" t="n">
        <v>46305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46305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45040</v>
      </c>
      <c r="E558" s="1" t="n">
        <v>46305</v>
      </c>
      <c r="F558" t="inlineStr">
        <is>
          <t>ÖSTERGÖTLANDS LÄN</t>
        </is>
      </c>
      <c r="G558" t="inlineStr">
        <is>
          <t>FINSPÅNG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45709</v>
      </c>
      <c r="E559" s="1" t="n">
        <v>46305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43318-2022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44834</v>
      </c>
      <c r="E560" s="1" t="n">
        <v>46305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49677-2022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44862</v>
      </c>
      <c r="E561" s="1" t="n">
        <v>46305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5616-2022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44595</v>
      </c>
      <c r="E562" s="1" t="n">
        <v>46305</v>
      </c>
      <c r="F562" t="inlineStr">
        <is>
          <t>ÖSTERGÖTLANDS LÄN</t>
        </is>
      </c>
      <c r="G562" t="inlineStr">
        <is>
          <t>FINSPÅNG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44973</v>
      </c>
      <c r="E563" s="1" t="n">
        <v>46305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53821-2022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44880</v>
      </c>
      <c r="E564" s="1" t="n">
        <v>46305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46305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45710</v>
      </c>
      <c r="E566" s="1" t="n">
        <v>46305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45314-2023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45191</v>
      </c>
      <c r="E567" s="1" t="n">
        <v>46305</v>
      </c>
      <c r="F567" t="inlineStr">
        <is>
          <t>ÖSTERGÖTLANDS LÄN</t>
        </is>
      </c>
      <c r="G567" t="inlineStr">
        <is>
          <t>FINSPÅNG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46305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45009</v>
      </c>
      <c r="E569" s="1" t="n">
        <v>46305</v>
      </c>
      <c r="F569" t="inlineStr">
        <is>
          <t>ÖSTERGÖTLANDS LÄN</t>
        </is>
      </c>
      <c r="G569" t="inlineStr">
        <is>
          <t>FINSPÅNG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24804-2023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45084</v>
      </c>
      <c r="E570" s="1" t="n">
        <v>46305</v>
      </c>
      <c r="F570" t="inlineStr">
        <is>
          <t>ÖSTERGÖTLANDS LÄN</t>
        </is>
      </c>
      <c r="G570" t="inlineStr">
        <is>
          <t>FINSPÅNG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46305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Naturvårdsverket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33027-2022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44782</v>
      </c>
      <c r="E572" s="1" t="n">
        <v>46305</v>
      </c>
      <c r="F572" t="inlineStr">
        <is>
          <t>ÖSTERGÖTLANDS LÄN</t>
        </is>
      </c>
      <c r="G572" t="inlineStr">
        <is>
          <t>FINSPÅNG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46305</v>
      </c>
      <c r="F573" t="inlineStr">
        <is>
          <t>ÖSTERGÖTLANDS LÄN</t>
        </is>
      </c>
      <c r="G573" t="inlineStr">
        <is>
          <t>FINSPÅNG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46305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54727-2023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45236</v>
      </c>
      <c r="E575" s="1" t="n">
        <v>46305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46305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46305</v>
      </c>
      <c r="F577" t="inlineStr">
        <is>
          <t>ÖSTERGÖTLANDS LÄN</t>
        </is>
      </c>
      <c r="G577" t="inlineStr">
        <is>
          <t>FINSPÅNG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44714</v>
      </c>
      <c r="E578" s="1" t="n">
        <v>46305</v>
      </c>
      <c r="F578" t="inlineStr">
        <is>
          <t>ÖSTERGÖTLANDS LÄN</t>
        </is>
      </c>
      <c r="G578" t="inlineStr">
        <is>
          <t>FINSPÅNG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46305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Sveaskog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54923-2022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44886</v>
      </c>
      <c r="E580" s="1" t="n">
        <v>46305</v>
      </c>
      <c r="F580" t="inlineStr">
        <is>
          <t>ÖSTERGÖTLANDS LÄN</t>
        </is>
      </c>
      <c r="G580" t="inlineStr">
        <is>
          <t>FINSPÅNG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46305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22354-2023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45070</v>
      </c>
      <c r="E582" s="1" t="n">
        <v>46305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45299</v>
      </c>
      <c r="E583" s="1" t="n">
        <v>46305</v>
      </c>
      <c r="F583" t="inlineStr">
        <is>
          <t>ÖSTERGÖTLANDS LÄN</t>
        </is>
      </c>
      <c r="G583" t="inlineStr">
        <is>
          <t>FINSPÅNG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46305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45983</v>
      </c>
      <c r="E585" s="1" t="n">
        <v>46305</v>
      </c>
      <c r="F585" t="inlineStr">
        <is>
          <t>ÖSTERGÖTLANDS LÄN</t>
        </is>
      </c>
      <c r="G585" t="inlineStr">
        <is>
          <t>FINSPÅNG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45983</v>
      </c>
      <c r="E586" s="1" t="n">
        <v>46305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29078-2022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44749</v>
      </c>
      <c r="E587" s="1" t="n">
        <v>46305</v>
      </c>
      <c r="F587" t="inlineStr">
        <is>
          <t>ÖSTERGÖTLANDS LÄN</t>
        </is>
      </c>
      <c r="G587" t="inlineStr">
        <is>
          <t>FINSPÅNG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45566</v>
      </c>
      <c r="E588" s="1" t="n">
        <v>46305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46305</v>
      </c>
      <c r="F589" t="inlineStr">
        <is>
          <t>ÖSTERGÖTLANDS LÄN</t>
        </is>
      </c>
      <c r="G589" t="inlineStr">
        <is>
          <t>FINSPÅNG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18494-2023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45042</v>
      </c>
      <c r="E590" s="1" t="n">
        <v>46305</v>
      </c>
      <c r="F590" t="inlineStr">
        <is>
          <t>ÖSTERGÖTLANDS LÄN</t>
        </is>
      </c>
      <c r="G590" t="inlineStr">
        <is>
          <t>FINSPÅNG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46305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53246-2022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44876</v>
      </c>
      <c r="E592" s="1" t="n">
        <v>46305</v>
      </c>
      <c r="F592" t="inlineStr">
        <is>
          <t>ÖSTERGÖTLANDS LÄN</t>
        </is>
      </c>
      <c r="G592" t="inlineStr">
        <is>
          <t>FINSPÅNG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49494-2022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46305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Naturvårdsverket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45983</v>
      </c>
      <c r="E594" s="1" t="n">
        <v>46305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58796-2025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45986</v>
      </c>
      <c r="E595" s="1" t="n">
        <v>46305</v>
      </c>
      <c r="F595" t="inlineStr">
        <is>
          <t>ÖSTERGÖTLANDS LÄN</t>
        </is>
      </c>
      <c r="G595" t="inlineStr">
        <is>
          <t>FINSPÅNG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44987</v>
      </c>
      <c r="E596" s="1" t="n">
        <v>46305</v>
      </c>
      <c r="F596" t="inlineStr">
        <is>
          <t>ÖSTERGÖTLANDS LÄN</t>
        </is>
      </c>
      <c r="G596" t="inlineStr">
        <is>
          <t>FINSPÅNG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53610-2022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44879</v>
      </c>
      <c r="E597" s="1" t="n">
        <v>46305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58698-2025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45985</v>
      </c>
      <c r="E598" s="1" t="n">
        <v>46305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51610-2022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44871</v>
      </c>
      <c r="E599" s="1" t="n">
        <v>46305</v>
      </c>
      <c r="F599" t="inlineStr">
        <is>
          <t>ÖSTERGÖTLANDS LÄN</t>
        </is>
      </c>
      <c r="G599" t="inlineStr">
        <is>
          <t>FINSPÅNG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68122-2021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44526</v>
      </c>
      <c r="E600" s="1" t="n">
        <v>46305</v>
      </c>
      <c r="F600" t="inlineStr">
        <is>
          <t>ÖSTERGÖTLANDS LÄN</t>
        </is>
      </c>
      <c r="G600" t="inlineStr">
        <is>
          <t>FINSPÅNG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12814-2022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46305</v>
      </c>
      <c r="F601" t="inlineStr">
        <is>
          <t>ÖSTERGÖTLANDS LÄN</t>
        </is>
      </c>
      <c r="G601" t="inlineStr">
        <is>
          <t>FINSPÅNG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70505-2021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44536</v>
      </c>
      <c r="E602" s="1" t="n">
        <v>46305</v>
      </c>
      <c r="F602" t="inlineStr">
        <is>
          <t>ÖSTERGÖTLANDS LÄN</t>
        </is>
      </c>
      <c r="G602" t="inlineStr">
        <is>
          <t>FINSPÅNG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13375-2025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46305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46305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55052-2023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45237</v>
      </c>
      <c r="E605" s="1" t="n">
        <v>46305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Kyrkan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46305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23350-2023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45076</v>
      </c>
      <c r="E607" s="1" t="n">
        <v>46305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45548</v>
      </c>
      <c r="E608" s="1" t="n">
        <v>46305</v>
      </c>
      <c r="F608" t="inlineStr">
        <is>
          <t>ÖSTERGÖTLANDS LÄN</t>
        </is>
      </c>
      <c r="G608" t="inlineStr">
        <is>
          <t>FINSPÅNG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13378-2025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45735</v>
      </c>
      <c r="E609" s="1" t="n">
        <v>46305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46305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46305</v>
      </c>
      <c r="F611" t="inlineStr">
        <is>
          <t>ÖSTERGÖTLANDS LÄN</t>
        </is>
      </c>
      <c r="G611" t="inlineStr">
        <is>
          <t>FINSPÅNG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2650-2023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44944</v>
      </c>
      <c r="E612" s="1" t="n">
        <v>46305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62421-2021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44503</v>
      </c>
      <c r="E613" s="1" t="n">
        <v>46305</v>
      </c>
      <c r="F613" t="inlineStr">
        <is>
          <t>ÖSTERGÖTLANDS LÄN</t>
        </is>
      </c>
      <c r="G613" t="inlineStr">
        <is>
          <t>FINSPÅNG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46305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46305</v>
      </c>
      <c r="F615" t="inlineStr">
        <is>
          <t>ÖSTERGÖTLANDS LÄN</t>
        </is>
      </c>
      <c r="G615" t="inlineStr">
        <is>
          <t>FINSPÅNG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44595</v>
      </c>
      <c r="E616" s="1" t="n">
        <v>46305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54404-2023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46305</v>
      </c>
      <c r="F617" t="inlineStr">
        <is>
          <t>ÖSTERGÖTLANDS LÄN</t>
        </is>
      </c>
      <c r="G617" t="inlineStr">
        <is>
          <t>FINSPÅNG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46305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46305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16996-2026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46114</v>
      </c>
      <c r="E620" s="1" t="n">
        <v>46305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44607</v>
      </c>
      <c r="E621" s="1" t="n">
        <v>46305</v>
      </c>
      <c r="F621" t="inlineStr">
        <is>
          <t>ÖSTERGÖTLANDS LÄN</t>
        </is>
      </c>
      <c r="G621" t="inlineStr">
        <is>
          <t>FINSPÅNG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46305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46121</v>
      </c>
      <c r="E623" s="1" t="n">
        <v>46305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4280-2023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46305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46305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39356-2022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44817</v>
      </c>
      <c r="E626" s="1" t="n">
        <v>46305</v>
      </c>
      <c r="F626" t="inlineStr">
        <is>
          <t>ÖSTERGÖTLANDS LÄN</t>
        </is>
      </c>
      <c r="G626" t="inlineStr">
        <is>
          <t>FINSPÅNG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46122</v>
      </c>
      <c r="E627" s="1" t="n">
        <v>46305</v>
      </c>
      <c r="F627" t="inlineStr">
        <is>
          <t>ÖSTERGÖTLANDS LÄN</t>
        </is>
      </c>
      <c r="G627" t="inlineStr">
        <is>
          <t>FINSPÅNG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34001-2024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45523</v>
      </c>
      <c r="E628" s="1" t="n">
        <v>46305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61202-2025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46305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46129</v>
      </c>
      <c r="E630" s="1" t="n">
        <v>46305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50811-2022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44867</v>
      </c>
      <c r="E631" s="1" t="n">
        <v>46305</v>
      </c>
      <c r="F631" t="inlineStr">
        <is>
          <t>ÖSTERGÖTLANDS LÄN</t>
        </is>
      </c>
      <c r="G631" t="inlineStr">
        <is>
          <t>FINSPÅNG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61595-2025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46002</v>
      </c>
      <c r="E632" s="1" t="n">
        <v>46305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61683-2025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46305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44732</v>
      </c>
      <c r="E634" s="1" t="n">
        <v>46305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44949</v>
      </c>
      <c r="E635" s="1" t="n">
        <v>46305</v>
      </c>
      <c r="F635" t="inlineStr">
        <is>
          <t>ÖSTERGÖTLANDS LÄN</t>
        </is>
      </c>
      <c r="G635" t="inlineStr">
        <is>
          <t>FINSPÅNG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44949</v>
      </c>
      <c r="E636" s="1" t="n">
        <v>46305</v>
      </c>
      <c r="F636" t="inlineStr">
        <is>
          <t>ÖSTERGÖTLANDS LÄN</t>
        </is>
      </c>
      <c r="G636" t="inlineStr">
        <is>
          <t>FINSPÅNG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46305</v>
      </c>
      <c r="F637" t="inlineStr">
        <is>
          <t>ÖSTERGÖTLANDS LÄN</t>
        </is>
      </c>
      <c r="G637" t="inlineStr">
        <is>
          <t>FINSPÅNG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46305</v>
      </c>
      <c r="F638" t="inlineStr">
        <is>
          <t>ÖSTERGÖTLANDS LÄN</t>
        </is>
      </c>
      <c r="G638" t="inlineStr">
        <is>
          <t>FINSPÅNG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46002</v>
      </c>
      <c r="E639" s="1" t="n">
        <v>46305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61712-2025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46002</v>
      </c>
      <c r="E640" s="1" t="n">
        <v>46305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62221-2025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46305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62139-2025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46006</v>
      </c>
      <c r="E642" s="1" t="n">
        <v>46305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46305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6733-2023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44966</v>
      </c>
      <c r="E644" s="1" t="n">
        <v>46305</v>
      </c>
      <c r="F644" t="inlineStr">
        <is>
          <t>ÖSTERGÖTLANDS LÄN</t>
        </is>
      </c>
      <c r="G644" t="inlineStr">
        <is>
          <t>FINSPÅNG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46305</v>
      </c>
      <c r="F645" t="inlineStr">
        <is>
          <t>ÖSTERGÖTLANDS LÄN</t>
        </is>
      </c>
      <c r="G645" t="inlineStr">
        <is>
          <t>FINSPÅNG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62242-2025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46305</v>
      </c>
      <c r="F646" t="inlineStr">
        <is>
          <t>ÖSTERGÖTLANDS LÄN</t>
        </is>
      </c>
      <c r="G646" t="inlineStr">
        <is>
          <t>FINSPÅNG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15473-2022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44662</v>
      </c>
      <c r="E647" s="1" t="n">
        <v>46305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45086</v>
      </c>
      <c r="E648" s="1" t="n">
        <v>46305</v>
      </c>
      <c r="F648" t="inlineStr">
        <is>
          <t>ÖSTERGÖTLANDS LÄN</t>
        </is>
      </c>
      <c r="G648" t="inlineStr">
        <is>
          <t>FINSPÅNG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7825-2025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45706</v>
      </c>
      <c r="E649" s="1" t="n">
        <v>46305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45692</v>
      </c>
      <c r="E650" s="1" t="n">
        <v>46305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40410-2024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45555</v>
      </c>
      <c r="E651" s="1" t="n">
        <v>46305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44918</v>
      </c>
      <c r="E652" s="1" t="n">
        <v>46305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14142-2025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46305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55624-2024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46305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44930</v>
      </c>
      <c r="E655" s="1" t="n">
        <v>46305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43950-2025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45915</v>
      </c>
      <c r="E656" s="1" t="n">
        <v>46305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60173-2023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46305</v>
      </c>
      <c r="F657" t="inlineStr">
        <is>
          <t>ÖSTERGÖTLANDS LÄN</t>
        </is>
      </c>
      <c r="G657" t="inlineStr">
        <is>
          <t>FINSPÅNG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45379</v>
      </c>
      <c r="E658" s="1" t="n">
        <v>46305</v>
      </c>
      <c r="F658" t="inlineStr">
        <is>
          <t>ÖSTERGÖTLANDS LÄN</t>
        </is>
      </c>
      <c r="G658" t="inlineStr">
        <is>
          <t>FINSPÅNG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45706</v>
      </c>
      <c r="E659" s="1" t="n">
        <v>46305</v>
      </c>
      <c r="F659" t="inlineStr">
        <is>
          <t>ÖSTERGÖTLANDS LÄN</t>
        </is>
      </c>
      <c r="G659" t="inlineStr">
        <is>
          <t>FINSPÅNG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35278-2025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45853</v>
      </c>
      <c r="E660" s="1" t="n">
        <v>46305</v>
      </c>
      <c r="F660" t="inlineStr">
        <is>
          <t>ÖSTERGÖTLANDS LÄN</t>
        </is>
      </c>
      <c r="G660" t="inlineStr">
        <is>
          <t>FINSPÅNG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21722-2025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46305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46305</v>
      </c>
      <c r="F662" t="inlineStr">
        <is>
          <t>ÖSTERGÖTLANDS LÄN</t>
        </is>
      </c>
      <c r="G662" t="inlineStr">
        <is>
          <t>FINSPÅNG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46305</v>
      </c>
      <c r="F663" t="inlineStr">
        <is>
          <t>ÖSTERGÖTLANDS LÄN</t>
        </is>
      </c>
      <c r="G663" t="inlineStr">
        <is>
          <t>FINSPÅNG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45021</v>
      </c>
      <c r="E664" s="1" t="n">
        <v>46305</v>
      </c>
      <c r="F664" t="inlineStr">
        <is>
          <t>ÖSTERGÖTLANDS LÄN</t>
        </is>
      </c>
      <c r="G664" t="inlineStr">
        <is>
          <t>FINSPÅNG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39740-2023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45167</v>
      </c>
      <c r="E665" s="1" t="n">
        <v>46305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45008</v>
      </c>
      <c r="E666" s="1" t="n">
        <v>46305</v>
      </c>
      <c r="F666" t="inlineStr">
        <is>
          <t>ÖSTERGÖTLANDS LÄN</t>
        </is>
      </c>
      <c r="G666" t="inlineStr">
        <is>
          <t>FINSPÅNG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44616</v>
      </c>
      <c r="E667" s="1" t="n">
        <v>46305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45700</v>
      </c>
      <c r="E668" s="1" t="n">
        <v>46305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73260-2021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44550</v>
      </c>
      <c r="E669" s="1" t="n">
        <v>46305</v>
      </c>
      <c r="F669" t="inlineStr">
        <is>
          <t>ÖSTERGÖTLANDS LÄN</t>
        </is>
      </c>
      <c r="G669" t="inlineStr">
        <is>
          <t>FINSPÅNG</t>
        </is>
      </c>
      <c r="I669" t="n">
        <v>10.3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53572-2023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45230</v>
      </c>
      <c r="E670" s="1" t="n">
        <v>46305</v>
      </c>
      <c r="F670" t="inlineStr">
        <is>
          <t>ÖSTERGÖTLANDS LÄN</t>
        </is>
      </c>
      <c r="G670" t="inlineStr">
        <is>
          <t>FINSPÅNG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45013</v>
      </c>
      <c r="E671" s="1" t="n">
        <v>46305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35276-2025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45853</v>
      </c>
      <c r="E672" s="1" t="n">
        <v>46305</v>
      </c>
      <c r="F672" t="inlineStr">
        <is>
          <t>ÖSTERGÖTLANDS LÄN</t>
        </is>
      </c>
      <c r="G672" t="inlineStr">
        <is>
          <t>FINSPÅNG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45554</v>
      </c>
      <c r="E673" s="1" t="n">
        <v>46305</v>
      </c>
      <c r="F673" t="inlineStr">
        <is>
          <t>ÖSTERGÖTLANDS LÄN</t>
        </is>
      </c>
      <c r="G673" t="inlineStr">
        <is>
          <t>FINSPÅNG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46305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46305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27487-2023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45095</v>
      </c>
      <c r="E676" s="1" t="n">
        <v>46305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Övriga Aktiebolag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46305</v>
      </c>
      <c r="F677" t="inlineStr">
        <is>
          <t>ÖSTERGÖTLANDS LÄN</t>
        </is>
      </c>
      <c r="G677" t="inlineStr">
        <is>
          <t>FINSPÅNG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46305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Kyrkan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32789-2024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45516</v>
      </c>
      <c r="E679" s="1" t="n">
        <v>46305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46305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46305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20157-2023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45055</v>
      </c>
      <c r="E682" s="1" t="n">
        <v>46305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46305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11974-2023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44995</v>
      </c>
      <c r="E684" s="1" t="n">
        <v>46305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46305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46305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45095</v>
      </c>
      <c r="E687" s="1" t="n">
        <v>46305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45425</v>
      </c>
      <c r="E688" s="1" t="n">
        <v>46305</v>
      </c>
      <c r="F688" t="inlineStr">
        <is>
          <t>ÖSTERGÖTLANDS LÄN</t>
        </is>
      </c>
      <c r="G688" t="inlineStr">
        <is>
          <t>FINSPÅNG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44898</v>
      </c>
      <c r="E689" s="1" t="n">
        <v>46305</v>
      </c>
      <c r="F689" t="inlineStr">
        <is>
          <t>ÖSTERGÖTLANDS LÄN</t>
        </is>
      </c>
      <c r="G689" t="inlineStr">
        <is>
          <t>FINSPÅNG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42106-2023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45177</v>
      </c>
      <c r="E690" s="1" t="n">
        <v>46305</v>
      </c>
      <c r="F690" t="inlineStr">
        <is>
          <t>ÖSTERGÖTLANDS LÄN</t>
        </is>
      </c>
      <c r="G690" t="inlineStr">
        <is>
          <t>FINSPÅNG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41513-2024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45560</v>
      </c>
      <c r="E691" s="1" t="n">
        <v>46305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10083-2025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45719</v>
      </c>
      <c r="E692" s="1" t="n">
        <v>46305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46040</v>
      </c>
      <c r="E693" s="1" t="n">
        <v>46305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46040</v>
      </c>
      <c r="E694" s="1" t="n">
        <v>46305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24015-2024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45456</v>
      </c>
      <c r="E695" s="1" t="n">
        <v>46305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50189-2022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44865</v>
      </c>
      <c r="E696" s="1" t="n">
        <v>46305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31180-2025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46305</v>
      </c>
      <c r="F697" t="inlineStr">
        <is>
          <t>ÖSTERGÖTLANDS LÄN</t>
        </is>
      </c>
      <c r="G697" t="inlineStr">
        <is>
          <t>FINSPÅNG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9130-2023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44980</v>
      </c>
      <c r="E698" s="1" t="n">
        <v>46305</v>
      </c>
      <c r="F698" t="inlineStr">
        <is>
          <t>ÖSTERGÖTLANDS LÄN</t>
        </is>
      </c>
      <c r="G698" t="inlineStr">
        <is>
          <t>FINSPÅNG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6628-2023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46305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46305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46048</v>
      </c>
      <c r="E701" s="1" t="n">
        <v>46305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60749-2022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44914</v>
      </c>
      <c r="E702" s="1" t="n">
        <v>46305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46048</v>
      </c>
      <c r="E703" s="1" t="n">
        <v>46305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46305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46305</v>
      </c>
      <c r="F705" t="inlineStr">
        <is>
          <t>ÖSTERGÖTLANDS LÄN</t>
        </is>
      </c>
      <c r="G705" t="inlineStr">
        <is>
          <t>FINSPÅNG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44950</v>
      </c>
      <c r="E706" s="1" t="n">
        <v>46305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46050</v>
      </c>
      <c r="E707" s="1" t="n">
        <v>46305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50510-2024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45601</v>
      </c>
      <c r="E708" s="1" t="n">
        <v>46305</v>
      </c>
      <c r="F708" t="inlineStr">
        <is>
          <t>ÖSTERGÖTLANDS LÄN</t>
        </is>
      </c>
      <c r="G708" t="inlineStr">
        <is>
          <t>FINSPÅNG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4083-2024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45323</v>
      </c>
      <c r="E709" s="1" t="n">
        <v>46305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46049</v>
      </c>
      <c r="E710" s="1" t="n">
        <v>46305</v>
      </c>
      <c r="F710" t="inlineStr">
        <is>
          <t>ÖSTERGÖTLANDS LÄN</t>
        </is>
      </c>
      <c r="G710" t="inlineStr">
        <is>
          <t>FINSPÅNG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8236-2026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46064</v>
      </c>
      <c r="E711" s="1" t="n">
        <v>46305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46052</v>
      </c>
      <c r="E712" s="1" t="n">
        <v>46305</v>
      </c>
      <c r="F712" t="inlineStr">
        <is>
          <t>ÖSTERGÖTLANDS LÄN</t>
        </is>
      </c>
      <c r="G712" t="inlineStr">
        <is>
          <t>FINSPÅNG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46305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7274-2026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46058</v>
      </c>
      <c r="E714" s="1" t="n">
        <v>46305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46305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46305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7559-2026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46060</v>
      </c>
      <c r="E717" s="1" t="n">
        <v>46305</v>
      </c>
      <c r="F717" t="inlineStr">
        <is>
          <t>ÖSTERGÖTLANDS LÄN</t>
        </is>
      </c>
      <c r="G717" t="inlineStr">
        <is>
          <t>FINSPÅNG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20819-2026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46141</v>
      </c>
      <c r="E718" s="1" t="n">
        <v>46305</v>
      </c>
      <c r="F718" t="inlineStr">
        <is>
          <t>ÖSTERGÖTLANDS LÄN</t>
        </is>
      </c>
      <c r="G718" t="inlineStr">
        <is>
          <t>FINSPÅNG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7271-2026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46058</v>
      </c>
      <c r="E719" s="1" t="n">
        <v>46305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Övriga Aktiebolag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8247-2026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46064</v>
      </c>
      <c r="E720" s="1" t="n">
        <v>46305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Sveaskog</t>
        </is>
      </c>
      <c r="I720" t="n">
        <v>6.9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46305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46305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Sveaskog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46305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8270-2026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46305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Sveaskog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46305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46305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Sveaskog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46064</v>
      </c>
      <c r="E727" s="1" t="n">
        <v>46305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Sveaskog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8529-2026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46305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8553-2026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46305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9084-2026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46305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9173-2026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46070</v>
      </c>
      <c r="E731" s="1" t="n">
        <v>46305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46070</v>
      </c>
      <c r="E732" s="1" t="n">
        <v>46305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9934-2026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46073</v>
      </c>
      <c r="E733" s="1" t="n">
        <v>46305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10296-2026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46076</v>
      </c>
      <c r="E734" s="1" t="n">
        <v>46305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46305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10872-2026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46078</v>
      </c>
      <c r="E736" s="1" t="n">
        <v>46305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11063-2026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46305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45980</v>
      </c>
      <c r="E738" s="1" t="n">
        <v>46305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45184</v>
      </c>
      <c r="E739" s="1" t="n">
        <v>46305</v>
      </c>
      <c r="F739" t="inlineStr">
        <is>
          <t>ÖSTERGÖTLANDS LÄN</t>
        </is>
      </c>
      <c r="G739" t="inlineStr">
        <is>
          <t>FINSPÅNG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11251-2026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46080</v>
      </c>
      <c r="E740" s="1" t="n">
        <v>46305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46305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11211-2026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46080</v>
      </c>
      <c r="E742" s="1" t="n">
        <v>46305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46305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46305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46305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46305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11839-2026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46085</v>
      </c>
      <c r="E747" s="1" t="n">
        <v>46305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11813-2026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46085</v>
      </c>
      <c r="E748" s="1" t="n">
        <v>46305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10485-2026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46077</v>
      </c>
      <c r="E749" s="1" t="n">
        <v>46305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Kyrkan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46305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46305</v>
      </c>
      <c r="F751" t="inlineStr">
        <is>
          <t>ÖSTERGÖTLANDS LÄN</t>
        </is>
      </c>
      <c r="G751" t="inlineStr">
        <is>
          <t>FINSPÅNG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25844-2026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46305</v>
      </c>
      <c r="F752" t="inlineStr">
        <is>
          <t>ÖSTERGÖTLANDS LÄN</t>
        </is>
      </c>
      <c r="G752" t="inlineStr">
        <is>
          <t>FINSPÅNG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46305</v>
      </c>
      <c r="F753" t="inlineStr">
        <is>
          <t>ÖSTERGÖTLANDS LÄN</t>
        </is>
      </c>
      <c r="G753" t="inlineStr">
        <is>
          <t>FINSPÅNG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25860-2026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46176</v>
      </c>
      <c r="E754" s="1" t="n">
        <v>46305</v>
      </c>
      <c r="F754" t="inlineStr">
        <is>
          <t>ÖSTERGÖTLANDS LÄN</t>
        </is>
      </c>
      <c r="G754" t="inlineStr">
        <is>
          <t>FINSPÅNG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24833-2026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46305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Sveaskog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24835-2026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46305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25629-2026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46305</v>
      </c>
      <c r="F757" t="inlineStr">
        <is>
          <t>ÖSTERGÖTLANDS LÄN</t>
        </is>
      </c>
      <c r="G757" t="inlineStr">
        <is>
          <t>FINSPÅNG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25943-2026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46181</v>
      </c>
      <c r="E758" s="1" t="n">
        <v>46305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Sveaskog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25759-2026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46305</v>
      </c>
      <c r="F759" t="inlineStr">
        <is>
          <t>ÖSTERGÖTLANDS LÄN</t>
        </is>
      </c>
      <c r="G759" t="inlineStr">
        <is>
          <t>FINSPÅNG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25766-2026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46305</v>
      </c>
      <c r="F760" t="inlineStr">
        <is>
          <t>ÖSTERGÖTLANDS LÄN</t>
        </is>
      </c>
      <c r="G760" t="inlineStr">
        <is>
          <t>FINSPÅNG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25760-2026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46305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46305</v>
      </c>
      <c r="F762" t="inlineStr">
        <is>
          <t>ÖSTERGÖTLANDS LÄN</t>
        </is>
      </c>
      <c r="G762" t="inlineStr">
        <is>
          <t>FINSPÅNG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26905-2026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46185</v>
      </c>
      <c r="E763" s="1" t="n">
        <v>46305</v>
      </c>
      <c r="F763" t="inlineStr">
        <is>
          <t>ÖSTERGÖTLANDS LÄN</t>
        </is>
      </c>
      <c r="G763" t="inlineStr">
        <is>
          <t>FINSPÅNG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27369-2026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46188</v>
      </c>
      <c r="E764" s="1" t="n">
        <v>46305</v>
      </c>
      <c r="F764" t="inlineStr">
        <is>
          <t>ÖSTERGÖTLANDS LÄN</t>
        </is>
      </c>
      <c r="G764" t="inlineStr">
        <is>
          <t>FINSPÅNG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46305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Kommuner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45846</v>
      </c>
      <c r="E766" s="1" t="n">
        <v>46305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46305</v>
      </c>
      <c r="F767" t="inlineStr">
        <is>
          <t>ÖSTERGÖTLANDS LÄN</t>
        </is>
      </c>
      <c r="G767" t="inlineStr">
        <is>
          <t>FINSPÅNG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29482-2026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46305</v>
      </c>
      <c r="F768" t="inlineStr">
        <is>
          <t>ÖSTERGÖTLANDS LÄN</t>
        </is>
      </c>
      <c r="G768" t="inlineStr">
        <is>
          <t>FINSPÅNG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29731-2026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46305</v>
      </c>
      <c r="F769" t="inlineStr">
        <is>
          <t>ÖSTERGÖTLANDS LÄN</t>
        </is>
      </c>
      <c r="G769" t="inlineStr">
        <is>
          <t>FINSPÅNG</t>
        </is>
      </c>
      <c r="I769" t="n">
        <v>18.6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31151-2026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46305</v>
      </c>
      <c r="F770" t="inlineStr">
        <is>
          <t>ÖSTERGÖTLANDS LÄN</t>
        </is>
      </c>
      <c r="G770" t="inlineStr">
        <is>
          <t>FINSPÅNG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46211</v>
      </c>
      <c r="E771" s="1" t="n">
        <v>46305</v>
      </c>
      <c r="F771" t="inlineStr">
        <is>
          <t>ÖSTERGÖTLANDS LÄN</t>
        </is>
      </c>
      <c r="G771" t="inlineStr">
        <is>
          <t>FINSPÅNG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30864-2026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46212</v>
      </c>
      <c r="E772" s="1" t="n">
        <v>46305</v>
      </c>
      <c r="F772" t="inlineStr">
        <is>
          <t>ÖSTERGÖTLANDS LÄN</t>
        </is>
      </c>
      <c r="G772" t="inlineStr">
        <is>
          <t>FINSPÅNG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46218</v>
      </c>
      <c r="E773" s="1" t="n">
        <v>46305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9.5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31301-2026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46218</v>
      </c>
      <c r="E774" s="1" t="n">
        <v>46305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31307-2026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46219</v>
      </c>
      <c r="E775" s="1" t="n">
        <v>46305</v>
      </c>
      <c r="F775" t="inlineStr">
        <is>
          <t>ÖSTERGÖTLANDS LÄN</t>
        </is>
      </c>
      <c r="G775" t="inlineStr">
        <is>
          <t>FINSPÅNG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46226</v>
      </c>
      <c r="E776" s="1" t="n">
        <v>46305</v>
      </c>
      <c r="F776" t="inlineStr">
        <is>
          <t>ÖSTERGÖTLANDS LÄN</t>
        </is>
      </c>
      <c r="G776" t="inlineStr">
        <is>
          <t>FINSPÅNG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36479-2026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46305</v>
      </c>
      <c r="F777" t="inlineStr">
        <is>
          <t>ÖSTERGÖTLANDS LÄN</t>
        </is>
      </c>
      <c r="G777" t="inlineStr">
        <is>
          <t>FINSPÅNG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46305</v>
      </c>
      <c r="F778" t="inlineStr">
        <is>
          <t>ÖSTERGÖTLANDS LÄN</t>
        </is>
      </c>
      <c r="G778" t="inlineStr">
        <is>
          <t>FINSPÅNG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31682-2026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46226</v>
      </c>
      <c r="E779" s="1" t="n">
        <v>46305</v>
      </c>
      <c r="F779" t="inlineStr">
        <is>
          <t>ÖSTERGÖTLANDS LÄN</t>
        </is>
      </c>
      <c r="G779" t="inlineStr">
        <is>
          <t>FINSPÅNG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46225</v>
      </c>
      <c r="E780" s="1" t="n">
        <v>46305</v>
      </c>
      <c r="F780" t="inlineStr">
        <is>
          <t>ÖSTERGÖTLANDS LÄN</t>
        </is>
      </c>
      <c r="G780" t="inlineStr">
        <is>
          <t>FINSPÅNG</t>
        </is>
      </c>
      <c r="I780" t="n">
        <v>10.5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31669-2026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46225</v>
      </c>
      <c r="E781" s="1" t="n">
        <v>46305</v>
      </c>
      <c r="F781" t="inlineStr">
        <is>
          <t>ÖSTERGÖTLANDS LÄN</t>
        </is>
      </c>
      <c r="G781" t="inlineStr">
        <is>
          <t>FINSPÅNG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46305</v>
      </c>
      <c r="F782" t="inlineStr">
        <is>
          <t>ÖSTERGÖTLANDS LÄN</t>
        </is>
      </c>
      <c r="G782" t="inlineStr">
        <is>
          <t>FINSPÅNG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46269</v>
      </c>
      <c r="E783" s="1" t="n">
        <v>46305</v>
      </c>
      <c r="F783" t="inlineStr">
        <is>
          <t>ÖSTERGÖTLANDS LÄN</t>
        </is>
      </c>
      <c r="G783" t="inlineStr">
        <is>
          <t>FINSPÅNG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46305</v>
      </c>
      <c r="F784" t="inlineStr">
        <is>
          <t>ÖSTERGÖTLANDS LÄN</t>
        </is>
      </c>
      <c r="G784" t="inlineStr">
        <is>
          <t>FINSPÅNG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32000-2026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46232</v>
      </c>
      <c r="E785" s="1" t="n">
        <v>46305</v>
      </c>
      <c r="F785" t="inlineStr">
        <is>
          <t>ÖSTERGÖTLANDS LÄN</t>
        </is>
      </c>
      <c r="G785" t="inlineStr">
        <is>
          <t>FINSPÅNG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46305</v>
      </c>
      <c r="F786" t="inlineStr">
        <is>
          <t>ÖSTERGÖTLANDS LÄN</t>
        </is>
      </c>
      <c r="G786" t="inlineStr">
        <is>
          <t>FINSPÅNG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46305</v>
      </c>
      <c r="F787" t="inlineStr">
        <is>
          <t>ÖSTERGÖTLANDS LÄN</t>
        </is>
      </c>
      <c r="G787" t="inlineStr">
        <is>
          <t>FINSPÅNG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46305</v>
      </c>
      <c r="F788" t="inlineStr">
        <is>
          <t>ÖSTERGÖTLANDS LÄN</t>
        </is>
      </c>
      <c r="G788" t="inlineStr">
        <is>
          <t>FINSPÅNG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46305</v>
      </c>
      <c r="F789" t="inlineStr">
        <is>
          <t>ÖSTERGÖTLANDS LÄN</t>
        </is>
      </c>
      <c r="G789" t="inlineStr">
        <is>
          <t>FINSPÅNG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38441-2026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46282</v>
      </c>
      <c r="E790" s="1" t="n">
        <v>46305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Sveaskog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38421-2026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46282</v>
      </c>
      <c r="E791" s="1" t="n">
        <v>46305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Sveaskog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38417-2026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46305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38419-2026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46282</v>
      </c>
      <c r="E793" s="1" t="n">
        <v>46305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46282</v>
      </c>
      <c r="E794" s="1" t="n">
        <v>46305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Sveaskog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46305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46282</v>
      </c>
      <c r="E796" s="1" t="n">
        <v>46305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Sveaskog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38442-2026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46282</v>
      </c>
      <c r="E797" s="1" t="n">
        <v>46305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Sveaskog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46305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38625-2026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46281</v>
      </c>
      <c r="E799" s="1" t="n">
        <v>46305</v>
      </c>
      <c r="F799" t="inlineStr">
        <is>
          <t>ÖSTERGÖTLANDS LÄN</t>
        </is>
      </c>
      <c r="G799" t="inlineStr">
        <is>
          <t>FINSPÅNG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38765-2026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46286</v>
      </c>
      <c r="E800" s="1" t="n">
        <v>46305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Övriga Aktiebolag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35970-2025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45863</v>
      </c>
      <c r="E801" s="1" t="n">
        <v>46305</v>
      </c>
      <c r="F801" t="inlineStr">
        <is>
          <t>ÖSTERGÖTLANDS LÄN</t>
        </is>
      </c>
      <c r="G801" t="inlineStr">
        <is>
          <t>FINSPÅNG</t>
        </is>
      </c>
      <c r="I801" t="n">
        <v>22.6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36592-2025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45870</v>
      </c>
      <c r="E802" s="1" t="n">
        <v>46305</v>
      </c>
      <c r="F802" t="inlineStr">
        <is>
          <t>ÖSTERGÖTLANDS LÄN</t>
        </is>
      </c>
      <c r="G802" t="inlineStr">
        <is>
          <t>FINSPÅNG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40578-2026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46295</v>
      </c>
      <c r="E803" s="1" t="n">
        <v>46305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Sveaskog</t>
        </is>
      </c>
      <c r="I803" t="n">
        <v>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40580-2026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46295</v>
      </c>
      <c r="E804" s="1" t="n">
        <v>46305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Sveaskog</t>
        </is>
      </c>
      <c r="I804" t="n">
        <v>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46305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Sveaskog</t>
        </is>
      </c>
      <c r="I805" t="n">
        <v>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41654-2026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46302</v>
      </c>
      <c r="E806" s="1" t="n">
        <v>46305</v>
      </c>
      <c r="F806" t="inlineStr">
        <is>
          <t>ÖSTERGÖTLANDS LÄN</t>
        </is>
      </c>
      <c r="G806" t="inlineStr">
        <is>
          <t>FINSPÅNG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34883-2026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46258</v>
      </c>
      <c r="E807" s="1" t="n">
        <v>46305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Övriga Aktiebolag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34884-2026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46258</v>
      </c>
      <c r="E808" s="1" t="n">
        <v>46305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Övriga Aktiebolag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46305</v>
      </c>
      <c r="F809" t="inlineStr">
        <is>
          <t>ÖSTERGÖTLANDS LÄN</t>
        </is>
      </c>
      <c r="G809" t="inlineStr">
        <is>
          <t>FINSPÅNG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42060-2026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46304</v>
      </c>
      <c r="E810" s="1" t="n">
        <v>46305</v>
      </c>
      <c r="F810" t="inlineStr">
        <is>
          <t>ÖSTERGÖTLANDS LÄN</t>
        </is>
      </c>
      <c r="G810" t="inlineStr">
        <is>
          <t>FINSPÅNG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46304</v>
      </c>
      <c r="E811" s="1" t="n">
        <v>46305</v>
      </c>
      <c r="F811" t="inlineStr">
        <is>
          <t>ÖSTERGÖTLANDS LÄN</t>
        </is>
      </c>
      <c r="G811" t="inlineStr">
        <is>
          <t>FINSPÅNG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42076-2026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46304</v>
      </c>
      <c r="E812" s="1" t="n">
        <v>46305</v>
      </c>
      <c r="F812" t="inlineStr">
        <is>
          <t>ÖSTERGÖTLANDS LÄN</t>
        </is>
      </c>
      <c r="G812" t="inlineStr">
        <is>
          <t>FINSPÅNG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31147-2026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46209</v>
      </c>
      <c r="E813" s="1" t="n">
        <v>46305</v>
      </c>
      <c r="F813" t="inlineStr">
        <is>
          <t>ÖSTERGÖTLANDS LÄN</t>
        </is>
      </c>
      <c r="G813" t="inlineStr">
        <is>
          <t>FINSPÅNG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42067-2026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46304</v>
      </c>
      <c r="E814" s="1" t="n">
        <v>46305</v>
      </c>
      <c r="F814" t="inlineStr">
        <is>
          <t>ÖSTERGÖTLANDS LÄN</t>
        </is>
      </c>
      <c r="G814" t="inlineStr">
        <is>
          <t>FINSPÅNG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46160</v>
      </c>
      <c r="E815" s="1" t="n">
        <v>46305</v>
      </c>
      <c r="F815" t="inlineStr">
        <is>
          <t>ÖSTERGÖTLANDS LÄN</t>
        </is>
      </c>
      <c r="G815" t="inlineStr">
        <is>
          <t>FINSPÅNG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5129-2024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45644</v>
      </c>
      <c r="E816" s="1" t="n">
        <v>46305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1605-2024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45428</v>
      </c>
      <c r="E817" s="1" t="n">
        <v>46305</v>
      </c>
      <c r="F817" t="inlineStr">
        <is>
          <t>ÖSTERGÖTLANDS LÄN</t>
        </is>
      </c>
      <c r="G817" t="inlineStr">
        <is>
          <t>FINSPÅNG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1637-2024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45429</v>
      </c>
      <c r="E818" s="1" t="n">
        <v>46305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4163-2023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45250</v>
      </c>
      <c r="E819" s="1" t="n">
        <v>46305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1759-2026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46188</v>
      </c>
      <c r="E820" s="1" t="n">
        <v>46305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Övriga Aktiebolag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2208-2026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46258</v>
      </c>
      <c r="E821" s="1" t="n">
        <v>46305</v>
      </c>
      <c r="F821" t="inlineStr">
        <is>
          <t>ÖSTERGÖTLANDS LÄN</t>
        </is>
      </c>
      <c r="G821" t="inlineStr">
        <is>
          <t>FINSPÅNG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2026-10-10T02:03:08Z</dcterms:created>
  <dcterms:modified xmlns:dcterms="http://purl.org/dc/terms/" xmlns:xsi="http://www.w3.org/2001/XMLSchema-instance" xsi:type="dcterms:W3CDTF">2026-10-10T02:03:09Z</dcterms:modified>
</cp:coreProperties>
</file>